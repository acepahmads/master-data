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xxx\Documents\PENAWARAN SPH\"/>
    </mc:Choice>
  </mc:AlternateContent>
  <xr:revisionPtr revIDLastSave="0" documentId="8_{ED66A14B-3E88-43A5-8E68-0723A46C4CB4}" xr6:coauthVersionLast="47" xr6:coauthVersionMax="47" xr10:uidLastSave="{00000000-0000-0000-0000-000000000000}"/>
  <bookViews>
    <workbookView xWindow="-110" yWindow="-110" windowWidth="19420" windowHeight="10300" xr2:uid="{00000000-000D-0000-FFFF-FFFF00000000}"/>
  </bookViews>
  <sheets>
    <sheet name="RAB " sheetId="2" r:id="rId1"/>
    <sheet name="Sheet3" sheetId="6" r:id="rId2"/>
    <sheet name="CBI"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s>
  <definedNames>
    <definedName name="\0">#REF!</definedName>
    <definedName name="\A">'[1]304-06'!#REF!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WQ">'[2]BAG-2'!#REF!</definedName>
    <definedName name="\x">#REF!</definedName>
    <definedName name="\Y">#REF!</definedName>
    <definedName name="\Z">#REF!</definedName>
    <definedName name="________MDE06">[3]ALAT!$BO$128</definedName>
    <definedName name="________MDE08">[3]ALAT!$BO$168</definedName>
    <definedName name="________ME06">[3]ALAT!$BO$127</definedName>
    <definedName name="________ME08">[3]ALAT!$BO$167</definedName>
    <definedName name="_______MDE06">[3]ALAT!$BO$128</definedName>
    <definedName name="_______MDE08">[3]ALAT!$BO$168</definedName>
    <definedName name="_______ME06">[3]ALAT!$BO$127</definedName>
    <definedName name="_______ME08">[3]ALAT!$BO$167</definedName>
    <definedName name="______MDE06">[3]ALAT!$BO$128</definedName>
    <definedName name="______MDE08">[3]ALAT!$BO$168</definedName>
    <definedName name="______ME06">[3]ALAT!$BO$127</definedName>
    <definedName name="______ME08">[3]ALAT!$BO$167</definedName>
    <definedName name="_____bsc100">#REF!</definedName>
    <definedName name="_____C94739">[4]ANALISA!#REF!</definedName>
    <definedName name="_____DIV1">#REF!</definedName>
    <definedName name="_____DIV10">#REF!</definedName>
    <definedName name="_____DIV11">#REF!</definedName>
    <definedName name="_____DIV2">#REF!</definedName>
    <definedName name="_____DIV3">#REF!</definedName>
    <definedName name="_____DIV4">#REF!</definedName>
    <definedName name="_____DIV5">#REF!</definedName>
    <definedName name="_____DIV6">#REF!</definedName>
    <definedName name="_____DIV7">#REF!</definedName>
    <definedName name="_____DIV8">#REF!</definedName>
    <definedName name="_____DIV9">#REF!</definedName>
    <definedName name="_____HAL1">#REF!</definedName>
    <definedName name="_____HAL2">#REF!</definedName>
    <definedName name="_____HAL3">#REF!</definedName>
    <definedName name="_____HAL4">#REF!</definedName>
    <definedName name="_____HAL5">#REF!</definedName>
    <definedName name="_____HAL6">#REF!</definedName>
    <definedName name="_____HAL7">#REF!</definedName>
    <definedName name="_____HAL8">#REF!</definedName>
    <definedName name="_____J632569">#REF!</definedName>
    <definedName name="_____ker1020">#REF!</definedName>
    <definedName name="_____ker2020">#REF!</definedName>
    <definedName name="_____ker2025">#REF!</definedName>
    <definedName name="_____ker3030">#REF!</definedName>
    <definedName name="_____ker40">'[5]HB '!#REF!</definedName>
    <definedName name="_____ko2">#REF!</definedName>
    <definedName name="_____LLL01">#REF!</definedName>
    <definedName name="_____LLL02">#REF!</definedName>
    <definedName name="_____LLL03">#REF!</definedName>
    <definedName name="_____LLL04">#REF!</definedName>
    <definedName name="_____LLL05">#REF!</definedName>
    <definedName name="_____LLL06">#REF!</definedName>
    <definedName name="_____LLL07">#REF!</definedName>
    <definedName name="_____LLL08">#REF!</definedName>
    <definedName name="_____LLL09">#REF!</definedName>
    <definedName name="_____LLL10">#REF!</definedName>
    <definedName name="_____LLL11">#REF!</definedName>
    <definedName name="_____MDE01">[6]alat!$BP$27</definedName>
    <definedName name="_____MDE02">[6]alat!$BP$47</definedName>
    <definedName name="_____MDE03">[6]alat!$BP$67</definedName>
    <definedName name="_____MDE04">[6]alat!$BP$87</definedName>
    <definedName name="_____MDE05">[6]alat!$BP$107</definedName>
    <definedName name="_____MDE06">[3]ALAT!$BO$128</definedName>
    <definedName name="_____MDE07">[6]alat!$BP$147</definedName>
    <definedName name="_____MDE08">[3]ALAT!$BO$168</definedName>
    <definedName name="_____MDE09">[6]alat!$BP$187</definedName>
    <definedName name="_____MDE10">[6]alat!$BP$207</definedName>
    <definedName name="_____MDE11">[6]alat!$BP$227</definedName>
    <definedName name="_____MDE12">[6]alat!$BP$247</definedName>
    <definedName name="_____MDE13">[6]alat!$BP$267</definedName>
    <definedName name="_____MDE14">[6]alat!$BP$287</definedName>
    <definedName name="_____MDE15">[6]alat!$BP$307</definedName>
    <definedName name="_____MDE16">[6]alat!$BP$327</definedName>
    <definedName name="_____MDE17">[6]alat!$BP$347</definedName>
    <definedName name="_____MDE18">[6]alat!$BP$367</definedName>
    <definedName name="_____MDE19">[6]alat!$BP$387</definedName>
    <definedName name="_____MDE20">[6]alat!$BP$407</definedName>
    <definedName name="_____MDE21">[6]alat!$BP$427</definedName>
    <definedName name="_____MDE22">[6]alat!$BP$447</definedName>
    <definedName name="_____MDE23">[6]alat!$BP$467</definedName>
    <definedName name="_____MDE24">[6]alat!$BP$487</definedName>
    <definedName name="_____MDE25">[6]alat!$BP$507</definedName>
    <definedName name="_____MDE26">[6]alat!$BP$527</definedName>
    <definedName name="_____MDE27">[6]alat!$BP$547</definedName>
    <definedName name="_____MDE28">[6]alat!$BP$567</definedName>
    <definedName name="_____MDE29">[6]alat!$BP$587</definedName>
    <definedName name="_____MDE30">[6]alat!$BP$607</definedName>
    <definedName name="_____MDE31">[6]alat!$BP$627</definedName>
    <definedName name="_____MDE32">[6]alat!$BP$647</definedName>
    <definedName name="_____MDE33">[6]alat!$BP$667</definedName>
    <definedName name="_____MDE34">[6]alat!$BP$698</definedName>
    <definedName name="_____ME01">[6]alat!$BP$26</definedName>
    <definedName name="_____ME02">[6]alat!$BP$46</definedName>
    <definedName name="_____ME03">[6]alat!$BP$66</definedName>
    <definedName name="_____ME04">[6]alat!$BP$86</definedName>
    <definedName name="_____ME05">[6]alat!$BP$106</definedName>
    <definedName name="_____ME06">[3]ALAT!$BO$127</definedName>
    <definedName name="_____ME07">[6]alat!$BP$146</definedName>
    <definedName name="_____ME08">[3]ALAT!$BO$167</definedName>
    <definedName name="_____ME09">[6]alat!$BP$186</definedName>
    <definedName name="_____ME10">[6]alat!$BP$206</definedName>
    <definedName name="_____ME11">[6]alat!$BP$226</definedName>
    <definedName name="_____ME12">[6]alat!$BP$246</definedName>
    <definedName name="_____ME13">[6]alat!$BP$266</definedName>
    <definedName name="_____ME14">[6]alat!$BP$286</definedName>
    <definedName name="_____ME15">[6]alat!$BP$306</definedName>
    <definedName name="_____ME16">[6]alat!$BP$326</definedName>
    <definedName name="_____ME17">[6]alat!$BP$346</definedName>
    <definedName name="_____ME18">[6]alat!$BP$366</definedName>
    <definedName name="_____ME19">[6]alat!$BP$386</definedName>
    <definedName name="_____ME20">[6]alat!$BP$406</definedName>
    <definedName name="_____ME21">[6]alat!$BP$426</definedName>
    <definedName name="_____ME22">[6]alat!$BP$446</definedName>
    <definedName name="_____ME23">[6]alat!$BP$466</definedName>
    <definedName name="_____ME24">[6]alat!$BP$486</definedName>
    <definedName name="_____ME25">[6]alat!$BP$506</definedName>
    <definedName name="_____ME26">[6]alat!$BP$526</definedName>
    <definedName name="_____ME27">[6]alat!$BP$546</definedName>
    <definedName name="_____ME28">[6]alat!$BP$566</definedName>
    <definedName name="_____ME29">[6]alat!$BP$586</definedName>
    <definedName name="_____ME30">[6]alat!$BP$606</definedName>
    <definedName name="_____ME31">[6]alat!$BP$626</definedName>
    <definedName name="_____ME32">[6]alat!$BP$646</definedName>
    <definedName name="_____ME33">[6]alat!$BP$666</definedName>
    <definedName name="_____ME34">[6]alat!$BP$697</definedName>
    <definedName name="_____MMM01">#REF!</definedName>
    <definedName name="_____MMM02">#REF!</definedName>
    <definedName name="_____MMM03">#REF!</definedName>
    <definedName name="_____MMM04">#REF!</definedName>
    <definedName name="_____MMM05">#REF!</definedName>
    <definedName name="_____MMM06">#REF!</definedName>
    <definedName name="_____MMM07">#REF!</definedName>
    <definedName name="_____MMM08">#REF!</definedName>
    <definedName name="_____MMM09">#REF!</definedName>
    <definedName name="_____MMM10">#REF!</definedName>
    <definedName name="_____MMM11">#REF!</definedName>
    <definedName name="_____MMM12">#REF!</definedName>
    <definedName name="_____MMM13">#REF!</definedName>
    <definedName name="_____MMM14">#REF!</definedName>
    <definedName name="_____MMM15">#REF!</definedName>
    <definedName name="_____MMM16">#REF!</definedName>
    <definedName name="_____MMM17">#REF!</definedName>
    <definedName name="_____MMM18">#REF!</definedName>
    <definedName name="_____MMM19">#REF!</definedName>
    <definedName name="_____MMM20">#REF!</definedName>
    <definedName name="_____MMM21">#REF!</definedName>
    <definedName name="_____MMM22">#REF!</definedName>
    <definedName name="_____MMM23">#REF!</definedName>
    <definedName name="_____MMM24">#REF!</definedName>
    <definedName name="_____MMM25">#REF!</definedName>
    <definedName name="_____MMM26">#REF!</definedName>
    <definedName name="_____MMM27">#REF!</definedName>
    <definedName name="_____MMM28">#REF!</definedName>
    <definedName name="_____MMM29">#REF!</definedName>
    <definedName name="_____MMM30">#REF!</definedName>
    <definedName name="_____MMM31">#REF!</definedName>
    <definedName name="_____MMM32">#REF!</definedName>
    <definedName name="_____MMM33">#REF!</definedName>
    <definedName name="_____MMM34">#REF!</definedName>
    <definedName name="_____MMM35">#REF!</definedName>
    <definedName name="_____MMM36">#REF!</definedName>
    <definedName name="_____MMM37">#REF!</definedName>
    <definedName name="_____MMM38">#REF!</definedName>
    <definedName name="_____MMM39">#REF!</definedName>
    <definedName name="_____MMM40">#REF!</definedName>
    <definedName name="_____MMM41">#REF!</definedName>
    <definedName name="_____MMM411">#REF!</definedName>
    <definedName name="_____MMM42">#REF!</definedName>
    <definedName name="_____MMM43">#REF!</definedName>
    <definedName name="_____MMM44">#REF!</definedName>
    <definedName name="_____MMM45">#REF!</definedName>
    <definedName name="_____MMM46">#REF!</definedName>
    <definedName name="_____MMM47">#REF!</definedName>
    <definedName name="_____MMM48">#REF!</definedName>
    <definedName name="_____MMM49">#REF!</definedName>
    <definedName name="_____MMM50">#REF!</definedName>
    <definedName name="_____MMM51">#REF!</definedName>
    <definedName name="_____MMM52">#REF!</definedName>
    <definedName name="_____MMM53">#REF!</definedName>
    <definedName name="_____MMM54">#REF!</definedName>
    <definedName name="_____NE1">#REF!</definedName>
    <definedName name="_____pav8">#REF!</definedName>
    <definedName name="_____pvc1">#REF!</definedName>
    <definedName name="_____pvc12">#REF!</definedName>
    <definedName name="_____pvc3">#REF!</definedName>
    <definedName name="_____pvc34">#REF!</definedName>
    <definedName name="_____pvc44">#REF!</definedName>
    <definedName name="____arr3">{"Book1","4.09 FLORA DAN FAUNA.xls","4.22 PERLENGKAPAN SEKOLAH.xls"}</definedName>
    <definedName name="____ATB1">#REF!</definedName>
    <definedName name="____ATB2">#REF!</definedName>
    <definedName name="____ATB3">#REF!</definedName>
    <definedName name="____ATB4">#REF!</definedName>
    <definedName name="____bsc100">#REF!</definedName>
    <definedName name="____C94739">[4]ANALISA!#REF!</definedName>
    <definedName name="____der4">{"Book1","4.09 FLORA DAN FAUNA.xls","4.22 PERLENGKAPAN SEKOLAH.xls"}</definedName>
    <definedName name="____DIV1">#REF!</definedName>
    <definedName name="____DIV10">#REF!</definedName>
    <definedName name="____DIV11">#REF!</definedName>
    <definedName name="____DIV2">#REF!</definedName>
    <definedName name="____DIV3">#REF!</definedName>
    <definedName name="____DIV4">#REF!</definedName>
    <definedName name="____DIV5">#REF!</definedName>
    <definedName name="____DIV6">#REF!</definedName>
    <definedName name="____DIV7">#REF!</definedName>
    <definedName name="____DIV8">#REF!</definedName>
    <definedName name="____DIV9">#REF!</definedName>
    <definedName name="____doc5">{"Book1","4.09 FLORA DAN FAUNA.xls","4.22 PERLENGKAPAN SEKOLAH.xls"}</definedName>
    <definedName name="____EEE08">'[7]5-ALAT(1)'!$AW$15</definedName>
    <definedName name="____HAL1">#REF!</definedName>
    <definedName name="____HAL2">#REF!</definedName>
    <definedName name="____HAL3">#REF!</definedName>
    <definedName name="____HAL4">#REF!</definedName>
    <definedName name="____HAL5">#REF!</definedName>
    <definedName name="____HAL6">#REF!</definedName>
    <definedName name="____HAL7">#REF!</definedName>
    <definedName name="____HAL8">#REF!</definedName>
    <definedName name="____J632569">#REF!</definedName>
    <definedName name="____ker1020">#REF!</definedName>
    <definedName name="____ker2020">#REF!</definedName>
    <definedName name="____ker2025">#REF!</definedName>
    <definedName name="____ker3030">#REF!</definedName>
    <definedName name="____ker40">'[5]HB '!#REF!</definedName>
    <definedName name="____ko2">#REF!</definedName>
    <definedName name="____LLL01">#REF!</definedName>
    <definedName name="____LLL02">#REF!</definedName>
    <definedName name="____LLL03">#REF!</definedName>
    <definedName name="____LLL04">#REF!</definedName>
    <definedName name="____LLL05">#REF!</definedName>
    <definedName name="____LLL06">#REF!</definedName>
    <definedName name="____LLL07">#REF!</definedName>
    <definedName name="____LLL08">#REF!</definedName>
    <definedName name="____LLL09">#REF!</definedName>
    <definedName name="____LLL10">#REF!</definedName>
    <definedName name="____LLL11">#REF!</definedName>
    <definedName name="____mas1">{"Book1","4.09 FLORA DAN FAUNA.xls","4.22 PERLENGKAPAN SEKOLAH.xls"}</definedName>
    <definedName name="____mas12">{"Book1","4.09 FLORA DAN FAUNA.xls","4.22 PERLENGKAPAN SEKOLAH.xls"}</definedName>
    <definedName name="____mas2">{"Book1","4.09 FLORA DAN FAUNA.xls","4.22 PERLENGKAPAN SEKOLAH.xls"}</definedName>
    <definedName name="____mas4">{"Book1","4.09 FLORA DAN FAUNA.xls","4.22 PERLENGKAPAN SEKOLAH.xls"}</definedName>
    <definedName name="____mas5">{"Book1","4.09 FLORA DAN FAUNA.xls","4.22 PERLENGKAPAN SEKOLAH.xls"}</definedName>
    <definedName name="____mas6">{"Book1","4.09 FLORA DAN FAUNA.xls","4.22 PERLENGKAPAN SEKOLAH.xls"}</definedName>
    <definedName name="____mas7">{"Book1","4.09 FLORA DAN FAUNA.xls","4.22 PERLENGKAPAN SEKOLAH.xls"}</definedName>
    <definedName name="____mas8">{"Book1","4.09 FLORA DAN FAUNA.xls","4.22 PERLENGKAPAN SEKOLAH.xls"}</definedName>
    <definedName name="____mas9">{"Book1","4.09 FLORA DAN FAUNA.xls","4.22 PERLENGKAPAN SEKOLAH.xls"}</definedName>
    <definedName name="____MDE01">[8]alat!$BP$27</definedName>
    <definedName name="____MDE02">[8]alat!$BP$47</definedName>
    <definedName name="____MDE03">[8]alat!$BP$67</definedName>
    <definedName name="____MDE04">[8]alat!$BP$87</definedName>
    <definedName name="____MDE05">[8]alat!$BP$107</definedName>
    <definedName name="____MDE06">[3]ALAT!$BO$128</definedName>
    <definedName name="____MDE07">[8]alat!$BP$147</definedName>
    <definedName name="____MDE08">[3]ALAT!$BO$168</definedName>
    <definedName name="____MDE09">[8]alat!$BP$187</definedName>
    <definedName name="____MDE10">[8]alat!$BP$207</definedName>
    <definedName name="____MDE11">[8]alat!$BP$227</definedName>
    <definedName name="____MDE12">[8]alat!$BP$247</definedName>
    <definedName name="____MDE13">[8]alat!$BP$267</definedName>
    <definedName name="____MDE14">[8]alat!$BP$287</definedName>
    <definedName name="____MDE15">[8]alat!$BP$307</definedName>
    <definedName name="____MDE16">[8]alat!$BP$327</definedName>
    <definedName name="____MDE17">[8]alat!$BP$347</definedName>
    <definedName name="____MDE18">[8]alat!$BP$367</definedName>
    <definedName name="____MDE19">[8]alat!$BP$387</definedName>
    <definedName name="____MDE20">[8]alat!$BP$407</definedName>
    <definedName name="____MDE21">[8]alat!$BP$427</definedName>
    <definedName name="____MDE22">[8]alat!$BP$447</definedName>
    <definedName name="____MDE23">[8]alat!$BP$467</definedName>
    <definedName name="____MDE24">[8]alat!$BP$487</definedName>
    <definedName name="____MDE25">[8]alat!$BP$507</definedName>
    <definedName name="____MDE26">[8]alat!$BP$527</definedName>
    <definedName name="____MDE27">[8]alat!$BP$547</definedName>
    <definedName name="____MDE28">[8]alat!$BP$567</definedName>
    <definedName name="____MDE29">[8]alat!$BP$587</definedName>
    <definedName name="____MDE30">[8]alat!$BP$607</definedName>
    <definedName name="____MDE31">[8]alat!$BP$627</definedName>
    <definedName name="____MDE32">[8]alat!$BP$647</definedName>
    <definedName name="____MDE33">[8]alat!$BP$667</definedName>
    <definedName name="____MDE34">[8]alat!$BP$698</definedName>
    <definedName name="____ME01">[8]alat!$BP$26</definedName>
    <definedName name="____ME02">[8]alat!$BP$46</definedName>
    <definedName name="____ME03">[8]alat!$BP$66</definedName>
    <definedName name="____ME04">[8]alat!$BP$86</definedName>
    <definedName name="____ME05">[8]alat!$BP$106</definedName>
    <definedName name="____ME06">[3]ALAT!$BO$127</definedName>
    <definedName name="____ME07">[8]alat!$BP$146</definedName>
    <definedName name="____ME08">[3]ALAT!$BO$167</definedName>
    <definedName name="____ME09">[8]alat!$BP$186</definedName>
    <definedName name="____me1">{"Book1","4.09 FLORA DAN FAUNA.xls","4.22 PERLENGKAPAN SEKOLAH.xls"}</definedName>
    <definedName name="____ME10">[8]alat!$BP$206</definedName>
    <definedName name="____ME11">[8]alat!$BP$226</definedName>
    <definedName name="____ME12">[8]alat!$BP$246</definedName>
    <definedName name="____ME13">[8]alat!$BP$266</definedName>
    <definedName name="____ME14">[8]alat!$BP$286</definedName>
    <definedName name="____ME15">[8]alat!$BP$306</definedName>
    <definedName name="____ME16">[8]alat!$BP$326</definedName>
    <definedName name="____ME17">[8]alat!$BP$346</definedName>
    <definedName name="____ME18">[8]alat!$BP$366</definedName>
    <definedName name="____ME19">[8]alat!$BP$386</definedName>
    <definedName name="____me2">{"Book1","4.09 FLORA DAN FAUNA.xls","4.22 PERLENGKAPAN SEKOLAH.xls"}</definedName>
    <definedName name="____ME20">[8]alat!$BP$406</definedName>
    <definedName name="____ME21">[8]alat!$BP$426</definedName>
    <definedName name="____ME22">[8]alat!$BP$446</definedName>
    <definedName name="____ME23">[8]alat!$BP$466</definedName>
    <definedName name="____ME24">[8]alat!$BP$486</definedName>
    <definedName name="____ME25">[8]alat!$BP$506</definedName>
    <definedName name="____ME26">[8]alat!$BP$526</definedName>
    <definedName name="____ME27">[8]alat!$BP$546</definedName>
    <definedName name="____ME28">[8]alat!$BP$566</definedName>
    <definedName name="____ME29">[8]alat!$BP$586</definedName>
    <definedName name="____me3">{"Book1","4.09 FLORA DAN FAUNA.xls","4.22 PERLENGKAPAN SEKOLAH.xls"}</definedName>
    <definedName name="____ME30">[8]alat!$BP$606</definedName>
    <definedName name="____ME31">[8]alat!$BP$626</definedName>
    <definedName name="____ME32">[8]alat!$BP$646</definedName>
    <definedName name="____ME33">[8]alat!$BP$666</definedName>
    <definedName name="____ME34">[8]alat!$BP$697</definedName>
    <definedName name="____me4">{"Book1","4.09 FLORA DAN FAUNA.xls","4.22 PERLENGKAPAN SEKOLAH.xls"}</definedName>
    <definedName name="____me5">{"Book1","4.09 FLORA DAN FAUNA.xls","4.22 PERLENGKAPAN SEKOLAH.xls"}</definedName>
    <definedName name="____me9">{"Book1","4.09 FLORA DAN FAUNA.xls","4.22 PERLENGKAPAN SEKOLAH.xls"}</definedName>
    <definedName name="____mek1">{"Book1","4.09 FLORA DAN FAUNA.xls","4.22 PERLENGKAPAN SEKOLAH.xls"}</definedName>
    <definedName name="____mek2">{"Book1","4.09 FLORA DAN FAUNA.xls","4.22 PERLENGKAPAN SEKOLAH.xls"}</definedName>
    <definedName name="____mek3">{"Book1","4.09 FLORA DAN FAUNA.xls","4.22 PERLENGKAPAN SEKOLAH.xls"}</definedName>
    <definedName name="____mek5">{"Book1","4.09 FLORA DAN FAUNA.xls","4.22 PERLENGKAPAN SEKOLAH.xls"}</definedName>
    <definedName name="____mek87">{"Book1","4.09 FLORA DAN FAUNA.xls","4.22 PERLENGKAPAN SEKOLAH.xls"}</definedName>
    <definedName name="____mek9">{"Book1","4.09 FLORA DAN FAUNA.xls","4.22 PERLENGKAPAN SEKOLAH.xls"}</definedName>
    <definedName name="____meq12">{"Book1","4.09 FLORA DAN FAUNA.xls","4.22 PERLENGKAPAN SEKOLAH.xls"}</definedName>
    <definedName name="____MMM01">#REF!</definedName>
    <definedName name="____MMM02">#REF!</definedName>
    <definedName name="____MMM03">#REF!</definedName>
    <definedName name="____MMM04">#REF!</definedName>
    <definedName name="____MMM05">#REF!</definedName>
    <definedName name="____MMM06">#REF!</definedName>
    <definedName name="____MMM07">#REF!</definedName>
    <definedName name="____MMM08">#REF!</definedName>
    <definedName name="____MMM09">#REF!</definedName>
    <definedName name="____MMM10">#REF!</definedName>
    <definedName name="____MMM11">#REF!</definedName>
    <definedName name="____MMM12">#REF!</definedName>
    <definedName name="____MMM13">#REF!</definedName>
    <definedName name="____MMM14">#REF!</definedName>
    <definedName name="____MMM15">#REF!</definedName>
    <definedName name="____MMM16">#REF!</definedName>
    <definedName name="____MMM17">#REF!</definedName>
    <definedName name="____MMM18">#REF!</definedName>
    <definedName name="____MMM19">#REF!</definedName>
    <definedName name="____MMM20">#REF!</definedName>
    <definedName name="____MMM21">#REF!</definedName>
    <definedName name="____MMM22">#REF!</definedName>
    <definedName name="____MMM23">#REF!</definedName>
    <definedName name="____MMM24">#REF!</definedName>
    <definedName name="____MMM25">#REF!</definedName>
    <definedName name="____MMM26">#REF!</definedName>
    <definedName name="____MMM27">#REF!</definedName>
    <definedName name="____MMM28">#REF!</definedName>
    <definedName name="____MMM29">#REF!</definedName>
    <definedName name="____MMM30">#REF!</definedName>
    <definedName name="____MMM31">#REF!</definedName>
    <definedName name="____MMM32">#REF!</definedName>
    <definedName name="____MMM33">#REF!</definedName>
    <definedName name="____MMM34">#REF!</definedName>
    <definedName name="____MMM35">#REF!</definedName>
    <definedName name="____MMM36">#REF!</definedName>
    <definedName name="____MMM37">#REF!</definedName>
    <definedName name="____MMM38">#REF!</definedName>
    <definedName name="____MMM39">#REF!</definedName>
    <definedName name="____MMM40">#REF!</definedName>
    <definedName name="____MMM41">#REF!</definedName>
    <definedName name="____MMM411">#REF!</definedName>
    <definedName name="____MMM42">#REF!</definedName>
    <definedName name="____MMM43">#REF!</definedName>
    <definedName name="____MMM44">#REF!</definedName>
    <definedName name="____MMM45">#REF!</definedName>
    <definedName name="____MMM46">#REF!</definedName>
    <definedName name="____MMM47">#REF!</definedName>
    <definedName name="____MMM48">#REF!</definedName>
    <definedName name="____MMM49">#REF!</definedName>
    <definedName name="____MMM50">#REF!</definedName>
    <definedName name="____MMM51">#REF!</definedName>
    <definedName name="____MMM52">#REF!</definedName>
    <definedName name="____MMM53">#REF!</definedName>
    <definedName name="____MMM54">#REF!</definedName>
    <definedName name="____NE1">'[9]AN-SNI'!#REF!</definedName>
    <definedName name="____pav8">#REF!</definedName>
    <definedName name="____pvc1">#REF!</definedName>
    <definedName name="____pvc12">#REF!</definedName>
    <definedName name="____pvc3">#REF!</definedName>
    <definedName name="____pvc34">#REF!</definedName>
    <definedName name="____pvc44">#REF!</definedName>
    <definedName name="___arr3">{"Book1","4.09 FLORA DAN FAUNA.xls","4.22 PERLENGKAPAN SEKOLAH.xls"}</definedName>
    <definedName name="___ATB1">#REF!</definedName>
    <definedName name="___ATB2">#REF!</definedName>
    <definedName name="___ATB3">#REF!</definedName>
    <definedName name="___ATB4">#REF!</definedName>
    <definedName name="___BRA2">'[10]ANALISA SNI''13 '!$I$461</definedName>
    <definedName name="___bsc100">#REF!</definedName>
    <definedName name="___C94739">[4]ANALISA!#REF!</definedName>
    <definedName name="___der4">{"Book1","4.09 FLORA DAN FAUNA.xls","4.22 PERLENGKAPAN SEKOLAH.xls"}</definedName>
    <definedName name="___DIV1">'[11]Kuantitas &amp; Harga'!$G$21</definedName>
    <definedName name="___DIV10">'[11]Kuantitas &amp; Harga'!$G$372</definedName>
    <definedName name="___DIV11">#REF!</definedName>
    <definedName name="___DIV2">'[11]Kuantitas &amp; Harga'!$G$54</definedName>
    <definedName name="___DIV3">'[11]Kuantitas &amp; Harga'!$G$88</definedName>
    <definedName name="___DIV4">'[11]Kuantitas &amp; Harga'!$G$108</definedName>
    <definedName name="___DIV5">'[11]Kuantitas &amp; Harga'!$G$126</definedName>
    <definedName name="___DIV6">'[11]Kuantitas &amp; Harga'!$G$159</definedName>
    <definedName name="___DIV7">'[11]Kuantitas &amp; Harga'!$G$286</definedName>
    <definedName name="___DIV8">'[11]Kuantitas &amp; Harga'!$G$330</definedName>
    <definedName name="___DIV9">'[11]Kuantitas &amp; Harga'!$G$359</definedName>
    <definedName name="___doc5">{"Book1","4.09 FLORA DAN FAUNA.xls","4.22 PERLENGKAPAN SEKOLAH.xls"}</definedName>
    <definedName name="___EEE06">'[7]5-ALAT(1)'!$AW$13</definedName>
    <definedName name="___EEE08">'[7]5-ALAT(1)'!$AW$15</definedName>
    <definedName name="___EEE17">'[7]5-ALAT(1)'!$AW$24</definedName>
    <definedName name="___EEE23">'[7]5-ALAT(1)'!$AW$30</definedName>
    <definedName name="___EQU2">#REF!</definedName>
    <definedName name="___HAL1">#REF!</definedName>
    <definedName name="___HAL2">#REF!</definedName>
    <definedName name="___HAL3">#REF!</definedName>
    <definedName name="___HAL4">#REF!</definedName>
    <definedName name="___HAL5">#REF!</definedName>
    <definedName name="___HAL6">#REF!</definedName>
    <definedName name="___HAL7">#REF!</definedName>
    <definedName name="___HAL8">#REF!</definedName>
    <definedName name="___J632569">#REF!</definedName>
    <definedName name="___ker1020">#REF!</definedName>
    <definedName name="___ker2020">#REF!</definedName>
    <definedName name="___ker2025">#REF!</definedName>
    <definedName name="___ker3030">#REF!</definedName>
    <definedName name="___ker40">'[5]HB '!#REF!</definedName>
    <definedName name="___KEY001" hidden="1">[12]LOADDAT!#REF!</definedName>
    <definedName name="___KEY002" hidden="1">[12]LOADDAT!#REF!</definedName>
    <definedName name="___KEY01" hidden="1">[12]LOADDAT!#REF!</definedName>
    <definedName name="___KEY02" hidden="1">[12]LOADDAT!#REF!</definedName>
    <definedName name="___ko2">#REF!</definedName>
    <definedName name="___LLL01">#REF!</definedName>
    <definedName name="___LLL02">#REF!</definedName>
    <definedName name="___LLL03">#REF!</definedName>
    <definedName name="___LLL04">#REF!</definedName>
    <definedName name="___LLL05">#REF!</definedName>
    <definedName name="___LLL06">#REF!</definedName>
    <definedName name="___LLL07">#REF!</definedName>
    <definedName name="___LLL08">#REF!</definedName>
    <definedName name="___LLL09">#REF!</definedName>
    <definedName name="___LLL10">#REF!</definedName>
    <definedName name="___LLL11">#REF!</definedName>
    <definedName name="___mas1">{"Book1","4.09 FLORA DAN FAUNA.xls","4.22 PERLENGKAPAN SEKOLAH.xls"}</definedName>
    <definedName name="___mas12">{"Book1","4.09 FLORA DAN FAUNA.xls","4.22 PERLENGKAPAN SEKOLAH.xls"}</definedName>
    <definedName name="___mas2">{"Book1","4.09 FLORA DAN FAUNA.xls","4.22 PERLENGKAPAN SEKOLAH.xls"}</definedName>
    <definedName name="___mas4">{"Book1","4.09 FLORA DAN FAUNA.xls","4.22 PERLENGKAPAN SEKOLAH.xls"}</definedName>
    <definedName name="___mas5">{"Book1","4.09 FLORA DAN FAUNA.xls","4.22 PERLENGKAPAN SEKOLAH.xls"}</definedName>
    <definedName name="___mas6">{"Book1","4.09 FLORA DAN FAUNA.xls","4.22 PERLENGKAPAN SEKOLAH.xls"}</definedName>
    <definedName name="___mas7">{"Book1","4.09 FLORA DAN FAUNA.xls","4.22 PERLENGKAPAN SEKOLAH.xls"}</definedName>
    <definedName name="___mas8">{"Book1","4.09 FLORA DAN FAUNA.xls","4.22 PERLENGKAPAN SEKOLAH.xls"}</definedName>
    <definedName name="___mas9">{"Book1","4.09 FLORA DAN FAUNA.xls","4.22 PERLENGKAPAN SEKOLAH.xls"}</definedName>
    <definedName name="___MDE01">#REF!</definedName>
    <definedName name="___MDE02">#REF!</definedName>
    <definedName name="___MDE03">#REF!</definedName>
    <definedName name="___MDE04">#REF!</definedName>
    <definedName name="___MDE05">#REF!</definedName>
    <definedName name="___MDE06">[3]ALAT!$BO$128</definedName>
    <definedName name="___MDE07">#REF!</definedName>
    <definedName name="___MDE08">[3]ALAT!$BO$168</definedName>
    <definedName name="___MDE09">#REF!</definedName>
    <definedName name="___MDE10">#REF!</definedName>
    <definedName name="___MDE11">#REF!</definedName>
    <definedName name="___MDE12">#REF!</definedName>
    <definedName name="___MDE13">#REF!</definedName>
    <definedName name="___MDE14">#REF!</definedName>
    <definedName name="___MDE15">#REF!</definedName>
    <definedName name="___MDE16">#REF!</definedName>
    <definedName name="___MDE17">#REF!</definedName>
    <definedName name="___MDE18">#REF!</definedName>
    <definedName name="___MDE19">#REF!</definedName>
    <definedName name="___MDE20">#REF!</definedName>
    <definedName name="___MDE21">#REF!</definedName>
    <definedName name="___MDE22">#REF!</definedName>
    <definedName name="___MDE23">#REF!</definedName>
    <definedName name="___MDE24">#REF!</definedName>
    <definedName name="___MDE25">#REF!</definedName>
    <definedName name="___MDE26">#REF!</definedName>
    <definedName name="___MDE27">#REF!</definedName>
    <definedName name="___MDE28">#REF!</definedName>
    <definedName name="___MDE29">#REF!</definedName>
    <definedName name="___MDE30">#REF!</definedName>
    <definedName name="___MDE31">#REF!</definedName>
    <definedName name="___MDE32">#REF!</definedName>
    <definedName name="___MDE33">#REF!</definedName>
    <definedName name="___MDE34">#REF!</definedName>
    <definedName name="___ME01">#REF!</definedName>
    <definedName name="___ME02">#REF!</definedName>
    <definedName name="___ME03">#REF!</definedName>
    <definedName name="___ME04">#REF!</definedName>
    <definedName name="___ME05">#REF!</definedName>
    <definedName name="___ME06">[3]ALAT!$BO$127</definedName>
    <definedName name="___ME07">#REF!</definedName>
    <definedName name="___ME08">[3]ALAT!$BO$167</definedName>
    <definedName name="___ME09">#REF!</definedName>
    <definedName name="___me1">{"Book1","4.09 FLORA DAN FAUNA.xls","4.22 PERLENGKAPAN SEKOLAH.xls"}</definedName>
    <definedName name="___ME10">#REF!</definedName>
    <definedName name="___ME11">#REF!</definedName>
    <definedName name="___ME12">#REF!</definedName>
    <definedName name="___ME13">#REF!</definedName>
    <definedName name="___ME14">#REF!</definedName>
    <definedName name="___ME15">#REF!</definedName>
    <definedName name="___ME16">#REF!</definedName>
    <definedName name="___ME17">#REF!</definedName>
    <definedName name="___ME18">#REF!</definedName>
    <definedName name="___ME19">#REF!</definedName>
    <definedName name="___me2">{"Book1","4.09 FLORA DAN FAUNA.xls","4.22 PERLENGKAPAN SEKOLAH.xls"}</definedName>
    <definedName name="___ME20">#REF!</definedName>
    <definedName name="___ME21">#REF!</definedName>
    <definedName name="___ME22">#REF!</definedName>
    <definedName name="___ME23">#REF!</definedName>
    <definedName name="___ME24">#REF!</definedName>
    <definedName name="___ME25">#REF!</definedName>
    <definedName name="___ME26">#REF!</definedName>
    <definedName name="___ME27">#REF!</definedName>
    <definedName name="___ME28">#REF!</definedName>
    <definedName name="___ME29">#REF!</definedName>
    <definedName name="___me3">{"Book1","4.09 FLORA DAN FAUNA.xls","4.22 PERLENGKAPAN SEKOLAH.xls"}</definedName>
    <definedName name="___ME30">#REF!</definedName>
    <definedName name="___ME31">#REF!</definedName>
    <definedName name="___ME32">#REF!</definedName>
    <definedName name="___ME33">#REF!</definedName>
    <definedName name="___ME34">#REF!</definedName>
    <definedName name="___me4">{"Book1","4.09 FLORA DAN FAUNA.xls","4.22 PERLENGKAPAN SEKOLAH.xls"}</definedName>
    <definedName name="___me5">{"Book1","4.09 FLORA DAN FAUNA.xls","4.22 PERLENGKAPAN SEKOLAH.xls"}</definedName>
    <definedName name="___me9">{"Book1","4.09 FLORA DAN FAUNA.xls","4.22 PERLENGKAPAN SEKOLAH.xls"}</definedName>
    <definedName name="___mek1">{"Book1","4.09 FLORA DAN FAUNA.xls","4.22 PERLENGKAPAN SEKOLAH.xls"}</definedName>
    <definedName name="___mek2">{"Book1","4.09 FLORA DAN FAUNA.xls","4.22 PERLENGKAPAN SEKOLAH.xls"}</definedName>
    <definedName name="___mek3">{"Book1","4.09 FLORA DAN FAUNA.xls","4.22 PERLENGKAPAN SEKOLAH.xls"}</definedName>
    <definedName name="___mek5">{"Book1","4.09 FLORA DAN FAUNA.xls","4.22 PERLENGKAPAN SEKOLAH.xls"}</definedName>
    <definedName name="___mek87">{"Book1","4.09 FLORA DAN FAUNA.xls","4.22 PERLENGKAPAN SEKOLAH.xls"}</definedName>
    <definedName name="___mek9">{"Book1","4.09 FLORA DAN FAUNA.xls","4.22 PERLENGKAPAN SEKOLAH.xls"}</definedName>
    <definedName name="___meq12">{"Book1","4.09 FLORA DAN FAUNA.xls","4.22 PERLENGKAPAN SEKOLAH.xls"}</definedName>
    <definedName name="___mg8">#REF!</definedName>
    <definedName name="___MMM01">#REF!</definedName>
    <definedName name="___MMM02">#REF!</definedName>
    <definedName name="___MMM03">#REF!</definedName>
    <definedName name="___MMM04">#REF!</definedName>
    <definedName name="___MMM05">#REF!</definedName>
    <definedName name="___MMM06">#REF!</definedName>
    <definedName name="___MMM07">#REF!</definedName>
    <definedName name="___MMM08">#REF!</definedName>
    <definedName name="___MMM09">#REF!</definedName>
    <definedName name="___MMM10">#REF!</definedName>
    <definedName name="___MMM11">#REF!</definedName>
    <definedName name="___MMM12">#REF!</definedName>
    <definedName name="___MMM13">#REF!</definedName>
    <definedName name="___MMM14">#REF!</definedName>
    <definedName name="___MMM15">#REF!</definedName>
    <definedName name="___MMM16">#REF!</definedName>
    <definedName name="___MMM17">#REF!</definedName>
    <definedName name="___MMM18">#REF!</definedName>
    <definedName name="___MMM19">#REF!</definedName>
    <definedName name="___MMM20">#REF!</definedName>
    <definedName name="___MMM21">#REF!</definedName>
    <definedName name="___MMM22">#REF!</definedName>
    <definedName name="___MMM23">#REF!</definedName>
    <definedName name="___MMM24">#REF!</definedName>
    <definedName name="___MMM25">#REF!</definedName>
    <definedName name="___MMM26">#REF!</definedName>
    <definedName name="___MMM27">#REF!</definedName>
    <definedName name="___MMM28">#REF!</definedName>
    <definedName name="___MMM29">#REF!</definedName>
    <definedName name="___MMM30">#REF!</definedName>
    <definedName name="___MMM31">#REF!</definedName>
    <definedName name="___MMM32">#REF!</definedName>
    <definedName name="___MMM33">#REF!</definedName>
    <definedName name="___MMM34">#REF!</definedName>
    <definedName name="___MMM35">#REF!</definedName>
    <definedName name="___MMM36">#REF!</definedName>
    <definedName name="___MMM37">#REF!</definedName>
    <definedName name="___MMM38">#REF!</definedName>
    <definedName name="___MMM39">#REF!</definedName>
    <definedName name="___MMM40">#REF!</definedName>
    <definedName name="___MMM41">#REF!</definedName>
    <definedName name="___MMM411">#REF!</definedName>
    <definedName name="___MMM42">#REF!</definedName>
    <definedName name="___MMM43">#REF!</definedName>
    <definedName name="___MMM44">#REF!</definedName>
    <definedName name="___MMM45">#REF!</definedName>
    <definedName name="___MMM46">#REF!</definedName>
    <definedName name="___MMM47">#REF!</definedName>
    <definedName name="___MMM48">#REF!</definedName>
    <definedName name="___MMM49">#REF!</definedName>
    <definedName name="___MMM50">#REF!</definedName>
    <definedName name="___MMM51">#REF!</definedName>
    <definedName name="___MMM52">#REF!</definedName>
    <definedName name="___MMM53">#REF!</definedName>
    <definedName name="___MMM54">#REF!</definedName>
    <definedName name="___NE1">'[9]AN-SNI'!#REF!</definedName>
    <definedName name="___pav8">#REF!</definedName>
    <definedName name="___PVC05">'[10]ANALISA SNI''13 '!$I$2288</definedName>
    <definedName name="___pvc1">#REF!</definedName>
    <definedName name="___pvc12">#REF!</definedName>
    <definedName name="___PVC153">'[13]ANALISA SNI''13 '!#REF!</definedName>
    <definedName name="___pvc3">#REF!</definedName>
    <definedName name="___pvc34">#REF!</definedName>
    <definedName name="___PVC4">'[10]ANALISA SNI''13 '!$I$2312</definedName>
    <definedName name="___pvc44">#REF!</definedName>
    <definedName name="__123Graph_A">'[14]Agg A'!#REF!</definedName>
    <definedName name="__123Graph_B">'[14]Agg A'!#REF!</definedName>
    <definedName name="__123Graph_C" hidden="1">[15]AC!#REF!</definedName>
    <definedName name="__123Graph_D" hidden="1">[16]SEX!$P$7:$P$7</definedName>
    <definedName name="__123Graph_E" hidden="1">[15]AC!#REF!</definedName>
    <definedName name="__123Graph_F" hidden="1">[17]ESCON!#REF!</definedName>
    <definedName name="__123Graph_X">'[14]Agg A'!#REF!</definedName>
    <definedName name="__arr3">{"Book1","4.09 FLORA DAN FAUNA.xls","4.22 PERLENGKAPAN SEKOLAH.xls"}</definedName>
    <definedName name="__ATB1">#REF!</definedName>
    <definedName name="__ATB2">#REF!</definedName>
    <definedName name="__ATB3">#REF!</definedName>
    <definedName name="__ATB4">#REF!</definedName>
    <definedName name="__BRA2">'[18]ANALISA SNI''13 '!$I$461</definedName>
    <definedName name="__bsc100">#REF!</definedName>
    <definedName name="__C94739">[4]ANALISA!#REF!</definedName>
    <definedName name="__cod50">[19]SAP!#REF!</definedName>
    <definedName name="__DAF10">#REF!</definedName>
    <definedName name="__der4">{"Book1","4.09 FLORA DAN FAUNA.xls","4.22 PERLENGKAPAN SEKOLAH.xls"}</definedName>
    <definedName name="__DIV1">#REF!</definedName>
    <definedName name="__DIV10">#REF!</definedName>
    <definedName name="__DIV11">#REF!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oc5">{"Book1","4.09 FLORA DAN FAUNA.xls","4.22 PERLENGKAPAN SEKOLAH.xls"}</definedName>
    <definedName name="__EEE02">'[7]5-ALAT(1)'!$AW$9</definedName>
    <definedName name="__EEE07">'[7]5-ALAT(1)'!$AW$14</definedName>
    <definedName name="__EEE13">'[7]5-ALAT(1)'!$AW$20</definedName>
    <definedName name="__EEE19">'[7]5-ALAT(1)'!$AW$26</definedName>
    <definedName name="__EEE31">'[7]5-ALAT(1)'!$AW$38</definedName>
    <definedName name="__EQU1">#REF!</definedName>
    <definedName name="__EQU2">#REF!</definedName>
    <definedName name="__fdd100">[19]SAP!#REF!</definedName>
    <definedName name="__fvd100">[19]SAP!#REF!</definedName>
    <definedName name="__grc1">#REF!</definedName>
    <definedName name="__gvd20">[19]SAP!#REF!</definedName>
    <definedName name="__gvd32">[19]SAP!#REF!</definedName>
    <definedName name="__gvd40">[19]SAP!#REF!</definedName>
    <definedName name="__gvd80">[19]SAP!#REF!</definedName>
    <definedName name="__HAL1">#REF!</definedName>
    <definedName name="__HAL2">#REF!</definedName>
    <definedName name="__HAL3">#REF!</definedName>
    <definedName name="__HAL4">#REF!</definedName>
    <definedName name="__HAL5">#REF!</definedName>
    <definedName name="__HAL6">#REF!</definedName>
    <definedName name="__HAL7">#REF!</definedName>
    <definedName name="__HAL8">#REF!</definedName>
    <definedName name="__J632569">#REF!</definedName>
    <definedName name="__ker1020">#REF!</definedName>
    <definedName name="__ker2020">#REF!</definedName>
    <definedName name="__ker2025">#REF!</definedName>
    <definedName name="__ker3030">#REF!</definedName>
    <definedName name="__ker40">'[5]HB '!#REF!</definedName>
    <definedName name="__KEY001" hidden="1">[12]LOADDAT!#REF!</definedName>
    <definedName name="__KEY002" hidden="1">[12]LOADDAT!#REF!</definedName>
    <definedName name="__KEY01" hidden="1">[12]LOADDAT!#REF!</definedName>
    <definedName name="__KEY02" hidden="1">[12]LOADDAT!#REF!</definedName>
    <definedName name="__ko2">#REF!</definedName>
    <definedName name="__kr15">[19]SAP!#REF!</definedName>
    <definedName name="__LLL01">#REF!</definedName>
    <definedName name="__LLL02">#REF!</definedName>
    <definedName name="__LLL03">#REF!</definedName>
    <definedName name="__LLL04">#REF!</definedName>
    <definedName name="__LLL05">#REF!</definedName>
    <definedName name="__LLL06">#REF!</definedName>
    <definedName name="__LLL07">#REF!</definedName>
    <definedName name="__LLL08">#REF!</definedName>
    <definedName name="__LLL09">#REF!</definedName>
    <definedName name="__LLL10">#REF!</definedName>
    <definedName name="__LLL11">#REF!</definedName>
    <definedName name="__mas1">{"Book1","4.09 FLORA DAN FAUNA.xls","4.22 PERLENGKAPAN SEKOLAH.xls"}</definedName>
    <definedName name="__mas12">{"Book1","4.09 FLORA DAN FAUNA.xls","4.22 PERLENGKAPAN SEKOLAH.xls"}</definedName>
    <definedName name="__mas2">{"Book1","4.09 FLORA DAN FAUNA.xls","4.22 PERLENGKAPAN SEKOLAH.xls"}</definedName>
    <definedName name="__mas4">{"Book1","4.09 FLORA DAN FAUNA.xls","4.22 PERLENGKAPAN SEKOLAH.xls"}</definedName>
    <definedName name="__mas5">{"Book1","4.09 FLORA DAN FAUNA.xls","4.22 PERLENGKAPAN SEKOLAH.xls"}</definedName>
    <definedName name="__mas6">{"Book1","4.09 FLORA DAN FAUNA.xls","4.22 PERLENGKAPAN SEKOLAH.xls"}</definedName>
    <definedName name="__mas7">{"Book1","4.09 FLORA DAN FAUNA.xls","4.22 PERLENGKAPAN SEKOLAH.xls"}</definedName>
    <definedName name="__mas8">{"Book1","4.09 FLORA DAN FAUNA.xls","4.22 PERLENGKAPAN SEKOLAH.xls"}</definedName>
    <definedName name="__mas9">{"Book1","4.09 FLORA DAN FAUNA.xls","4.22 PERLENGKAPAN SEKOLAH.xls"}</definedName>
    <definedName name="__MDE01">[8]alat!$BP$27</definedName>
    <definedName name="__MDE02">[8]alat!$BP$47</definedName>
    <definedName name="__MDE03">[8]alat!$BP$67</definedName>
    <definedName name="__MDE04">[8]alat!$BP$87</definedName>
    <definedName name="__MDE05">[8]alat!$BP$107</definedName>
    <definedName name="__MDE06">[3]ALAT!$BO$128</definedName>
    <definedName name="__MDE07">[8]alat!$BP$147</definedName>
    <definedName name="__MDE08">[3]ALAT!$BO$168</definedName>
    <definedName name="__MDE09">[8]alat!$BP$187</definedName>
    <definedName name="__MDE10">[8]alat!$BP$207</definedName>
    <definedName name="__MDE11">[8]alat!$BP$227</definedName>
    <definedName name="__MDE12">[8]alat!$BP$247</definedName>
    <definedName name="__MDE13">[8]alat!$BP$267</definedName>
    <definedName name="__MDE14">[8]alat!$BP$287</definedName>
    <definedName name="__MDE15">[8]alat!$BP$307</definedName>
    <definedName name="__MDE16">[8]alat!$BP$327</definedName>
    <definedName name="__MDE17">[8]alat!$BP$347</definedName>
    <definedName name="__MDE18">[8]alat!$BP$367</definedName>
    <definedName name="__MDE19">[8]alat!$BP$387</definedName>
    <definedName name="__MDE20">[8]alat!$BP$407</definedName>
    <definedName name="__MDE21">[8]alat!$BP$427</definedName>
    <definedName name="__MDE22">[8]alat!$BP$447</definedName>
    <definedName name="__MDE23">[8]alat!$BP$467</definedName>
    <definedName name="__MDE24">[8]alat!$BP$487</definedName>
    <definedName name="__MDE25">[8]alat!$BP$507</definedName>
    <definedName name="__MDE26">[8]alat!$BP$527</definedName>
    <definedName name="__MDE27">[8]alat!$BP$547</definedName>
    <definedName name="__MDE28">[8]alat!$BP$567</definedName>
    <definedName name="__MDE29">[8]alat!$BP$587</definedName>
    <definedName name="__MDE30">[8]alat!$BP$607</definedName>
    <definedName name="__MDE31">[8]alat!$BP$627</definedName>
    <definedName name="__MDE32">[8]alat!$BP$647</definedName>
    <definedName name="__MDE33">[8]alat!$BP$667</definedName>
    <definedName name="__MDE34">[8]alat!$BP$698</definedName>
    <definedName name="__ME01">[8]alat!$BP$26</definedName>
    <definedName name="__ME02">[8]alat!$BP$46</definedName>
    <definedName name="__ME03">[8]alat!$BP$66</definedName>
    <definedName name="__ME04">[8]alat!$BP$86</definedName>
    <definedName name="__ME05">[8]alat!$BP$106</definedName>
    <definedName name="__ME06">[3]ALAT!$BO$127</definedName>
    <definedName name="__ME07">[8]alat!$BP$146</definedName>
    <definedName name="__ME08">[3]ALAT!$BO$167</definedName>
    <definedName name="__ME09">[8]alat!$BP$186</definedName>
    <definedName name="__me1">{"Book1","4.09 FLORA DAN FAUNA.xls","4.22 PERLENGKAPAN SEKOLAH.xls"}</definedName>
    <definedName name="__ME10">[8]alat!$BP$206</definedName>
    <definedName name="__ME11">[8]alat!$BP$226</definedName>
    <definedName name="__ME12">[8]alat!$BP$246</definedName>
    <definedName name="__ME13">[8]alat!$BP$266</definedName>
    <definedName name="__ME14">[8]alat!$BP$286</definedName>
    <definedName name="__ME15">[8]alat!$BP$306</definedName>
    <definedName name="__ME16">[8]alat!$BP$326</definedName>
    <definedName name="__ME17">[8]alat!$BP$346</definedName>
    <definedName name="__ME18">[8]alat!$BP$366</definedName>
    <definedName name="__ME19">[8]alat!$BP$386</definedName>
    <definedName name="__me2">{"Book1","4.09 FLORA DAN FAUNA.xls","4.22 PERLENGKAPAN SEKOLAH.xls"}</definedName>
    <definedName name="__ME20">[8]alat!$BP$406</definedName>
    <definedName name="__ME21">[8]alat!$BP$426</definedName>
    <definedName name="__ME22">[8]alat!$BP$446</definedName>
    <definedName name="__ME23">[8]alat!$BP$466</definedName>
    <definedName name="__ME24">[8]alat!$BP$486</definedName>
    <definedName name="__ME25">[8]alat!$BP$506</definedName>
    <definedName name="__ME26">[8]alat!$BP$526</definedName>
    <definedName name="__ME27">[8]alat!$BP$546</definedName>
    <definedName name="__ME28">[8]alat!$BP$566</definedName>
    <definedName name="__ME29">[8]alat!$BP$586</definedName>
    <definedName name="__me3">{"Book1","4.09 FLORA DAN FAUNA.xls","4.22 PERLENGKAPAN SEKOLAH.xls"}</definedName>
    <definedName name="__ME30">[8]alat!$BP$606</definedName>
    <definedName name="__ME31">[8]alat!$BP$626</definedName>
    <definedName name="__ME32">[8]alat!$BP$646</definedName>
    <definedName name="__ME33">[8]alat!$BP$666</definedName>
    <definedName name="__ME34">[8]alat!$BP$697</definedName>
    <definedName name="__me4">{"Book1","4.09 FLORA DAN FAUNA.xls","4.22 PERLENGKAPAN SEKOLAH.xls"}</definedName>
    <definedName name="__me5">{"Book1","4.09 FLORA DAN FAUNA.xls","4.22 PERLENGKAPAN SEKOLAH.xls"}</definedName>
    <definedName name="__me9">{"Book1","4.09 FLORA DAN FAUNA.xls","4.22 PERLENGKAPAN SEKOLAH.xls"}</definedName>
    <definedName name="__mek1">{"Book1","4.09 FLORA DAN FAUNA.xls","4.22 PERLENGKAPAN SEKOLAH.xls"}</definedName>
    <definedName name="__mek2">{"Book1","4.09 FLORA DAN FAUNA.xls","4.22 PERLENGKAPAN SEKOLAH.xls"}</definedName>
    <definedName name="__mek3">{"Book1","4.09 FLORA DAN FAUNA.xls","4.22 PERLENGKAPAN SEKOLAH.xls"}</definedName>
    <definedName name="__mek5">{"Book1","4.09 FLORA DAN FAUNA.xls","4.22 PERLENGKAPAN SEKOLAH.xls"}</definedName>
    <definedName name="__mek87">{"Book1","4.09 FLORA DAN FAUNA.xls","4.22 PERLENGKAPAN SEKOLAH.xls"}</definedName>
    <definedName name="__mek9">{"Book1","4.09 FLORA DAN FAUNA.xls","4.22 PERLENGKAPAN SEKOLAH.xls"}</definedName>
    <definedName name="__meq12">{"Book1","4.09 FLORA DAN FAUNA.xls","4.22 PERLENGKAPAN SEKOLAH.xls"}</definedName>
    <definedName name="__mg8">#REF!</definedName>
    <definedName name="__MMM01">#REF!</definedName>
    <definedName name="__MMM02">#REF!</definedName>
    <definedName name="__MMM03">#REF!</definedName>
    <definedName name="__MMM04">#REF!</definedName>
    <definedName name="__MMM05">#REF!</definedName>
    <definedName name="__MMM06">#REF!</definedName>
    <definedName name="__MMM07">#REF!</definedName>
    <definedName name="__MMM08">#REF!</definedName>
    <definedName name="__MMM09">#REF!</definedName>
    <definedName name="__MMM10">#REF!</definedName>
    <definedName name="__MMM11">#REF!</definedName>
    <definedName name="__MMM12">#REF!</definedName>
    <definedName name="__MMM13">#REF!</definedName>
    <definedName name="__MMM14">#REF!</definedName>
    <definedName name="__MMM15">#REF!</definedName>
    <definedName name="__MMM16">#REF!</definedName>
    <definedName name="__MMM17">#REF!</definedName>
    <definedName name="__MMM18">#REF!</definedName>
    <definedName name="__MMM19">#REF!</definedName>
    <definedName name="__MMM20">#REF!</definedName>
    <definedName name="__MMM21">#REF!</definedName>
    <definedName name="__MMM22">#REF!</definedName>
    <definedName name="__MMM23">#REF!</definedName>
    <definedName name="__MMM24">#REF!</definedName>
    <definedName name="__MMM25">#REF!</definedName>
    <definedName name="__MMM26">#REF!</definedName>
    <definedName name="__MMM27">#REF!</definedName>
    <definedName name="__MMM28">#REF!</definedName>
    <definedName name="__MMM29">#REF!</definedName>
    <definedName name="__MMM30">#REF!</definedName>
    <definedName name="__MMM31">#REF!</definedName>
    <definedName name="__MMM32">#REF!</definedName>
    <definedName name="__MMM33">#REF!</definedName>
    <definedName name="__MMM34">#REF!</definedName>
    <definedName name="__MMM35">#REF!</definedName>
    <definedName name="__MMM36">#REF!</definedName>
    <definedName name="__MMM37">#REF!</definedName>
    <definedName name="__MMM38">#REF!</definedName>
    <definedName name="__MMM39">#REF!</definedName>
    <definedName name="__MMM40">#REF!</definedName>
    <definedName name="__MMM41">#REF!</definedName>
    <definedName name="__MMM411">#REF!</definedName>
    <definedName name="__MMM42">#REF!</definedName>
    <definedName name="__MMM43">#REF!</definedName>
    <definedName name="__MMM44">#REF!</definedName>
    <definedName name="__MMM45">#REF!</definedName>
    <definedName name="__MMM46">#REF!</definedName>
    <definedName name="__MMM47">#REF!</definedName>
    <definedName name="__MMM48">#REF!</definedName>
    <definedName name="__MMM49">#REF!</definedName>
    <definedName name="__MMM50">#REF!</definedName>
    <definedName name="__MMM51">#REF!</definedName>
    <definedName name="__MMM52">#REF!</definedName>
    <definedName name="__MMM53">#REF!</definedName>
    <definedName name="__MMM54">#REF!</definedName>
    <definedName name="__NE1">'[9]AN-SNI'!#REF!</definedName>
    <definedName name="__pav8">#REF!</definedName>
    <definedName name="__PVC05">'[18]ANALISA SNI''13 '!$I$2288</definedName>
    <definedName name="__pvc1">#REF!</definedName>
    <definedName name="__pvc100">[19]SAP!#REF!</definedName>
    <definedName name="__pvc12">#REF!</definedName>
    <definedName name="__pvc150">[19]SAP!#REF!</definedName>
    <definedName name="__PVC153">'[13]ANALISA SNI''13 '!#REF!</definedName>
    <definedName name="__PVC2">'[10]ANALISA SNI''13 '!$I$2296</definedName>
    <definedName name="__pvc20">[19]SAP!#REF!</definedName>
    <definedName name="__pvc200">[19]SAP!#REF!</definedName>
    <definedName name="__pvc25">[19]SAP!#REF!</definedName>
    <definedName name="__pvc3">#REF!</definedName>
    <definedName name="__pvc32">[19]SAP!#REF!</definedName>
    <definedName name="__pvc34">#REF!</definedName>
    <definedName name="__PVC4">'[18]ANALISA SNI''13 '!$I$2312</definedName>
    <definedName name="__pvc40">[19]SAP!#REF!</definedName>
    <definedName name="__pvc44">#REF!</definedName>
    <definedName name="__pvc50">[19]SAP!#REF!</definedName>
    <definedName name="__pvc65">[19]SAP!#REF!</definedName>
    <definedName name="__pvc80">[19]SAP!#REF!</definedName>
    <definedName name="__qmd15">[19]SAP!#REF!</definedName>
    <definedName name="__qmd20">[19]SAP!#REF!</definedName>
    <definedName name="__rdd100">[19]SAP!#REF!</definedName>
    <definedName name="__rdd150">[19]SAP!#REF!</definedName>
    <definedName name="__rkl1000">#REF!</definedName>
    <definedName name="__rkl200">#REF!</definedName>
    <definedName name="__rkl300">#REF!</definedName>
    <definedName name="__rkl400">#REF!</definedName>
    <definedName name="__rkl500">#REF!</definedName>
    <definedName name="__rkl600">#REF!</definedName>
    <definedName name="__rkl700">#REF!</definedName>
    <definedName name="__rkl800">#REF!</definedName>
    <definedName name="__tlc20">#REF!</definedName>
    <definedName name="_1">#REF!</definedName>
    <definedName name="_1__BH_ROOSTER__KAYU_BORNEO_20_20">'[20]Rekap Analisa'!#REF!</definedName>
    <definedName name="_1__KG_BESI_TERPASANG_U_32">'[20]Rekap Analisa'!#REF!</definedName>
    <definedName name="_1__M1_PAGAR_PENGAMAN_PROYEK_SENG_GELOMBANG_TINGGI_2_M">'[20]Rekap Analisa'!#REF!</definedName>
    <definedName name="_1__M1_PEK._PASANGAN_BOUWPLANK">'[20]Rekap Analisa'!#REF!</definedName>
    <definedName name="_1__M1_PLESTERAN_PROFIL_SEDERHANA_1___2___ACIAN">'[20]Rekap Analisa'!#REF!</definedName>
    <definedName name="_1__M1_PLINT_KAYU_KAMPER_SAMARINDA_profil">'[20]Rekap Analisa'!#REF!</definedName>
    <definedName name="_1__M1_PLINT_KERAMIK___10_40____Corak_Roman">'[20]Rekap Analisa'!#REF!</definedName>
    <definedName name="_1__M2_BEKISTING_DENGAN_PAPAN">'[20]Rekap Analisa'!#REF!</definedName>
    <definedName name="_1__M2_BEKISTING_DENGAN_PAPAN_MULTIPLEKS_9_mm">'[20]Rekap Analisa'!#REF!</definedName>
    <definedName name="_1__M2_DINDING_BATU_ALAM_10_20__Palimanan">'[20]Rekap Analisa'!#REF!</definedName>
    <definedName name="_1__M2_DINDING_BATU_ALAM_10_20__Sela_Gedang_Garut">'[20]Rekap Analisa'!#REF!</definedName>
    <definedName name="_1__M2_DINDING_BATU_ALAM_20_20__Batu_Tasik_Hitam">'[20]Rekap Analisa'!#REF!</definedName>
    <definedName name="_1__M2_DINDING_BATU_ALAM_20_20__Candi">'[20]Rekap Analisa'!#REF!</definedName>
    <definedName name="_1__M2_DINDING_BATU_ALAM_20_20__Palimanan">'[20]Rekap Analisa'!#REF!</definedName>
    <definedName name="_1__M2_DINDING_BATU_ALAM_20_20__Sela_Gedang_Garut">'[20]Rekap Analisa'!#REF!</definedName>
    <definedName name="_1__M2_DINDING_BATU_KACA_ABU_ABU_dan_KREM">'[20]Rekap Analisa'!#REF!</definedName>
    <definedName name="_1__M2_DINDING_BATU_KACA_GRANIT_HTAM_DAN_ABU_ABU">'[20]Rekap Analisa'!#REF!</definedName>
    <definedName name="_1__M2_DINDING_GLASS_BLOCK__20_20">'[20]Rekap Analisa'!#REF!</definedName>
    <definedName name="_1__M2_DINDING_Granito_60_60">'[20]Rekap Analisa'!#REF!</definedName>
    <definedName name="_1__M2_DINDING_KERAMIK_20_x_20">'[20]Rekap Analisa'!#REF!</definedName>
    <definedName name="_1__M2_DIREKSI_KEET">'[20]Rekap Analisa'!#REF!</definedName>
    <definedName name="_1__M2_LANTAI_BATU_KACA_KREM_DAN_ABU__ABU">'[20]Rekap Analisa'!#REF!</definedName>
    <definedName name="_1__M2_LANTAI_BATU_TEBAR_FLORIST">'[20]Rekap Analisa'!#REF!</definedName>
    <definedName name="_1__M2_LANTAI_GRANITO_40_X_40_CM">'[20]Rekap Analisa'!#REF!</definedName>
    <definedName name="_1__M2_LANTAI_KERAMIK___30_30____Putih">'[20]Rekap Analisa'!#REF!</definedName>
    <definedName name="_1__M2_LANTAI_KERAMIK___40_40____Bercorak__Platinum">'[20]Rekap Analisa'!#REF!</definedName>
    <definedName name="_1__M2_LANTAI_KERAMIK_20_20_CM___BERCORAK_ANTI_SLIP__Roman">'[20]Rekap Analisa'!#REF!</definedName>
    <definedName name="_1__M2_LANTAI_PAVING_BLOCK">'[20]Rekap Analisa'!#REF!</definedName>
    <definedName name="_1__M2_LANTAI_UBIN_KULIT_BADAK_20_20_CM">'[20]Rekap Analisa'!#REF!</definedName>
    <definedName name="_1__M2_LOS_KERJA___GUDANG">'[20]Rekap Analisa'!#REF!</definedName>
    <definedName name="_1__M2_PAPAN_NAMA_PROYEK">'[20]Rekap Analisa'!#REF!</definedName>
    <definedName name="_1__M2_PAS._RABAT_BETON">'[20]Rekap Analisa'!#REF!</definedName>
    <definedName name="_1__M2_PASANGAN_1__BATA_MERAH_1___5">'[20]Rekap Analisa'!#REF!</definedName>
    <definedName name="_1__M2_PASANGAN_1_2__BATA_MERAH_1___5">'[20]Rekap Analisa'!#REF!</definedName>
    <definedName name="_1__M2_PASANGAN_1_2_BATA_MERAH_1___3">'[20]Rekap Analisa'!#REF!</definedName>
    <definedName name="_1__M2_PASANGAN_1_BATA_MERAH_1___3">'[20]Rekap Analisa'!#REF!</definedName>
    <definedName name="_1__M2_PASANGAN_CONBLOK_CB.15">'[20]Rekap Analisa'!#REF!</definedName>
    <definedName name="_1__M2_PASANGAN_ROOSTER_BATA_12_X_11_X_24_CM">'[20]Rekap Analisa'!#REF!</definedName>
    <definedName name="_1__M2_PASANGAN_STOOT_WERK">'[20]Rekap Analisa'!#REF!</definedName>
    <definedName name="_1__M2_PEK._PENGUKURAN_KEMBALI__SITE">'[20]Rekap Analisa'!#REF!</definedName>
    <definedName name="_1__M2_PEK._TEBAR_BATU_TELOR_ABU_ABU_BERPORI__3_LAPIS">'[20]Rekap Analisa'!#REF!</definedName>
    <definedName name="_1__M2_PLESTERAN_BETON_1___3___ACIAN_TEBAL_15_MM">'[20]Rekap Analisa'!#REF!</definedName>
    <definedName name="_1__M2_PLESTERAN_DINDING_1___2___ACIAN__t_2cm">'[20]Rekap Analisa'!#REF!</definedName>
    <definedName name="_1__M2_PLESTERAN_DINDING_1___3___ACIAN__t_2cm">'[20]Rekap Analisa'!#REF!</definedName>
    <definedName name="_1__M2_PLESTERAN_DINDING_1___5___ACIAN">'[20]Rekap Analisa'!#REF!</definedName>
    <definedName name="_1__M2_SCREEDING_LANTAI_T._2_3_CM">'[20]Rekap Analisa'!#REF!</definedName>
    <definedName name="_1__M3_BALOK_B1___40_15_K_225">'[20]Rekap Analisa'!#REF!</definedName>
    <definedName name="_1__M3_BALOK_B2___20_15_K_225">'[20]Rekap Analisa'!#REF!</definedName>
    <definedName name="_1__M3_BALOK_B3___45_15_K_225">'[20]Rekap Analisa'!#REF!</definedName>
    <definedName name="_1__M3_BALOK_B4___15_15_K_225">'[20]Rekap Analisa'!#REF!</definedName>
    <definedName name="_1__M3_BALOK_B5___25_15_K_225">'[20]Rekap Analisa'!#REF!</definedName>
    <definedName name="_1__M3_BALOK_B6___30_10_K_225">'[20]Rekap Analisa'!#REF!</definedName>
    <definedName name="_1__M3_BALOK_LINTEL_BL1___15_20_K_225">'[20]Rekap Analisa'!#REF!</definedName>
    <definedName name="_1__M3_BALOK_LINTEL_BL2___10_20_K_225">'[20]Rekap Analisa'!#REF!</definedName>
    <definedName name="_1__M3_BALOK_LINTEL_BL4___20_15_K_225">'[20]Rekap Analisa'!#REF!</definedName>
    <definedName name="_1__M3_BETON_TUMBUK_1_Pc___2Ps___3Kr">'[20]Rekap Analisa'!#REF!</definedName>
    <definedName name="_1__M3_BETON_TUMBUK_1_Pc___3Ps___5Kr">'[20]Rekap Analisa'!#REF!</definedName>
    <definedName name="_1__M3_COR_BETON_SITE_MIX_K__175">'[20]Rekap Analisa'!#REF!</definedName>
    <definedName name="_1__M3_COR_BETON_SITE_MIX_K__225">'[20]Rekap Analisa'!#REF!</definedName>
    <definedName name="_1__M3_KOLOM_K1__12_12_K_225">'[20]Rekap Analisa'!#REF!</definedName>
    <definedName name="_1__M3_KOLOM_K10__15_10_K_225__KOLOM_BALOK_LINTEL">'[20]Rekap Analisa'!#REF!</definedName>
    <definedName name="_1__M3_KOLOM_K2__20_20__K_225">'[20]Rekap Analisa'!#REF!</definedName>
    <definedName name="_1__M3_KOLOM_K3__45_20_K_225">'[20]Rekap Analisa'!#REF!</definedName>
    <definedName name="_1__M3_KOLOM_K5__20_15_K_225">'[20]Rekap Analisa'!#REF!</definedName>
    <definedName name="_1__M3_KOLOM_K6__20_15_K_225">'[20]Rekap Analisa'!#REF!</definedName>
    <definedName name="_1__M3_KOLOM_K7__20_15_K_225">'[20]Rekap Analisa'!#REF!</definedName>
    <definedName name="_1__M3_KOLOM_K8__20_10_K_225">'[20]Rekap Analisa'!#REF!</definedName>
    <definedName name="_1__M3_KOLOM_K9__30_10_K_225__KOLOM_BALOK_LINTEL">'[20]Rekap Analisa'!#REF!</definedName>
    <definedName name="_1__M3_LANTAI_KERJA___BETON_TUMBUK_5_CM___1_PC___3_PS___5_KRL">'[20]Rekap Analisa'!#REF!</definedName>
    <definedName name="_1__M3_PASANGAN_AANSTAMPING_BATU_BELAH">'[20]Rekap Analisa'!#REF!</definedName>
    <definedName name="_1__M3_PASANGAN_BATU_BELAH_1___3">'[20]Rekap Analisa'!#REF!</definedName>
    <definedName name="_1__M3_PASANGAN_BATU_BELAH_1___4">'[20]Rekap Analisa'!#REF!</definedName>
    <definedName name="_1__M3_PASANGAN_BATU_BELAH_1___5">'[20]Rekap Analisa'!#REF!</definedName>
    <definedName name="_1__M3_PEK._GALIAN_TANAH_BIASA_MAX._KEDALAMAN_1M">'[20]Rekap Analisa'!#REF!</definedName>
    <definedName name="_1__M3_PEK._GALIAN_TANAH_BIASA_MAX._KEDALAMAN_2_M">'[20]Rekap Analisa'!#REF!</definedName>
    <definedName name="_1__M3_PEK._PEMADATAN_TANAH">'[20]Rekap Analisa'!#REF!</definedName>
    <definedName name="_1__M3_PEK._PEMADATAN_TANAH_SETIAP_20_CM_DENGAN_ALAT">'[20]Rekap Analisa'!#REF!</definedName>
    <definedName name="_1__M3_PEK._PEMBUANGAN_TANAH_RADIUS_150_M">'[20]Rekap Analisa'!#REF!</definedName>
    <definedName name="_1__M3_PEK._URUGAN_PENINGGIAN_TANAH">'[20]Rekap Analisa'!#REF!</definedName>
    <definedName name="_1__M3_PEK._URUGAN_PENINGGIAN_TANAH___Tanah_Beli">'[20]Rekap Analisa'!#REF!</definedName>
    <definedName name="_1__M3_PEK._URUGAN_TANAH_KEMBALI">'[20]Rekap Analisa'!#REF!</definedName>
    <definedName name="_1__M3_PEKERJAAN_URUGAN_PASIR_BETON">'[20]Rekap Analisa'!#REF!</definedName>
    <definedName name="_1__M3_PEKERJAAN_URUGAN_PASIR_URUG">'[20]Rekap Analisa'!#REF!</definedName>
    <definedName name="_1__M3_PLAT_LANTAI_T__10_CM_BETON_BERTULANG">'[20]Rekap Analisa'!#REF!</definedName>
    <definedName name="_1__M3_PLAT_LANTAI_T__12_CM_BETON_BERTULANG">'[20]Rekap Analisa'!#REF!</definedName>
    <definedName name="_1__M3_PONDASI_TELAPAK_BETON_BERTULANG_K3_K_225">'[20]Rekap Analisa'!#REF!</definedName>
    <definedName name="_1__M3_PONDASI_TELAPAK_BETON_BERTULANG_K7_K_225">'[20]Rekap Analisa'!#REF!</definedName>
    <definedName name="_1__M3_RING_BALOK_RB1___20_15_K_225">'[20]Rekap Analisa'!#REF!</definedName>
    <definedName name="_1__M3_RING_BALOK_RB2___20_15_K_225">'[20]Rekap Analisa'!#REF!</definedName>
    <definedName name="_1__M3_SLOOF__S1__20_20_K_225">'[20]Rekap Analisa'!#REF!</definedName>
    <definedName name="_1__M3_SLOOF__S2__20_20_K_225">'[20]Rekap Analisa'!#REF!</definedName>
    <definedName name="_1__M3_SLOOF__S3__20_15_K_225">'[20]Rekap Analisa'!#REF!</definedName>
    <definedName name="_1__M3_SLOOF__S4__20_15_K_225">'[20]Rekap Analisa'!#REF!</definedName>
    <definedName name="_1_bh_BORDER_KERAMIK_10_20__CORAK">'[20]Rekap Analisa'!#REF!</definedName>
    <definedName name="_1_BH_PASANG_BAK_60_x_60___KERAMIK">'[20]Rekap Analisa'!#REF!</definedName>
    <definedName name="_1_BH_PASANG_BAK_80_x_80">'[20]Rekap Analisa'!#REF!</definedName>
    <definedName name="_1_BH_PASANG_CLOSET_DUDUK">'[20]Rekap Analisa'!#REF!</definedName>
    <definedName name="_1_BH_PASANG_FLOOR_DRAIN">'[20]Rekap Analisa'!#REF!</definedName>
    <definedName name="_1_BH_PASANG_KITCHEN_ZINK___Kran">'[20]Rekap Analisa'!#REF!</definedName>
    <definedName name="_1_BH_PASANG_KRAN">'[20]Rekap Analisa'!#REF!</definedName>
    <definedName name="_1_BH_PASANG_KRAN_TOTO">'[20]Rekap Analisa'!#REF!</definedName>
    <definedName name="_1_BH_PASANG_PANEL_LISTRIK">'[20]Rekap Analisa'!#REF!</definedName>
    <definedName name="_1_BH_PASANG_SAKLAR_TELEPON">'[20]Rekap Analisa'!#REF!</definedName>
    <definedName name="_1_BH_PASANG_SAKLAR_TV">'[20]Rekap Analisa'!#REF!</definedName>
    <definedName name="_1_BH_PASANG_SHOWER_KOMPLIT">'[20]Rekap Analisa'!#REF!</definedName>
    <definedName name="_1_BH_PASANG_TEMPAT_SABUN">'[20]Rekap Analisa'!#REF!</definedName>
    <definedName name="_1_BH_PASANG_WASTAFEL">'[20]Rekap Analisa'!#REF!</definedName>
    <definedName name="_1_BH_PASANG_WATER_HEATER_PALOMA">'[20]Rekap Analisa'!#REF!</definedName>
    <definedName name="_1_BH_ROOSTER_ADUKAN_R3_30_X_170_CM">'[20]Rekap Analisa'!#REF!</definedName>
    <definedName name="_1_BH_ROOSTER_ADUKAN_RI_30_X_90_CM">'[20]Rekap Analisa'!#REF!</definedName>
    <definedName name="_1_BUAH_PASANG_DIMMER">'[20]Rekap Analisa'!#REF!</definedName>
    <definedName name="_1_BUAH_PASANG_EXHOUSE_FAN">'[20]Rekap Analisa'!#REF!</definedName>
    <definedName name="_1_BUAH_PASANG_PHOTOCELL">'[20]Rekap Analisa'!#REF!</definedName>
    <definedName name="_1_BUAH_PASANG_SAKLAR_DOUBLE_CLIPSAL">'[20]Rekap Analisa'!#REF!</definedName>
    <definedName name="_1_BUAH_PASANG_SAKLAR_HOTEL_DOUBLE_CLIPSAL">'[20]Rekap Analisa'!#REF!</definedName>
    <definedName name="_1_BUAH_PASANG_SAKLAR_HOTEL_SINGLE_CLIPSAL">'[20]Rekap Analisa'!#REF!</definedName>
    <definedName name="_1_BUAH_PASANG_SAKLAR_SINGLE">'[20]Rekap Analisa'!#REF!</definedName>
    <definedName name="_1_BUAH_PASANG_SAKLAR_SINGLE_CLIPSAL">'[20]Rekap Analisa'!#REF!</definedName>
    <definedName name="_1_BUAH_PASANG_STOPKONTAK">'[20]Rekap Analisa'!#REF!</definedName>
    <definedName name="_1_BUAH_PASANG_STOPKONTAK_CLIPSAL">'[20]Rekap Analisa'!#REF!</definedName>
    <definedName name="_1_m__AMPARAN_SIRTU_KELAS_A__T_15_CM">'[20]Rekap Analisa'!#REF!</definedName>
    <definedName name="_1_m__GALIAN_TANAH_MAX._KEDALAMAN_1m">'[21]Rekapitulasi Harga Satuan'!$G$27</definedName>
    <definedName name="_1_m__HOTMIX_AC_MANUAL_T_5_CM">'[20]Rekap Analisa'!#REF!</definedName>
    <definedName name="_1_M__INSTALASI_JARINGAN_TV">'[20]Rekap Analisa'!#REF!</definedName>
    <definedName name="_1_M__INSTALASI_KABEL_TELEPON">'[20]Rekap Analisa'!#REF!</definedName>
    <definedName name="_1_M__INSTALASI_KABEL_TV">'[20]Rekap Analisa'!#REF!</definedName>
    <definedName name="_1_M__INSTALASI_LISTRIK">'[20]Rekap Analisa'!#REF!</definedName>
    <definedName name="_1_M__INSTALASI_LISTRIK_NYM_3_X_1_5_SUPREME">'[20]Rekap Analisa'!#REF!</definedName>
    <definedName name="_1_M__INSTALASI_LISTRIK_NYM_3_X_2_5_SUPREME">'[20]Rekap Analisa'!#REF!</definedName>
    <definedName name="_1_M__INSTALASI_TELEPON___SAKLAR">'[20]Rekap Analisa'!#REF!</definedName>
    <definedName name="_1_M__INSTALASI_TV___SAKLAR">'[20]Rekap Analisa'!#REF!</definedName>
    <definedName name="_1_m__JARINGAN_INDUK_AIR_BERSIH_PE__Ø_1___BAWAH_TANAH">'[20]Rekap Analisa'!#REF!</definedName>
    <definedName name="_1_m__JARINGAN_INDUK_AIR_BERSIH_PE__Ø_2__BAWAH_TANAH">'[20]Rekap Analisa'!#REF!</definedName>
    <definedName name="_1_m__JARINGAN_INDUK_AIR_BERSIH_PE_Ø_1__BAWAH_TANAH">'[20]Rekap Analisa'!#REF!</definedName>
    <definedName name="_1_m__JARINGAN_INDUK_AIR_BERSIH_PIPA_GIP_MED_B__Ø_2__BAWAH_TANAH">'[20]Rekap Analisa'!#REF!</definedName>
    <definedName name="_1_m__JARINGAN_KABEL_TANAH_4_x_10_mm_____SPARING_PIPA_PVC">'[20]Rekap Analisa'!#REF!</definedName>
    <definedName name="_1_m__JARINGAN_KABEL_TANAH_4_x_6_mm_____SPARING_PIPA_PVC">'[20]Rekap Analisa'!#REF!</definedName>
    <definedName name="_1_m__JARINGAN_TELEPHONE__KABEL_TANAH____0_6_mm___SPARING_PVC">'[20]Rekap Analisa'!#REF!</definedName>
    <definedName name="_1_m__LAPISAN_PEREKAT___TACK_COAT">'[20]Rekap Analisa'!#REF!</definedName>
    <definedName name="_1_m__OVERLAY_HOTMIX_AC_MANUAL_T_3_CM">'[20]Rekap Analisa'!#REF!</definedName>
    <definedName name="_1_m__PAS._PAVING_BLOCK_T___8_CM">'[20]Rekap Analisa'!#REF!</definedName>
    <definedName name="_1_m__PASANGAN_BUIS_BETON_Ø_30_CM">'[20]Rekap Analisa'!#REF!</definedName>
    <definedName name="_1_m__PASANGAN_PONDASI_AGREGAT_A_T_15_CM">'[20]Rekap Analisa'!#REF!</definedName>
    <definedName name="_1_m__PASANGAN_PONDASI_AGREGAT_A_T_19_CM">'[20]Rekap Analisa'!#REF!</definedName>
    <definedName name="_1_M__PEK.JALUSI_1_X_5_CM_KAYU_JATI">'[20]Rekap Analisa'!#REF!</definedName>
    <definedName name="_1_M__PEK.KUSEN_MELENGKUNG_Kamper_Samarinda_Oven">'[20]Rekap Analisa'!#REF!</definedName>
    <definedName name="_1_M__PEK.KUSEN_PINTU_JENDELA_JATI_JATENG">'[20]Rekap Analisa'!#REF!</definedName>
    <definedName name="_1_M__PEK.KUSEN_PINTU_JENDELA_Kamper_Samarinda_Oven">'[20]Rekap Analisa'!#REF!</definedName>
    <definedName name="_1_M__PEK.RANGKA_DAUN_JENDELA_KAYU_JATI">'[20]Rekap Analisa'!#REF!</definedName>
    <definedName name="_1_m__PENANAMAN_LEMPENGAN_RUMPUT_PANAITAN">'[20]Rekap Analisa'!#REF!</definedName>
    <definedName name="_1_m__PENGASPALAN_MANUAL">'[20]Rekap Analisa'!$E$25</definedName>
    <definedName name="_1_m__PRASARANA_KANSTEEN_JALAN_K.01">'[20]Rekap Analisa'!#REF!</definedName>
    <definedName name="_1_m__URUGAN_TANAH_KEMBALI">'[21]Rekapitulasi Harga Satuan'!$G$29</definedName>
    <definedName name="_1_M_PEK.KUSEN_MELENGKUNG_KAYU_JATI_JATENG_Ø_60_CM">'[20]Rekap Analisa'!#REF!</definedName>
    <definedName name="_1_M_SALURAN_AIR_HUJAN___BAK_KONTROL">'[20]Rekap Analisa'!#REF!</definedName>
    <definedName name="_1_M1_PAS._TALANG_SENG">'[20]Rekap Analisa'!#REF!</definedName>
    <definedName name="_1_M1_PAS.NOK_ATAS_ATAP_METAL">'[20]Rekap Analisa'!#REF!</definedName>
    <definedName name="_1_M1_PAS.NOK_BULAT_GENTENG_PLENTONG">'[20]Rekap Analisa'!#REF!</definedName>
    <definedName name="_1_M1_PAS.NOK_PINGGIR_ATAP_METAL">'[20]Rekap Analisa'!#REF!</definedName>
    <definedName name="_1_M1_PAS.NOK_PINGGIR_GENTENG_PLENTONG">'[20]Rekap Analisa'!#REF!</definedName>
    <definedName name="_1_M1_PAS.NOK_WALL_FLASHING_RAINBOW">'[20]Rekap Analisa'!#REF!</definedName>
    <definedName name="_1_M1_PAS.PAPAN_RUITER_KAMPER_BANJAR_3_30">'[20]Rekap Analisa'!#REF!</definedName>
    <definedName name="_1_M1_PEK.LIST_PROFIL_GYPSUM_10_CM">'[20]Rekap Analisa'!#REF!</definedName>
    <definedName name="_1_M1_PEK.LIST_PROFIL_KAYU_Borneo_Super_4_CM">'[20]Rekap Analisa'!#REF!</definedName>
    <definedName name="_1_M1_PEK.LISTPLANK_KAYU_KAMPER_SAMARINDA_OVEN_3_20">'[20]Rekap Analisa'!#REF!</definedName>
    <definedName name="_1_M1_PIPA_1_2">'[20]Rekap Analisa'!#REF!</definedName>
    <definedName name="_1_M1_PIPA_2">'[20]Rekap Analisa'!#REF!</definedName>
    <definedName name="_1_M1_PIPA_3">'[20]Rekap Analisa'!#REF!</definedName>
    <definedName name="_1_M1_PIPA_3_4">'[20]Rekap Analisa'!#REF!</definedName>
    <definedName name="_1_M1_PIPA_4">'[20]Rekap Analisa'!#REF!</definedName>
    <definedName name="_1_M1_PIPA_GIP_ISTW_MED._B_1_2">'[20]Rekap Analisa'!#REF!</definedName>
    <definedName name="_1_M1_PIPA_GIP_ISTW_MED._B_3_4">'[20]Rekap Analisa'!#REF!</definedName>
    <definedName name="_1_M2__PEK._DAUN_PINTU__PANIL_KAYU_JATI">'[20]Rekap Analisa'!#REF!</definedName>
    <definedName name="_1_M2__PEK.RANGKA_PENUTUP_ATAP_GENTENG._Kayu_Kamper_Banjar">'[20]Rekap Analisa'!#REF!</definedName>
    <definedName name="_1_M2_AMPARAN_SIRTU_KELAS_A__T_15_CM">'[20]Rekap Analisa'!#REF!</definedName>
    <definedName name="_1_M2_BONGKARAN_GENTENG__BUBUNGAN">'[20]Rekap Analisa'!#REF!</definedName>
    <definedName name="_1_M2_BONGKARAN_PLAFOND___RANGKA_PLAFOND">'[20]Rekap Analisa'!#REF!</definedName>
    <definedName name="_1_M2_HOTMIX_AC_MANUAL_T_5_CM">'[20]Rekap Analisa'!#REF!</definedName>
    <definedName name="_1_M2_LAPISAN_PEREKAT___TACK_COAT">'[20]Rekap Analisa'!#REF!</definedName>
    <definedName name="_1_M2_OVERLAY_HOTMIX_AC_MANUAL_T_3_CM">'[20]Rekap Analisa'!#REF!</definedName>
    <definedName name="_1_M2_PAS._PAVING_BLOCK_T___8_CM">'[20]Rekap Analisa'!#REF!</definedName>
    <definedName name="_1_M2_PAS._RANGKA_PLAFOND__KAYU_KAMPER_BANJAR_KRUING_30_X_60_CM">'[20]Rekap Analisa'!#REF!</definedName>
    <definedName name="_1_M2_PAS.PENUTUP_ATAP_GENTENG_PLENTONG">'[20]Rekap Analisa'!#REF!</definedName>
    <definedName name="_1_M2_PAS.PENUTUP_ATAP_METAL_ROOF">'[20]Rekap Analisa'!#REF!</definedName>
    <definedName name="_1_M2_PASANG_KACA_POLOS_5_MM">'[20]Rekap Analisa'!#REF!</definedName>
    <definedName name="_1_M2_PASANGAN_PONDASI_AGREGAT_A_T_15_CM">'[20]Rekap Analisa'!#REF!</definedName>
    <definedName name="_1_M2_PASANGAN_PONDASI_AGREGAT_A_T_19_CM">'[20]Rekap Analisa'!#REF!</definedName>
    <definedName name="_1_M2_PEK.__PENUTUP_PLAFOND_Gypsum_9_mm">'[20]Rekap Analisa'!#REF!</definedName>
    <definedName name="_1_M2_PEK._PENUTUP_PLAFOND_Eternit_4_mm">'[20]Rekap Analisa'!#REF!</definedName>
    <definedName name="_1_M2_PEK._PENUTUP_PLAFOND_Gypsum_12_mm">'[20]Rekap Analisa'!#REF!</definedName>
    <definedName name="_1_M2_PEK._PENUTUP_PLAFOND_Kayu_Kamper_2_cm">'[20]Rekap Analisa'!#REF!</definedName>
    <definedName name="_1_M2_PEK._PENUTUP_PLAFOND_Teakwood_3_mm">'[20]Rekap Analisa'!#REF!</definedName>
    <definedName name="_1_M2_PEK.BONGKARAN_RANGKA_ATAP">'[20]Rekap Analisa'!#REF!</definedName>
    <definedName name="_1_M2_PEK.CAT_KAYU._KUSEN_PINTU__JENDELA__BOUVENLIGHT___3X">'[20]Rekap Analisa'!#REF!</definedName>
    <definedName name="_1_M2_PEK.CAT_KAYU_PINOGUARD">'[20]Rekap Analisa'!#REF!</definedName>
    <definedName name="_1_M2_PEK.CAT_MELAMIN_KAYU">'[20]Rekap Analisa'!#REF!</definedName>
    <definedName name="_1_M2_PENGECATAN_DINDING_TEMBOK_EXTERIOR__ICI_BETTERNUT_WEATHERSHEILD">'[20]Rekap Analisa'!$E$22</definedName>
    <definedName name="_1_M2_PENGECATAN_DINDING_TEMBOK_EXTERIOR__ICI_PUTIH_WEATHERSHEILD">'[20]Rekap Analisa'!#REF!</definedName>
    <definedName name="_1_M2_PENGECATAN_DINDING_TEMBOK_INTERIOR__ICI_PUTIH_PENTALITE">'[20]Rekap Analisa'!#REF!</definedName>
    <definedName name="_1_M2_PENGECATAN_DINDING_TEMBOK_INTERIOR__ICI_WARNA_PENTALITE">'[20]Rekap Analisa'!#REF!</definedName>
    <definedName name="_1_M2_PENGECATAN_EBRO_PLAFOND_BETON">'[20]Rekap Analisa'!#REF!</definedName>
    <definedName name="_1_M2_PENGECATAN_PLAFOND__ICI___3x">'[20]Rekap Analisa'!#REF!</definedName>
    <definedName name="_1_M3__PEK.KUDA_KUDA_GORDING__NOK._KAYU_KAMPER_BANJAR">'[20]Rekap Analisa'!#REF!</definedName>
    <definedName name="_1_M3__PEK.KUSEN_PINTU__JENDELA__BOUVENLIGHT._JATI_JATENG">'[20]Rekap Analisa'!#REF!</definedName>
    <definedName name="_1_M3__PEK.KUSEN_PINTU__JENDELA__BOUVENLIGHT._Kamper_Samarinda">'[20]Rekap Analisa'!#REF!</definedName>
    <definedName name="_1_M3_BONGKARAN_BETON_BERTULANG">'[20]Rekap Analisa'!#REF!</definedName>
    <definedName name="_1_M3_BONGKARAN_DINDING_BATA">'[20]Rekap Analisa'!#REF!</definedName>
    <definedName name="_1_M3_BONGKARAN_KUDA_KUDA__GORDING">'[20]Rekap Analisa'!#REF!</definedName>
    <definedName name="_1_UNIT__PEK._DAUN_PINTU__PANIL._75_x_225_CM__JATI_JATENG">'[20]Rekap Analisa'!#REF!</definedName>
    <definedName name="_1_UNIT__PEK._DAUN_PINTU__PANIL._75_x_240_._Kamper_Samarinda">'[20]Rekap Analisa'!#REF!</definedName>
    <definedName name="_1_UNIT__PEK._DAUN_PINTU__PANIL._80_x_225_CM__JATI_JATENG">'[20]Rekap Analisa'!#REF!</definedName>
    <definedName name="_1_UNIT__PEK._DAUN_PINTU__PANIL._80_x_245_._Kamper_Samarinda">'[20]Rekap Analisa'!#REF!</definedName>
    <definedName name="_1_UNIT__PEK._DAUN_PINTU__PANIL._90_x_225_CM__JATI_JATENG">'[20]Rekap Analisa'!#REF!</definedName>
    <definedName name="_1_UNIT__PEK._DAUN_PINTU__PANIL._90_x_240_._Kamper_Samarinda">'[20]Rekap Analisa'!#REF!</definedName>
    <definedName name="_1_UNIT__PEK._DAUN_PINTU__PANIL._90_x_245_._Kamper_Samarinda">'[20]Rekap Analisa'!#REF!</definedName>
    <definedName name="_1_UNIT__PEK._DAUN_PINTU__PANIL_JALUSI_75_x_225_CM__JATI_JATENG">'[20]Rekap Analisa'!#REF!</definedName>
    <definedName name="_1_UNIT__PEK._DAUN_PINTU_85_x_210_Triplek_3_mm_Rangka_Borneo">'[20]Rekap Analisa'!#REF!</definedName>
    <definedName name="_1_UNIT__PEK._DAUN_PINTU_DOUBLE_TRIPLEK_3_MM__Uk.40x200cm">'[20]Rekap Analisa'!#REF!</definedName>
    <definedName name="_1_UNIT__PEK._DAUN_PINTU_DOUBLE_TRIPLEK_3_MM__Uk.70x200cm">'[20]Rekap Analisa'!#REF!</definedName>
    <definedName name="_1_UNIT__PEK._DAUN_PINTU_DOUBLE_TRIPLEK_3_MM__Uk.75x200cm">'[20]Rekap Analisa'!#REF!</definedName>
    <definedName name="_1_UNIT__PEK._KUSEN_BOUVENLICHT_BV1">'[20]Rekap Analisa'!#REF!</definedName>
    <definedName name="_1_UNIT__PEK._KUSEN_BOUVENLICHT_BV2">'[20]Rekap Analisa'!#REF!</definedName>
    <definedName name="_1_UNIT__PEK._KUSEN_BOUVENLICHT_BV3">'[20]Rekap Analisa'!#REF!</definedName>
    <definedName name="_1_UNIT__PEK.DAUN_JENDELA_KAYU_BULAT_JATI_JATENG__Ø_60_CM">'[20]Rekap Analisa'!#REF!</definedName>
    <definedName name="_1_UNIT__PEK.DAUN_JENDELA_KAYU_BULAT_KAMPER_SAMARINDA__Ø_65_CM">'[20]Rekap Analisa'!#REF!</definedName>
    <definedName name="_1_UNIT__PEK.DAUN_JENDELA_KAYU_JALUSI_JATI_JATENG__60_X_60_CM">'[20]Rekap Analisa'!#REF!</definedName>
    <definedName name="_1_UNIT__PEK.DAUN_JENDELA_KAYU_JALUSI_KAMPER_SAMARINDA__70_X_50">'[20]Rekap Analisa'!#REF!</definedName>
    <definedName name="_1_UNIT__PEK.DAUN_JENDELA_KAYU_JATI_JATENG__60_x_120_CM">'[20]Rekap Analisa'!#REF!</definedName>
    <definedName name="_1_UNIT__PEK.DAUN_JENDELA_KAYU_JATI_JATENG__60_x_60_CM">'[20]Rekap Analisa'!#REF!</definedName>
    <definedName name="_1_UNIT__PEK.DAUN_JENDELA_KAYU_JATI_JATENG__62_x_40_CM">'[20]Rekap Analisa'!#REF!</definedName>
    <definedName name="_1_UNIT__PEK.DAUN_JENDELA_KAYU_JATI_JATENG__73_x_40_CM">'[20]Rekap Analisa'!#REF!</definedName>
    <definedName name="_1_UNIT__PEK.DAUN_JENDELA_KAYU_JATI_JATENG__85_x_120_CM">'[20]Rekap Analisa'!#REF!</definedName>
    <definedName name="_1_UNIT__PEK.DAUN_JENDELA_KAYU_KAMPER_SAMARINDA__40_x_135">'[20]Rekap Analisa'!#REF!</definedName>
    <definedName name="_1_UNIT__PEK.DAUN_JENDELA_KAYU_KAMPER_SAMARINDA__50_x_135">'[20]Rekap Analisa'!#REF!</definedName>
    <definedName name="_1_UNIT__PEK.DAUN_JENDELA_KAYU_KAMPER_SAMARINDA__50_x_205">'[20]Rekap Analisa'!#REF!</definedName>
    <definedName name="_1_UNIT__PEK.DAUN_JENDELA_KAYU_KAMPER_SAMARINDA__85_x_135">'[20]Rekap Analisa'!#REF!</definedName>
    <definedName name="_1_UNIT__PEK.KUSEN_JENDELA_B_1">'[20]Rekap Analisa'!#REF!</definedName>
    <definedName name="_1_UNIT__PEK.KUSEN_JENDELA_J_1">'[20]Rekap Analisa'!#REF!</definedName>
    <definedName name="_1_UNIT__PEK.KUSEN_JENDELA_J_2">'[20]Rekap Analisa'!#REF!</definedName>
    <definedName name="_1_UNIT__PEK.KUSEN_JENDELA_JK">'[20]Rekap Analisa'!#REF!</definedName>
    <definedName name="_1_UNIT__PEK.KUSEN_JENDELA_JM">'[20]Rekap Analisa'!#REF!</definedName>
    <definedName name="_1_UNIT__PEK.KUSEN_PINTU_P2">'[20]Rekap Analisa'!#REF!</definedName>
    <definedName name="_1_UNIT__PEK.KUSEN_PINTU_P3">'[20]Rekap Analisa'!#REF!</definedName>
    <definedName name="_1_UNIT__PEK.KUSEN_PINTU_PI">'[20]Rekap Analisa'!#REF!</definedName>
    <definedName name="_1_UNIT_PEK._REMBESAN_1.4_x_2.25_x_2.25_m">'[20]Rekap Analisa'!#REF!</definedName>
    <definedName name="_1_UNIT_PEK._REMBESAN_1_x_2_x_2_m">'[20]Rekap Analisa'!#REF!</definedName>
    <definedName name="_1_UNIT_PEK._RESERVOAR_GROUNTANK_2.3_X__1.8__X__1.6">'[20]Rekap Analisa'!#REF!</definedName>
    <definedName name="_1_UNIT_PEK._SEPTICTANK_2_x_2_5_x_1_85_m">'[20]Rekap Analisa'!#REF!</definedName>
    <definedName name="_1_UNIT_PEKERJAAN_PANEL_DISTRIBUSI_LISTRIK_SDP">'[20]Rekap Analisa'!#REF!</definedName>
    <definedName name="_10">#REF!</definedName>
    <definedName name="_10_________A">'[22]I-KAMAR'!#REF!</definedName>
    <definedName name="_100_____EP_3">#REF!</definedName>
    <definedName name="_1000___Excel_BuiltIn_Print_Titles_5">#REF!</definedName>
    <definedName name="_10000">#REF!</definedName>
    <definedName name="_1002___Excel_BuiltIn_Print_Titles_6">#REF!</definedName>
    <definedName name="_1004___Excel_BuiltIn_Print_Titles_7">#REF!</definedName>
    <definedName name="_1006___f_1">'[23]Harga Sat.'!#REF!</definedName>
    <definedName name="_1008___f_2">'[23]Harga Sat.'!#REF!</definedName>
    <definedName name="_100FORM22E_2">'[24]3-DIV2'!$L$241:$V$301</definedName>
    <definedName name="_101_____EP_4">#REF!</definedName>
    <definedName name="_1010___f_3">'[23]Harga Sat.'!#REF!</definedName>
    <definedName name="_1012___f_4">'[23]Harga Sat.'!#REF!</definedName>
    <definedName name="_1014___fb_1">#REF!</definedName>
    <definedName name="_1016___fb_2">#REF!</definedName>
    <definedName name="_1018___fb_3">#REF!</definedName>
    <definedName name="_101FORM22E_3">'[24]3-DIV2'!$L$241:$V$301</definedName>
    <definedName name="_102_____Excel_BuiltIn_Print_Area_9">#REF!</definedName>
    <definedName name="_1020___fb_4">#REF!</definedName>
    <definedName name="_1021___FD_1">#REF!</definedName>
    <definedName name="_1022___FD_2">#REF!</definedName>
    <definedName name="_1023___FD_3">#REF!</definedName>
    <definedName name="_1024___FD_4">#REF!</definedName>
    <definedName name="_1026___FF_1">'[23]Harga Sat.'!#REF!</definedName>
    <definedName name="_1028___FF_2">'[23]Harga Sat.'!#REF!</definedName>
    <definedName name="_102FORM22E_4">#REF!</definedName>
    <definedName name="_1030___FF_3">'[23]Harga Sat.'!#REF!</definedName>
    <definedName name="_1032___FFF_1">'[23]Harga Sat.'!#REF!</definedName>
    <definedName name="_1034___FFF_2">'[23]Harga Sat.'!#REF!</definedName>
    <definedName name="_1036___FFF_3">'[23]Harga Sat.'!#REF!</definedName>
    <definedName name="_1037___GJ_1">#REF!</definedName>
    <definedName name="_1038___GJ_2">#REF!</definedName>
    <definedName name="_1039___GJ_3">#REF!</definedName>
    <definedName name="_103FORM22E_5">'[24]3-DIV2'!$L$241:$V$301</definedName>
    <definedName name="_104_____Excel_BuiltIn_Print_Titles_5">#REF!</definedName>
    <definedName name="_1040___GJ_4">#REF!</definedName>
    <definedName name="_1042___GT_1">#REF!</definedName>
    <definedName name="_1044___GT_2">#REF!</definedName>
    <definedName name="_1046___GT_3">#REF!</definedName>
    <definedName name="_1048___GT_4">#REF!</definedName>
    <definedName name="_104FORM22E_6">#REF!</definedName>
    <definedName name="_1050___h_1">'[23]Harga Sat.'!#REF!</definedName>
    <definedName name="_1052___h_2">'[23]Harga Sat.'!#REF!</definedName>
    <definedName name="_1054___h_3">'[23]Harga Sat.'!#REF!</definedName>
    <definedName name="_1056___h_4">'[23]Harga Sat.'!#REF!</definedName>
    <definedName name="_1057___HA_1">#REF!</definedName>
    <definedName name="_1058___HA_2">#REF!</definedName>
    <definedName name="_1059___HA_3">#REF!</definedName>
    <definedName name="_106_____Excel_BuiltIn_Print_Titles_6">#REF!</definedName>
    <definedName name="_1060___HA_4">#REF!</definedName>
    <definedName name="_1062___HP_1">#REF!</definedName>
    <definedName name="_1064___HP_2">#REF!</definedName>
    <definedName name="_1066___HP_3">#REF!</definedName>
    <definedName name="_1068___HP_4">#REF!</definedName>
    <definedName name="_1069___HRG_1">#REF!</definedName>
    <definedName name="_1070___HRG_2">#REF!</definedName>
    <definedName name="_1071___HRG_3">#REF!</definedName>
    <definedName name="_1072___HRG_4">#REF!</definedName>
    <definedName name="_1073___indek_1">#REF!</definedName>
    <definedName name="_1074___indek_2">#REF!</definedName>
    <definedName name="_1075___indek_3">#REF!</definedName>
    <definedName name="_1076___indek_4">#REF!</definedName>
    <definedName name="_1077___k_1">#REF!</definedName>
    <definedName name="_1078___k_2">#REF!</definedName>
    <definedName name="_1079___k_3">#N/A</definedName>
    <definedName name="_107FORM22E_7">'[24]3-DIV2'!#REF!</definedName>
    <definedName name="_108_____Excel_BuiltIn_Print_Titles_7">#REF!</definedName>
    <definedName name="_1080___k_4">#REF!</definedName>
    <definedName name="_1081___K1P_1">#REF!</definedName>
    <definedName name="_1082___K1P_2">#REF!</definedName>
    <definedName name="_1083___K1P_3">#REF!</definedName>
    <definedName name="_1084___K1P_4">#REF!</definedName>
    <definedName name="_1086___kb_1">#REF!</definedName>
    <definedName name="_1088___kb_2">#REF!</definedName>
    <definedName name="_108FORM22L_1">'[24]3-DIV2'!$L$121:$V$181</definedName>
    <definedName name="_1090___kb_3">#REF!</definedName>
    <definedName name="_1092___kb_4">#REF!</definedName>
    <definedName name="_1094___KBC_1">#REF!</definedName>
    <definedName name="_1096___KBC_2">#REF!</definedName>
    <definedName name="_1098___KBC_3">#REF!</definedName>
    <definedName name="_109FORM22L_2">'[24]3-DIV2'!$L$121:$V$181</definedName>
    <definedName name="_11">#REF!</definedName>
    <definedName name="_110_____f_1">'[23]Harga Sat.'!#REF!</definedName>
    <definedName name="_1100___KBC_4">#REF!</definedName>
    <definedName name="_1102___KD_1">#REF!</definedName>
    <definedName name="_1104___KD_2">#REF!</definedName>
    <definedName name="_1106___KD_3">#REF!</definedName>
    <definedName name="_1108___KD_4">#REF!</definedName>
    <definedName name="_110FORM22L_3">'[24]3-DIV2'!$L$121:$V$181</definedName>
    <definedName name="_1110___KF_1">#REF!</definedName>
    <definedName name="_1112___KF_2">#REF!</definedName>
    <definedName name="_1114___KF_3">#REF!</definedName>
    <definedName name="_1116___KF_4">#REF!</definedName>
    <definedName name="_1117___KJ_1">#REF!</definedName>
    <definedName name="_1118___KJ_2">#REF!</definedName>
    <definedName name="_1119___KJ_3">#REF!</definedName>
    <definedName name="_111FORM22L_4">#REF!</definedName>
    <definedName name="_112_____f_2">'[23]Harga Sat.'!#REF!</definedName>
    <definedName name="_1120___KJ_4">#REF!</definedName>
    <definedName name="_1122___KOEF_1">#REF!</definedName>
    <definedName name="_1124___KOEF_2">#REF!</definedName>
    <definedName name="_1126___KOEF_3">#REF!</definedName>
    <definedName name="_1128___KOEF_4">#REF!</definedName>
    <definedName name="_1129___koef._1">'[25]harga bahan'!$G$1</definedName>
    <definedName name="_112FORM22L_5">'[24]3-DIV2'!$L$121:$V$181</definedName>
    <definedName name="_1130___koef._2">'[25]harga bahan'!$G$1</definedName>
    <definedName name="_1131___koef._3">#N/A</definedName>
    <definedName name="_1132___koef._4">#REF!</definedName>
    <definedName name="_1133___KR_1">#REF!</definedName>
    <definedName name="_1134___KR_2">#REF!</definedName>
    <definedName name="_1135___KR_3">#REF!</definedName>
    <definedName name="_1136___KR_4">#REF!</definedName>
    <definedName name="_1137___KRKM_1">#REF!</definedName>
    <definedName name="_1138___KRKM_2">#REF!</definedName>
    <definedName name="_1139___KRKM_3">#REF!</definedName>
    <definedName name="_113FORM22L_6">#REF!</definedName>
    <definedName name="_114_____f_3">'[23]Harga Sat.'!#REF!</definedName>
    <definedName name="_1140___KRKM_4">#REF!</definedName>
    <definedName name="_1142___kt_1">#REF!</definedName>
    <definedName name="_1144___kt_2">#REF!</definedName>
    <definedName name="_1146___kt_3">#REF!</definedName>
    <definedName name="_1148___kt_4">#REF!</definedName>
    <definedName name="_114FORM22L_7">'[24]3-DIV2'!$L$121:$V$121</definedName>
    <definedName name="_1150___l_1">'[23]Harga Sat.'!#REF!</definedName>
    <definedName name="_1152___l_2">'[23]Harga Sat.'!#REF!</definedName>
    <definedName name="_1154___l_3">'[23]Harga Sat.'!#REF!</definedName>
    <definedName name="_1156___l_4">'[23]Harga Sat.'!#REF!</definedName>
    <definedName name="_1157___LO_1">#REF!</definedName>
    <definedName name="_1158___LO_2">#REF!</definedName>
    <definedName name="_1159___LO_3">#REF!</definedName>
    <definedName name="_115FORM231_1">'[24]3-DIV2'!$L$361:$V$421</definedName>
    <definedName name="_116_____f_4">'[23]Harga Sat.'!#REF!</definedName>
    <definedName name="_1160___LO_4">#REF!</definedName>
    <definedName name="_1161___LOK_1">#REF!</definedName>
    <definedName name="_1162___LOK_2">#REF!</definedName>
    <definedName name="_1163___LOK_3">#REF!</definedName>
    <definedName name="_1164___LOK_4">#REF!</definedName>
    <definedName name="_1166___m_1">'[26]harga bahan'!#REF!</definedName>
    <definedName name="_1168___m_2">'[26]harga bahan'!#REF!</definedName>
    <definedName name="_116FORM231_2">'[24]3-DIV2'!$L$361:$V$421</definedName>
    <definedName name="_1170___m_3">'[26]harga bahan'!#REF!</definedName>
    <definedName name="_1172___m_4">'[26]harga bahan'!#REF!</definedName>
    <definedName name="_1173___minyaktanah_1">#REF!</definedName>
    <definedName name="_1174___minyaktanah_2">#REF!</definedName>
    <definedName name="_1175___minyaktanah_3">#REF!</definedName>
    <definedName name="_1176___minyaktanah_4">#REF!</definedName>
    <definedName name="_1177___mplek4_1">#REF!</definedName>
    <definedName name="_1178___mplek4_2">#REF!</definedName>
    <definedName name="_1179___mplek4_3">#REF!</definedName>
    <definedName name="_117FORM231_3">'[24]3-DIV2'!$L$361:$V$421</definedName>
    <definedName name="_118_____fb_1">#REF!</definedName>
    <definedName name="_1180___mplek4_4">#REF!</definedName>
    <definedName name="_1181___O_1">#REF!</definedName>
    <definedName name="_1182___O_2">#REF!</definedName>
    <definedName name="_1183___O_3">#REF!</definedName>
    <definedName name="_1184___O_4">#REF!</definedName>
    <definedName name="_1186___ø10_1">'[27]Tabel Besi'!#REF!</definedName>
    <definedName name="_1188___ø10_2">'[27]Tabel Besi'!#REF!</definedName>
    <definedName name="_118FORM231_4">#REF!</definedName>
    <definedName name="_1190___ø10_3">'[28]Tabel Besi'!#REF!</definedName>
    <definedName name="_1192___ø10_4">'[28]Tabel Besi'!#REF!</definedName>
    <definedName name="_1194___ø12_1">'[27]Tabel Besi'!#REF!</definedName>
    <definedName name="_1196___ø12_2">'[27]Tabel Besi'!#REF!</definedName>
    <definedName name="_1198___ø12_3">'[28]Tabel Besi'!#REF!</definedName>
    <definedName name="_119FORM231_5">'[24]3-DIV2'!$L$361:$V$421</definedName>
    <definedName name="_12">#REF!</definedName>
    <definedName name="_12__________A">'[22]I-KAMAR'!#REF!</definedName>
    <definedName name="_120_____fb_2">#REF!</definedName>
    <definedName name="_1200___ø12_4">'[28]Tabel Besi'!#REF!</definedName>
    <definedName name="_1202___ø6_1">'[27]Tabel Besi'!#REF!</definedName>
    <definedName name="_1204___ø6_2">'[27]Tabel Besi'!#REF!</definedName>
    <definedName name="_1206___ø6_3">'[28]Tabel Besi'!#REF!</definedName>
    <definedName name="_1208___ø6_4">'[28]Tabel Besi'!#REF!</definedName>
    <definedName name="_120FORM231_6">#REF!</definedName>
    <definedName name="_1210___ø8_1">'[27]Tabel Besi'!#REF!</definedName>
    <definedName name="_1212___ø8_2">'[27]Tabel Besi'!#REF!</definedName>
    <definedName name="_1214___ø8_3">'[28]Tabel Besi'!#REF!</definedName>
    <definedName name="_1216___ø8_4">'[28]Tabel Besi'!#REF!</definedName>
    <definedName name="_1218___p_1">'[26]harga bahan'!#REF!</definedName>
    <definedName name="_121FORM231_7">'[24]3-DIV2'!$L$123:$V$183</definedName>
    <definedName name="_122_____fb_3">#REF!</definedName>
    <definedName name="_1220___p_2">'[26]harga bahan'!#REF!</definedName>
    <definedName name="_1222___p_3">'[26]harga bahan'!#REF!</definedName>
    <definedName name="_1224___p_4">'[26]harga bahan'!#REF!</definedName>
    <definedName name="_1226___P.REUTER_1">#REF!</definedName>
    <definedName name="_1228___P.REUTER_2">#REF!</definedName>
    <definedName name="_122FORM232_1">'[24]3-DIV2'!$L$481:$V$541</definedName>
    <definedName name="_1230___P.REUTER_3">#REF!</definedName>
    <definedName name="_1232___P.REUTER_4">#REF!</definedName>
    <definedName name="_1233___paku_1">#REF!</definedName>
    <definedName name="_1234___paku_2">#REF!</definedName>
    <definedName name="_1235___paku_3">#N/A</definedName>
    <definedName name="_1236___paku_4">#REF!</definedName>
    <definedName name="_1237___pas.cor_1">#REF!</definedName>
    <definedName name="_1238___pas.cor_2">#REF!</definedName>
    <definedName name="_1239___pas.cor_3">#REF!</definedName>
    <definedName name="_123FORM232_2">'[24]3-DIV2'!$L$481:$V$541</definedName>
    <definedName name="_123Graph_F" hidden="1">[29]escon!#REF!</definedName>
    <definedName name="_124_____fb_4">#REF!</definedName>
    <definedName name="_1240___pas.cor_4">#REF!</definedName>
    <definedName name="_1241___pas.pasang_1">#REF!</definedName>
    <definedName name="_1242___pas.pasang_2">#REF!</definedName>
    <definedName name="_1243___pas.pasang_3">#REF!</definedName>
    <definedName name="_1244___pas.pasang_4">#REF!</definedName>
    <definedName name="_1245___pas.urug_1">#REF!</definedName>
    <definedName name="_1246___pas.urug_2">#REF!</definedName>
    <definedName name="_1247___pas.urug_3">#REF!</definedName>
    <definedName name="_1248___pas.urug_4">#REF!</definedName>
    <definedName name="_1249___PEK_1">#REF!</definedName>
    <definedName name="_124FORM232_3">'[24]3-DIV2'!$L$481:$V$541</definedName>
    <definedName name="_125_____FD_1">#REF!</definedName>
    <definedName name="_1250___PEK_2">#REF!</definedName>
    <definedName name="_1251___PEK_3">#REF!</definedName>
    <definedName name="_1252___PEK_4">#REF!</definedName>
    <definedName name="_1253___POMPA_1">#REF!</definedName>
    <definedName name="_1254___POMPA_2">#REF!</definedName>
    <definedName name="_1255___POMPA_3">#REF!</definedName>
    <definedName name="_1256___POMPA_4">#REF!</definedName>
    <definedName name="_1257___PR_1">#REF!</definedName>
    <definedName name="_1258___PR_2">#REF!</definedName>
    <definedName name="_1259___PR_3">#REF!</definedName>
    <definedName name="_125FORM232_4">#REF!</definedName>
    <definedName name="_126_____FD_2">#REF!</definedName>
    <definedName name="_1260___PR_4">#REF!</definedName>
    <definedName name="_1262___PRINT_TITLES_MI_1">#REF!</definedName>
    <definedName name="_1264___PRINT_TITLES_MI_2">#REF!</definedName>
    <definedName name="_1266___PRINT_TITLES_MI_3">#REF!</definedName>
    <definedName name="_1268___PRINT_TITLES_MI_4">#REF!</definedName>
    <definedName name="_1269___PRO_1">#REF!</definedName>
    <definedName name="_126FORM232_5">'[24]3-DIV2'!$L$481:$V$541</definedName>
    <definedName name="_127_____FD_3">#REF!</definedName>
    <definedName name="_1270___PRO_2">#REF!</definedName>
    <definedName name="_1271___PRO_3">#REF!</definedName>
    <definedName name="_1272___PRO_4">#REF!</definedName>
    <definedName name="_1273___q_1">#REF!</definedName>
    <definedName name="_1274___q_2">#REF!</definedName>
    <definedName name="_1275___q_3">#REF!</definedName>
    <definedName name="_1276___q_4">#REF!</definedName>
    <definedName name="_1277___REN_1">#REF!</definedName>
    <definedName name="_1278___REN_2">#REF!</definedName>
    <definedName name="_1279___REN_3">#REF!</definedName>
    <definedName name="_127FORM232_6">#REF!</definedName>
    <definedName name="_128_____FD_4">#REF!</definedName>
    <definedName name="_1280___REN_4">#REF!</definedName>
    <definedName name="_1281___RS_1">#REF!</definedName>
    <definedName name="_1282___RS_2">#REF!</definedName>
    <definedName name="_1283___RS_3">#REF!</definedName>
    <definedName name="_1284___RS_4">#REF!</definedName>
    <definedName name="_1285___s_1">'[30]harga bahan'!$K$118</definedName>
    <definedName name="_1286___s_2">'[30]harga bahan'!$K$118</definedName>
    <definedName name="_1287___s_3">#N/A</definedName>
    <definedName name="_1288___s_4">#REF!</definedName>
    <definedName name="_1289___semen1_1">#REF!</definedName>
    <definedName name="_128FORM232_7">'[24]3-DIV2'!$L$243:$V$303</definedName>
    <definedName name="_1290___semen1_2">#REF!</definedName>
    <definedName name="_1291___semen1_3">#REF!</definedName>
    <definedName name="_1292___semen1_4">#REF!</definedName>
    <definedName name="_1293___semen50_1">#REF!</definedName>
    <definedName name="_1294___semen50_2">#REF!</definedName>
    <definedName name="_1295___semen50_3">#REF!</definedName>
    <definedName name="_1296___semen50_4">#REF!</definedName>
    <definedName name="_1297___sirtu_1">#REF!</definedName>
    <definedName name="_1298___sirtu_2">#REF!</definedName>
    <definedName name="_1299___sirtu_3">#REF!</definedName>
    <definedName name="_129FORM233_1">'[24]3-DIV2'!$L$601:$V$661</definedName>
    <definedName name="_13">#REF!</definedName>
    <definedName name="_130_____FF_1">'[23]Harga Sat.'!#REF!</definedName>
    <definedName name="_1300___sirtu_4">#REF!</definedName>
    <definedName name="_1301___SP_1">#REF!</definedName>
    <definedName name="_1302___SP_2">#REF!</definedName>
    <definedName name="_1303___SP_3">#REF!</definedName>
    <definedName name="_1304___SP_4">#REF!</definedName>
    <definedName name="_1306___t_1">'[26]harga bahan'!#REF!</definedName>
    <definedName name="_1308___t_2">'[26]harga bahan'!#REF!</definedName>
    <definedName name="_130FORM233_2">'[24]3-DIV2'!$L$601:$V$661</definedName>
    <definedName name="_1310___t_3">'[26]harga bahan'!#REF!</definedName>
    <definedName name="_1312___t_4">'[26]harga bahan'!#REF!</definedName>
    <definedName name="_1314___TA_1">#REF!</definedName>
    <definedName name="_1316___TA_2">#REF!</definedName>
    <definedName name="_1318___TA_3">#REF!</definedName>
    <definedName name="_131FORM233_3">'[24]3-DIV2'!$L$601:$V$661</definedName>
    <definedName name="_132_____FF_2">'[23]Harga Sat.'!#REF!</definedName>
    <definedName name="_1320___TA_4">#REF!</definedName>
    <definedName name="_1322___TAB_1">#REF!</definedName>
    <definedName name="_1324___TAB_2">#REF!</definedName>
    <definedName name="_1326___TAB_3">#REF!</definedName>
    <definedName name="_1328___TAB_4">#REF!</definedName>
    <definedName name="_1329___tplek3_1">#REF!</definedName>
    <definedName name="_132FORM233_4">#REF!</definedName>
    <definedName name="_1330___tplek3_2">#REF!</definedName>
    <definedName name="_1331___tplek3_3">#REF!</definedName>
    <definedName name="_1332___tplek3_4">#REF!</definedName>
    <definedName name="_1334___TS_1">#REF!</definedName>
    <definedName name="_1336___TS_2">#REF!</definedName>
    <definedName name="_1338___TS_3">#REF!</definedName>
    <definedName name="_133FORM233_5">'[24]3-DIV2'!$L$601:$V$661</definedName>
    <definedName name="_134_____FF_3">'[23]Harga Sat.'!#REF!</definedName>
    <definedName name="_1340___TS_4">#REF!</definedName>
    <definedName name="_1341___u_1">#REF!</definedName>
    <definedName name="_1342___u_2">#REF!</definedName>
    <definedName name="_1343___u_3">#REF!</definedName>
    <definedName name="_1344___u_4">#REF!</definedName>
    <definedName name="_1346___URINOIR_1">#REF!</definedName>
    <definedName name="_1348___URINOIR_2">#REF!</definedName>
    <definedName name="_134FORM233_6">#REF!</definedName>
    <definedName name="_1350___URINOIR_3">#REF!</definedName>
    <definedName name="_1352___URINOIR_4">#REF!</definedName>
    <definedName name="_1353___WASTAFEL_1">#REF!</definedName>
    <definedName name="_1354___WASTAFEL_2">#REF!</definedName>
    <definedName name="_1355___WASTAFEL_3">#REF!</definedName>
    <definedName name="_1356___WASTAFEL_4">#REF!</definedName>
    <definedName name="_1357___WST_1">#REF!</definedName>
    <definedName name="_1358___WST_2">#REF!</definedName>
    <definedName name="_1359___WST_3">#REF!</definedName>
    <definedName name="_135FORM233_7">'[24]3-DIV2'!$L$363:$V$423</definedName>
    <definedName name="_136_____FFF_1">'[23]Harga Sat.'!#REF!</definedName>
    <definedName name="_1360___WST_4">#REF!</definedName>
    <definedName name="_1361__A_1">'[31]bhn FINAL'!$H$3</definedName>
    <definedName name="_1362__aspal_1">#REF!</definedName>
    <definedName name="_1363__aspal_2">#REF!</definedName>
    <definedName name="_1364__aspal_3">#REF!</definedName>
    <definedName name="_1365__aspal_4">#REF!</definedName>
    <definedName name="_1366__AVOR_1">#REF!</definedName>
    <definedName name="_1367__AVOR_2">#REF!</definedName>
    <definedName name="_1368__AVOR_3">#REF!</definedName>
    <definedName name="_1369__AVOR_4">#REF!</definedName>
    <definedName name="_136Form234_1">'[24]3-DIV2'!$L$721:$V$912</definedName>
    <definedName name="_1371__b_1">#REF!</definedName>
    <definedName name="_1373__b_2">#REF!</definedName>
    <definedName name="_1375__b_3">#REF!</definedName>
    <definedName name="_1377__b_4">#REF!</definedName>
    <definedName name="_1378__bajaC_1">#REF!</definedName>
    <definedName name="_1379__bajaC_2">#REF!</definedName>
    <definedName name="_137Form234_2">'[24]3-DIV2'!$L$721:$V$912</definedName>
    <definedName name="_138_____FFF_2">'[23]Harga Sat.'!#REF!</definedName>
    <definedName name="_1380__bajaC_3">#REF!</definedName>
    <definedName name="_1381__bajaC_4">#REF!</definedName>
    <definedName name="_1382__BATA_1">#REF!</definedName>
    <definedName name="_1383__BATA_2">#REF!</definedName>
    <definedName name="_1384__BATA_3">#REF!</definedName>
    <definedName name="_1385__BATA_4">#REF!</definedName>
    <definedName name="_1386__batukali_1">#REF!</definedName>
    <definedName name="_1387__batukali_2">#REF!</definedName>
    <definedName name="_1388__batukali_3">#REF!</definedName>
    <definedName name="_1389__batukali_4">#REF!</definedName>
    <definedName name="_138Form234_3">'[24]3-DIV2'!$L$721:$V$901</definedName>
    <definedName name="_1390__baut10_1">#REF!</definedName>
    <definedName name="_1391__baut10_2">#REF!</definedName>
    <definedName name="_1392__baut10_3">#REF!</definedName>
    <definedName name="_1393__baut10_4">#REF!</definedName>
    <definedName name="_1394__baut12_1">#REF!</definedName>
    <definedName name="_1395__baut12_2">#REF!</definedName>
    <definedName name="_1396__baut12_3">#REF!</definedName>
    <definedName name="_1397__baut12_4">#REF!</definedName>
    <definedName name="_1398__baut16_1">#REF!</definedName>
    <definedName name="_1399__baut16_2">#REF!</definedName>
    <definedName name="_139Form234_4">#REF!</definedName>
    <definedName name="_14">#REF!</definedName>
    <definedName name="_14___________A">'[22]I-KAMAR'!#REF!</definedName>
    <definedName name="_140_____FFF_3">'[23]Harga Sat.'!#REF!</definedName>
    <definedName name="_1400__baut16_3">#REF!</definedName>
    <definedName name="_1401__baut16_4">#REF!</definedName>
    <definedName name="_1402__BBM_1">#REF!</definedName>
    <definedName name="_1403__BBM_2">#REF!</definedName>
    <definedName name="_1404__BBM_3">#REF!</definedName>
    <definedName name="_1405__BBM_4">#REF!</definedName>
    <definedName name="_1406__bekisting_1">#REF!</definedName>
    <definedName name="_1407__bekisting_2">#REF!</definedName>
    <definedName name="_1408__bekisting_3">#REF!</definedName>
    <definedName name="_1409__bekisting_4">#REF!</definedName>
    <definedName name="_140Form234_5">'[24]3-DIV2'!$L$721:$V$912</definedName>
    <definedName name="_141_____GJ_1">#REF!</definedName>
    <definedName name="_1410__bh_1">#REF!</definedName>
    <definedName name="_1411__bh_2">#REF!</definedName>
    <definedName name="_1412__bh_3">#REF!</definedName>
    <definedName name="_1413__bh_4">#REF!</definedName>
    <definedName name="_1415__BHN_1">#REF!</definedName>
    <definedName name="_1417__BHN_2">#REF!</definedName>
    <definedName name="_1419__BHN_3">#REF!</definedName>
    <definedName name="_141Form234_6">#REF!</definedName>
    <definedName name="_142_____GJ_2">#REF!</definedName>
    <definedName name="_1421__BHN_4">#REF!</definedName>
    <definedName name="_1422__catepoxy_1">#REF!</definedName>
    <definedName name="_1423__catepoxy_2">#REF!</definedName>
    <definedName name="_1424__catepoxy_3">#REF!</definedName>
    <definedName name="_1425__catepoxy_4">#REF!</definedName>
    <definedName name="_1426__CF_1">#REF!</definedName>
    <definedName name="_1427__CF_2">#REF!</definedName>
    <definedName name="_1428__CF_3">#REF!</definedName>
    <definedName name="_1429__CF_4">#REF!</definedName>
    <definedName name="_142Form234_7">'[24]3-DIV2'!$L$483:$V$543</definedName>
    <definedName name="_143_____GJ_3">#REF!</definedName>
    <definedName name="_1431__Computer1_1">#REF!</definedName>
    <definedName name="_1433__Computer1_2">#REF!</definedName>
    <definedName name="_1435__Computer1_3">#REF!</definedName>
    <definedName name="_1437__Computer1_4">#REF!</definedName>
    <definedName name="_1438__EJ_1">#REF!</definedName>
    <definedName name="_1439__EJ_2">#REF!</definedName>
    <definedName name="_143Form235_1">'[24]3-DIV2'!$L$972:$V$973</definedName>
    <definedName name="_144_____GJ_4">#REF!</definedName>
    <definedName name="_1440__EJ_3">#REF!</definedName>
    <definedName name="_1441__EJ_4">#REF!</definedName>
    <definedName name="_1442__EP_1">#REF!</definedName>
    <definedName name="_1443__EP_2">#REF!</definedName>
    <definedName name="_1444__EP_3">#REF!</definedName>
    <definedName name="_1445__EP_4">#REF!</definedName>
    <definedName name="_1446__Excel_BuiltIn_Print_Area_9">#REF!</definedName>
    <definedName name="_1448__Excel_BuiltIn_Print_Titles_5">#REF!</definedName>
    <definedName name="_144Form235_2">'[24]3-DIV2'!$L$972:$V$973</definedName>
    <definedName name="_1450__Excel_BuiltIn_Print_Titles_6">#REF!</definedName>
    <definedName name="_1452__Excel_BuiltIn_Print_Titles_7">#REF!</definedName>
    <definedName name="_1454__f_1">'[23]Harga Sat.'!#REF!</definedName>
    <definedName name="_1456__f_2">'[23]Harga Sat.'!#REF!</definedName>
    <definedName name="_1458__f_3">'[23]Harga Sat.'!#REF!</definedName>
    <definedName name="_145Form235_3">'[24]3-DIV2'!$L$961:$V$962</definedName>
    <definedName name="_146_____GT_1">#REF!</definedName>
    <definedName name="_1460__f_4">'[23]Harga Sat.'!#REF!</definedName>
    <definedName name="_1462__fb_1">#REF!</definedName>
    <definedName name="_1464__fb_2">#REF!</definedName>
    <definedName name="_1466__fb_3">#REF!</definedName>
    <definedName name="_1468__fb_4">#REF!</definedName>
    <definedName name="_1469__FD_1">#REF!</definedName>
    <definedName name="_146Form235_4">#REF!</definedName>
    <definedName name="_1470__FD_2">#REF!</definedName>
    <definedName name="_1471__FD_3">#REF!</definedName>
    <definedName name="_1472__FD_4">#REF!</definedName>
    <definedName name="_1474__FF_1">'[23]Harga Sat.'!#REF!</definedName>
    <definedName name="_1476__FF_2">'[23]Harga Sat.'!#REF!</definedName>
    <definedName name="_1478__FF_3">'[23]Harga Sat.'!#REF!</definedName>
    <definedName name="_147Form235_5">'[24]3-DIV2'!$L$972:$V$973</definedName>
    <definedName name="_148_____GT_2">#REF!</definedName>
    <definedName name="_1480__FFF_1">'[23]Harga Sat.'!#REF!</definedName>
    <definedName name="_1482__FFF_2">'[23]Harga Sat.'!#REF!</definedName>
    <definedName name="_1484__FFF_3">'[23]Harga Sat.'!#REF!</definedName>
    <definedName name="_1485__GJ_1">#REF!</definedName>
    <definedName name="_1486__GJ_2">#REF!</definedName>
    <definedName name="_1487__GJ_3">#REF!</definedName>
    <definedName name="_1488__GJ_4">#REF!</definedName>
    <definedName name="_148Form235_6">#REF!</definedName>
    <definedName name="_1490__GT_1">#REF!</definedName>
    <definedName name="_1492__GT_2">#REF!</definedName>
    <definedName name="_1494__GT_3">#REF!</definedName>
    <definedName name="_1496__GT_4">#REF!</definedName>
    <definedName name="_1498__h_1">'[23]Harga Sat.'!#REF!</definedName>
    <definedName name="_149Form235_7">'[24]3-DIV2'!$L$603:$V$663</definedName>
    <definedName name="_15">#REF!</definedName>
    <definedName name="_15__123Graph_B_4">'[14]D6 ASBT'!#REF!</definedName>
    <definedName name="_150_____GT_3">#REF!</definedName>
    <definedName name="_1500__h_2">'[23]Harga Sat.'!#REF!</definedName>
    <definedName name="_1502__h_3">'[23]Harga Sat.'!#REF!</definedName>
    <definedName name="_1504__h_4">'[23]Harga Sat.'!#REF!</definedName>
    <definedName name="_1505__HA_1">#REF!</definedName>
    <definedName name="_1506__HA_2">#REF!</definedName>
    <definedName name="_1507__HA_3">#REF!</definedName>
    <definedName name="_1508__HA_4">#REF!</definedName>
    <definedName name="_150Form236_1">'[24]3-DIV2'!$L$974:$V$1036</definedName>
    <definedName name="_1510__HP_1">#REF!</definedName>
    <definedName name="_1512__HP_2">#REF!</definedName>
    <definedName name="_1514__HP_3">#REF!</definedName>
    <definedName name="_1516__HP_4">#REF!</definedName>
    <definedName name="_1517__HRG_1">#REF!</definedName>
    <definedName name="_1518__HRG_2">#REF!</definedName>
    <definedName name="_1519__HRG_3">#REF!</definedName>
    <definedName name="_151Form236_2">'[24]3-DIV2'!$L$974:$V$1036</definedName>
    <definedName name="_152_____GT_4">#REF!</definedName>
    <definedName name="_1520__HRG_4">#REF!</definedName>
    <definedName name="_1521__indek_1">#REF!</definedName>
    <definedName name="_1522__indek_2">#REF!</definedName>
    <definedName name="_1523__indek_3">#REF!</definedName>
    <definedName name="_1524__indek_4">#REF!</definedName>
    <definedName name="_1525__k_1">#REF!</definedName>
    <definedName name="_1526__k_2">#REF!</definedName>
    <definedName name="_1527__k_3">#N/A</definedName>
    <definedName name="_1528__k_4">#REF!</definedName>
    <definedName name="_1529__K1P_1">#REF!</definedName>
    <definedName name="_152Form236_3">'[24]3-DIV2'!$L$963:$V$1022</definedName>
    <definedName name="_1530__K1P_2">#REF!</definedName>
    <definedName name="_1531__K1P_3">#REF!</definedName>
    <definedName name="_1532__K1P_4">#REF!</definedName>
    <definedName name="_1534__kb_1">#REF!</definedName>
    <definedName name="_1536__kb_2">#REF!</definedName>
    <definedName name="_1538__kb_3">#REF!</definedName>
    <definedName name="_153Form236_4">#REF!</definedName>
    <definedName name="_154_____h_1">'[23]Harga Sat.'!#REF!</definedName>
    <definedName name="_1540__kb_4">#REF!</definedName>
    <definedName name="_1542__KBC_1">#REF!</definedName>
    <definedName name="_1544__KBC_2">#REF!</definedName>
    <definedName name="_1546__KBC_3">#REF!</definedName>
    <definedName name="_1548__KBC_4">#REF!</definedName>
    <definedName name="_154Form236_5">'[24]3-DIV2'!$L$974:$V$1036</definedName>
    <definedName name="_1550__KD_1">#REF!</definedName>
    <definedName name="_1552__KD_2">#REF!</definedName>
    <definedName name="_1554__KD_3">#REF!</definedName>
    <definedName name="_1556__KD_4">#REF!</definedName>
    <definedName name="_1558__KF_1">#REF!</definedName>
    <definedName name="_155Form236_6">#REF!</definedName>
    <definedName name="_156_____h_2">'[23]Harga Sat.'!#REF!</definedName>
    <definedName name="_1560__KF_2">#REF!</definedName>
    <definedName name="_1562__KF_3">#REF!</definedName>
    <definedName name="_1564__KF_4">#REF!</definedName>
    <definedName name="_1565__KJ_1">#REF!</definedName>
    <definedName name="_1566__KJ_2">#REF!</definedName>
    <definedName name="_1567__KJ_3">#REF!</definedName>
    <definedName name="_1568__KJ_4">#REF!</definedName>
    <definedName name="_156Form236_7">'[24]3-DIV2'!$L$854:$V$914</definedName>
    <definedName name="_1570__KOEF_1">#REF!</definedName>
    <definedName name="_1572__KOEF_2">#REF!</definedName>
    <definedName name="_1574__KOEF_3">#REF!</definedName>
    <definedName name="_1576__KOEF_4">#REF!</definedName>
    <definedName name="_1577__koef._1">'[25]harga bahan'!$G$1</definedName>
    <definedName name="_1578__koef._2">'[25]harga bahan'!$G$1</definedName>
    <definedName name="_1579__koef._3">#N/A</definedName>
    <definedName name="_157FORM241_1">'[24]3-DIV2'!$L$1096:$V$1156</definedName>
    <definedName name="_158_____h_3">'[23]Harga Sat.'!#REF!</definedName>
    <definedName name="_1580__koef._4">#REF!</definedName>
    <definedName name="_1581__KR_1">#REF!</definedName>
    <definedName name="_1582__KR_2">#REF!</definedName>
    <definedName name="_1583__KR_3">#REF!</definedName>
    <definedName name="_1584__KR_4">#REF!</definedName>
    <definedName name="_1585__KRKM_1">#REF!</definedName>
    <definedName name="_1586__KRKM_2">#REF!</definedName>
    <definedName name="_1587__KRKM_3">#REF!</definedName>
    <definedName name="_1588__KRKM_4">#REF!</definedName>
    <definedName name="_158FORM241_2">'[24]3-DIV2'!$L$1096:$V$1156</definedName>
    <definedName name="_1590__kt_1">#REF!</definedName>
    <definedName name="_1592__kt_2">#REF!</definedName>
    <definedName name="_1594__kt_3">#REF!</definedName>
    <definedName name="_1596__kt_4">#REF!</definedName>
    <definedName name="_1598__l_1">'[23]Harga Sat.'!#REF!</definedName>
    <definedName name="_159FORM241_3">'[24]3-DIV2'!$L$1082:$V$1142</definedName>
    <definedName name="_16">#REF!</definedName>
    <definedName name="_16____________A">'[22]I-KAMAR'!#REF!</definedName>
    <definedName name="_160_____h_4">'[23]Harga Sat.'!#REF!</definedName>
    <definedName name="_1600__l_2">'[23]Harga Sat.'!#REF!</definedName>
    <definedName name="_1602__l_3">'[23]Harga Sat.'!#REF!</definedName>
    <definedName name="_1604__l_4">'[23]Harga Sat.'!#REF!</definedName>
    <definedName name="_1605__LO_1">#REF!</definedName>
    <definedName name="_1606__LO_2">#REF!</definedName>
    <definedName name="_1607__LO_3">#REF!</definedName>
    <definedName name="_1608__LO_4">#REF!</definedName>
    <definedName name="_1609__LOK_1">#REF!</definedName>
    <definedName name="_160FORM241_4">#REF!</definedName>
    <definedName name="_161_____HA_1">#REF!</definedName>
    <definedName name="_1610__LOK_2">#REF!</definedName>
    <definedName name="_1611__LOK_3">#REF!</definedName>
    <definedName name="_1612__LOK_4">#REF!</definedName>
    <definedName name="_1614__m_1">'[26]harga bahan'!#REF!</definedName>
    <definedName name="_1616__m_2">'[26]harga bahan'!#REF!</definedName>
    <definedName name="_1618__m_3">'[26]harga bahan'!#REF!</definedName>
    <definedName name="_161FORM241_5">'[24]3-DIV2'!$L$1096:$V$1156</definedName>
    <definedName name="_162_____HA_2">#REF!</definedName>
    <definedName name="_1620__m_4">'[26]harga bahan'!#REF!</definedName>
    <definedName name="_1621__minyaktanah_1">#REF!</definedName>
    <definedName name="_1622__minyaktanah_2">#REF!</definedName>
    <definedName name="_1623__minyaktanah_3">#REF!</definedName>
    <definedName name="_1624__minyaktanah_4">#REF!</definedName>
    <definedName name="_1625__mplek4_1">#REF!</definedName>
    <definedName name="_1626__mplek4_2">#REF!</definedName>
    <definedName name="_1627__mplek4_3">#REF!</definedName>
    <definedName name="_1628__mplek4_4">#REF!</definedName>
    <definedName name="_1629__O_1">#REF!</definedName>
    <definedName name="_162FORM241_6">#REF!</definedName>
    <definedName name="_163_____HA_3">#REF!</definedName>
    <definedName name="_1630__O_2">#REF!</definedName>
    <definedName name="_1631__O_3">#REF!</definedName>
    <definedName name="_1632__O_4">#REF!</definedName>
    <definedName name="_1634__ø10_1">'[27]Tabel Besi'!#REF!</definedName>
    <definedName name="_1636__ø10_2">'[27]Tabel Besi'!#REF!</definedName>
    <definedName name="_1638__ø10_3">'[28]Tabel Besi'!#REF!</definedName>
    <definedName name="_164_____HA_4">#REF!</definedName>
    <definedName name="_1640__ø10_4">'[28]Tabel Besi'!#REF!</definedName>
    <definedName name="_1642__ø12_1">'[27]Tabel Besi'!#REF!</definedName>
    <definedName name="_1644__ø12_2">'[27]Tabel Besi'!#REF!</definedName>
    <definedName name="_1646__ø12_3">'[28]Tabel Besi'!#REF!</definedName>
    <definedName name="_1648__ø12_4">'[28]Tabel Besi'!#REF!</definedName>
    <definedName name="_1650__ø6_1">'[27]Tabel Besi'!#REF!</definedName>
    <definedName name="_1652__ø6_2">'[27]Tabel Besi'!#REF!</definedName>
    <definedName name="_1654__ø6_3">'[28]Tabel Besi'!#REF!</definedName>
    <definedName name="_1656__ø6_4">'[28]Tabel Besi'!#REF!</definedName>
    <definedName name="_1658__ø8_1">'[27]Tabel Besi'!#REF!</definedName>
    <definedName name="_165FORM241_7">'[24]3-DIV2'!#REF!</definedName>
    <definedName name="_166_____HP_1">#REF!</definedName>
    <definedName name="_1660__ø8_2">'[27]Tabel Besi'!#REF!</definedName>
    <definedName name="_1662__ø8_3">'[28]Tabel Besi'!#REF!</definedName>
    <definedName name="_1664__ø8_4">'[28]Tabel Besi'!#REF!</definedName>
    <definedName name="_1666__p_1">'[26]harga bahan'!#REF!</definedName>
    <definedName name="_1668__p_2">'[26]harga bahan'!#REF!</definedName>
    <definedName name="_166FORM242_1">'[24]3-DIV2'!$L$1216:$V$1276</definedName>
    <definedName name="_1670__p_3">'[26]harga bahan'!#REF!</definedName>
    <definedName name="_1672__p_4">'[26]harga bahan'!#REF!</definedName>
    <definedName name="_1674__P.REUTER_1">#REF!</definedName>
    <definedName name="_1676__P.REUTER_2">#REF!</definedName>
    <definedName name="_1678__P.REUTER_3">#REF!</definedName>
    <definedName name="_167FORM242_2">'[24]3-DIV2'!$L$1216:$V$1276</definedName>
    <definedName name="_168_____HP_2">#REF!</definedName>
    <definedName name="_1680__P.REUTER_4">#REF!</definedName>
    <definedName name="_1681__paku_1">#REF!</definedName>
    <definedName name="_1682__paku_2">#REF!</definedName>
    <definedName name="_1683__paku_3">#N/A</definedName>
    <definedName name="_1684__paku_4">#REF!</definedName>
    <definedName name="_1685__pas.cor_1">#REF!</definedName>
    <definedName name="_1686__pas.cor_2">#REF!</definedName>
    <definedName name="_1687__pas.cor_3">#REF!</definedName>
    <definedName name="_1688__pas.cor_4">#REF!</definedName>
    <definedName name="_1689__pas.pasang_1">#REF!</definedName>
    <definedName name="_168FORM242_3">'[24]3-DIV2'!$L$1202:$V$1262</definedName>
    <definedName name="_1690__pas.pasang_2">#REF!</definedName>
    <definedName name="_1691__pas.pasang_3">#REF!</definedName>
    <definedName name="_1692__pas.pasang_4">#REF!</definedName>
    <definedName name="_1693__pas.urug_1">#REF!</definedName>
    <definedName name="_1694__pas.urug_2">#REF!</definedName>
    <definedName name="_1695__pas.urug_3">#REF!</definedName>
    <definedName name="_1696__pas.urug_4">#REF!</definedName>
    <definedName name="_1697__PEK_1">#REF!</definedName>
    <definedName name="_1698__PEK_2">#REF!</definedName>
    <definedName name="_1699__PEK_3">#REF!</definedName>
    <definedName name="_169FORM242_4">#REF!</definedName>
    <definedName name="_17">#REF!</definedName>
    <definedName name="_17_____A_1">'[31]bhn FINAL'!$H$3</definedName>
    <definedName name="_170_____HP_3">#REF!</definedName>
    <definedName name="_1700__PEK_4">#REF!</definedName>
    <definedName name="_1701__POMPA_1">#REF!</definedName>
    <definedName name="_1702__POMPA_2">#REF!</definedName>
    <definedName name="_1703__POMPA_3">#REF!</definedName>
    <definedName name="_1704__POMPA_4">#REF!</definedName>
    <definedName name="_1705__PR_1">#REF!</definedName>
    <definedName name="_1706__PR_2">#REF!</definedName>
    <definedName name="_1707__PR_3">#REF!</definedName>
    <definedName name="_1708__PR_4">#REF!</definedName>
    <definedName name="_170FORM242_5">'[24]3-DIV2'!$L$1216:$V$1276</definedName>
    <definedName name="_1710__PRINT_TITLES_MI_1">#REF!</definedName>
    <definedName name="_1712__PRINT_TITLES_MI_2">#REF!</definedName>
    <definedName name="_1714__PRINT_TITLES_MI_3">#REF!</definedName>
    <definedName name="_1716__PRINT_TITLES_MI_4">#REF!</definedName>
    <definedName name="_1717__PRO_1">#REF!</definedName>
    <definedName name="_1718__PRO_2">#REF!</definedName>
    <definedName name="_1719__PRO_3">#REF!</definedName>
    <definedName name="_171FORM242_6">#REF!</definedName>
    <definedName name="_172_____HP_4">#REF!</definedName>
    <definedName name="_1720__PRO_4">#REF!</definedName>
    <definedName name="_1721__q_1">#REF!</definedName>
    <definedName name="_1722__q_2">#REF!</definedName>
    <definedName name="_1723__q_3">#REF!</definedName>
    <definedName name="_1724__q_4">#REF!</definedName>
    <definedName name="_1725__REN_1">#REF!</definedName>
    <definedName name="_1726__REN_2">#REF!</definedName>
    <definedName name="_1727__REN_3">#REF!</definedName>
    <definedName name="_1728__REN_4">#REF!</definedName>
    <definedName name="_1729__RS_1">#REF!</definedName>
    <definedName name="_172FORM242_7">'[24]3-DIV2'!$L$978:$V$1038</definedName>
    <definedName name="_173_____HRG_1">#REF!</definedName>
    <definedName name="_1730__RS_2">#REF!</definedName>
    <definedName name="_1731__RS_3">#REF!</definedName>
    <definedName name="_1732__RS_4">#REF!</definedName>
    <definedName name="_1733__s_1">'[30]harga bahan'!$K$118</definedName>
    <definedName name="_1734__s_2">'[30]harga bahan'!$K$118</definedName>
    <definedName name="_1735__s_3">#N/A</definedName>
    <definedName name="_1736__s_4">#REF!</definedName>
    <definedName name="_1737__semen1_1">#REF!</definedName>
    <definedName name="_1738__semen1_2">#REF!</definedName>
    <definedName name="_1739__semen1_3">#REF!</definedName>
    <definedName name="_173FORM243_1">'[24]3-DIV2'!$L$1277:$V$1338</definedName>
    <definedName name="_174_____HRG_2">#REF!</definedName>
    <definedName name="_1740__semen1_4">#REF!</definedName>
    <definedName name="_1741__semen50_1">#REF!</definedName>
    <definedName name="_1742__semen50_2">#REF!</definedName>
    <definedName name="_1743__semen50_3">#REF!</definedName>
    <definedName name="_1744__semen50_4">#REF!</definedName>
    <definedName name="_1745__sirtu_1">#REF!</definedName>
    <definedName name="_1746__sirtu_2">#REF!</definedName>
    <definedName name="_1747__sirtu_3">#REF!</definedName>
    <definedName name="_1748__sirtu_4">#REF!</definedName>
    <definedName name="_1749__SP_1">#REF!</definedName>
    <definedName name="_174FORM243_2">'[24]3-DIV2'!$L$1277:$V$1338</definedName>
    <definedName name="_175_____HRG_3">#REF!</definedName>
    <definedName name="_1750__SP_2">#REF!</definedName>
    <definedName name="_1751__SP_3">#REF!</definedName>
    <definedName name="_1752__SP_4">#REF!</definedName>
    <definedName name="_1754__t_1">'[26]harga bahan'!#REF!</definedName>
    <definedName name="_1756__t_2">'[26]harga bahan'!#REF!</definedName>
    <definedName name="_1758__t_3">'[26]harga bahan'!#REF!</definedName>
    <definedName name="_175FORM243_3">'[24]3-DIV2'!$L$1263:$V$1324</definedName>
    <definedName name="_176_____HRG_4">#REF!</definedName>
    <definedName name="_1760__t_4">'[26]harga bahan'!#REF!</definedName>
    <definedName name="_1762__TA_1">#REF!</definedName>
    <definedName name="_1764__TA_2">#REF!</definedName>
    <definedName name="_1766__TA_3">#REF!</definedName>
    <definedName name="_1768__TA_4">#REF!</definedName>
    <definedName name="_176FORM243_4">#REF!</definedName>
    <definedName name="_177_____indek_1">#REF!</definedName>
    <definedName name="_1770__TAB_1">#REF!</definedName>
    <definedName name="_1772__TAB_2">#REF!</definedName>
    <definedName name="_1774__TAB_3">#REF!</definedName>
    <definedName name="_1776__TAB_4">#REF!</definedName>
    <definedName name="_1777__tplek3_1">#REF!</definedName>
    <definedName name="_1778__tplek3_2">#REF!</definedName>
    <definedName name="_1779__tplek3_3">#REF!</definedName>
    <definedName name="_177FORM243_5">'[24]3-DIV2'!$L$1277:$V$1338</definedName>
    <definedName name="_178_____indek_2">#REF!</definedName>
    <definedName name="_1780__tplek3_4">#REF!</definedName>
    <definedName name="_1782__TS_1">#REF!</definedName>
    <definedName name="_1784__TS_2">#REF!</definedName>
    <definedName name="_1786__TS_3">#REF!</definedName>
    <definedName name="_1788__TS_4">#REF!</definedName>
    <definedName name="_1789__u_1">#REF!</definedName>
    <definedName name="_178FORM243_6">#REF!</definedName>
    <definedName name="_179_____indek_3">#REF!</definedName>
    <definedName name="_1790__u_2">#REF!</definedName>
    <definedName name="_1791__u_3">#REF!</definedName>
    <definedName name="_1792__u_4">#REF!</definedName>
    <definedName name="_1794__URINOIR_1">#REF!</definedName>
    <definedName name="_1796__URINOIR_2">#REF!</definedName>
    <definedName name="_1798__URINOIR_3">#REF!</definedName>
    <definedName name="_179FORM243_7">'[24]3-DIV2'!$L$1039:$V$1100</definedName>
    <definedName name="_18">#REF!</definedName>
    <definedName name="_18_____aspal_1">#REF!</definedName>
    <definedName name="_180_____indek_4">#REF!</definedName>
    <definedName name="_1800__URINOIR_4">#REF!</definedName>
    <definedName name="_1801__WASTAFEL_1">#REF!</definedName>
    <definedName name="_1802__WASTAFEL_2">#REF!</definedName>
    <definedName name="_1803__WASTAFEL_3">#REF!</definedName>
    <definedName name="_1804__WASTAFEL_4">#REF!</definedName>
    <definedName name="_1805__WST_1">#REF!</definedName>
    <definedName name="_1806__WST_2">#REF!</definedName>
    <definedName name="_1807__WST_3">#REF!</definedName>
    <definedName name="_1808__WST_4">#REF!</definedName>
    <definedName name="_180FORM311_1">#REF!</definedName>
    <definedName name="_181_____k_1">#REF!</definedName>
    <definedName name="_181FORM311_2">#REF!</definedName>
    <definedName name="_182_____k_2">#REF!</definedName>
    <definedName name="_182FORM311_3">'[32]3-DIV3'!$L$1:$V$61</definedName>
    <definedName name="_183_____k_3">#N/A</definedName>
    <definedName name="_183FORM312_1">#REF!</definedName>
    <definedName name="_184_____k_4">#REF!</definedName>
    <definedName name="_184FORM312_2">#REF!</definedName>
    <definedName name="_185_____K1P_1">#REF!</definedName>
    <definedName name="_185FORM312_3">'[32]3-DIV3'!$L$121:$V$181</definedName>
    <definedName name="_186_____K1P_2">#REF!</definedName>
    <definedName name="_186FORM313_1">'[32]3-DIV3'!$L$241:$V$301</definedName>
    <definedName name="_187_____K1P_3">#REF!</definedName>
    <definedName name="_187FORM313_2">#REF!</definedName>
    <definedName name="_188_____K1P_4">#REF!</definedName>
    <definedName name="_188FORM313_3">#REF!</definedName>
    <definedName name="_189FORM313_4">'[32]3-DIV3'!$L$255:$V$315</definedName>
    <definedName name="_19">#REF!</definedName>
    <definedName name="_19_____aspal_2">#REF!</definedName>
    <definedName name="_190_____kb_1">#REF!</definedName>
    <definedName name="_190FORM314_1">'[32]3-DIV3'!$L$361:$V$421</definedName>
    <definedName name="_191FORM314_2">#REF!</definedName>
    <definedName name="_192_____kb_2">#REF!</definedName>
    <definedName name="_192FORM314_3">#REF!</definedName>
    <definedName name="_193FORM314_4">'[32]3-DIV3'!$L$375:$V$435</definedName>
    <definedName name="_194_____kb_3">#REF!</definedName>
    <definedName name="_194FORM315_1">'[32]3-DIV3'!$L$481:$V$541</definedName>
    <definedName name="_195FORM315_2">#REF!</definedName>
    <definedName name="_196_____kb_4">#REF!</definedName>
    <definedName name="_196FORM315_3">#REF!</definedName>
    <definedName name="_197FORM315_4">'[32]3-DIV3'!$L$1766:$V$1826</definedName>
    <definedName name="_198_____KBC_1">#REF!</definedName>
    <definedName name="_198FORM319_1">'[32]3-DIV3'!$L$601:$V$661</definedName>
    <definedName name="_199FORM319_2">#REF!</definedName>
    <definedName name="_2">#REF!</definedName>
    <definedName name="_2____A">'[22]I-KAMAR'!#REF!</definedName>
    <definedName name="_2_1">#REF!</definedName>
    <definedName name="_2_2">#REF!</definedName>
    <definedName name="_2_2_1">#REF!</definedName>
    <definedName name="_2_3_1">#REF!</definedName>
    <definedName name="_2_3_2">#REF!</definedName>
    <definedName name="_2_3_3">#REF!</definedName>
    <definedName name="_20">#REF!</definedName>
    <definedName name="_20_____aspal_3">#REF!</definedName>
    <definedName name="_200_____KBC_2">#REF!</definedName>
    <definedName name="_200FORM319_3">#REF!</definedName>
    <definedName name="_201FORM319_4">'[32]3-DIV3'!$L$1886:$V$1946</definedName>
    <definedName name="_202_____KBC_3">#REF!</definedName>
    <definedName name="_202FORM322_1">'[32]3-DIV3'!$L$662:$V$722</definedName>
    <definedName name="_203FORM322_2">#REF!</definedName>
    <definedName name="_204_____KBC_4">#REF!</definedName>
    <definedName name="_204FORM322_3">#REF!</definedName>
    <definedName name="_205FORM322_4">'[32]3-DIV3'!$L$1947:$V$2007</definedName>
    <definedName name="_206_____KD_1">#REF!</definedName>
    <definedName name="_206FORM323_1">'[32]3-DIV3'!$L$841:$V$901</definedName>
    <definedName name="_207FORM323_2">#REF!</definedName>
    <definedName name="_208_____KD_2">#REF!</definedName>
    <definedName name="_208FORM323_3">#REF!</definedName>
    <definedName name="_209FORM323_4">'[32]3-DIV3'!$L$2126:$V$2186</definedName>
    <definedName name="_21">#REF!</definedName>
    <definedName name="_21_____aspal_4">#REF!</definedName>
    <definedName name="_210_____KD_3">#REF!</definedName>
    <definedName name="_212_____KD_4">#REF!</definedName>
    <definedName name="_212FORM323L_1">#REF!</definedName>
    <definedName name="_213FORM324_1">'[32]3-DIV3'!$L$1020:$V$1080</definedName>
    <definedName name="_214_____KF_1">#REF!</definedName>
    <definedName name="_214FORM324_2">#REF!</definedName>
    <definedName name="_215FORM324_3">#REF!</definedName>
    <definedName name="_216_____KF_2">#REF!</definedName>
    <definedName name="_216FORM324_4">'[32]3-DIV3'!$L$2305:$V$2365</definedName>
    <definedName name="_217FORM331_1">'[32]3-DIV3'!$L$1142:$V$1202</definedName>
    <definedName name="_218_____KF_3">#REF!</definedName>
    <definedName name="_218FORM331_2">#REF!</definedName>
    <definedName name="_219FORM331_3">#REF!</definedName>
    <definedName name="_21FA">[33]DIV2!#REF!</definedName>
    <definedName name="_21PK">[33]DIV2!#REF!</definedName>
    <definedName name="_22">#REF!</definedName>
    <definedName name="_22_____AVOR_1">#REF!</definedName>
    <definedName name="_220_____KF_4">#REF!</definedName>
    <definedName name="_220FORM331_4">'[32]3-DIV3'!$L$2427:$V$2487</definedName>
    <definedName name="_221_____KJ_1">#REF!</definedName>
    <definedName name="_221FORM346_1">'[32]3-DIV3'!$L$1262:$V$1322</definedName>
    <definedName name="_222_____KJ_2">#REF!</definedName>
    <definedName name="_222FORM346_2">#REF!</definedName>
    <definedName name="_223_____KJ_3">#REF!</definedName>
    <definedName name="_223FORM346_3">#REF!</definedName>
    <definedName name="_224_____KJ_4">#REF!</definedName>
    <definedName name="_224FORM346_4">'[32]3-DIV3'!$L$2547:$V$2607</definedName>
    <definedName name="_225FORM421_1">#REF!</definedName>
    <definedName name="_226_____KOEF_1">#REF!</definedName>
    <definedName name="_226FORM421_2">#REF!</definedName>
    <definedName name="_227FORM421_3">'[34]3-DIV4'!$L$1:$V$61</definedName>
    <definedName name="_228_____KOEF_2">#REF!</definedName>
    <definedName name="_228FORM422_1">#REF!</definedName>
    <definedName name="_229FORM422_2">#REF!</definedName>
    <definedName name="_23">#REF!</definedName>
    <definedName name="_23_____AVOR_2">#REF!</definedName>
    <definedName name="_230_____KOEF_3">#REF!</definedName>
    <definedName name="_230FORM422_3">'[34]3-DIV4'!$L$180:$V$240</definedName>
    <definedName name="_231FORM423_1">#REF!</definedName>
    <definedName name="_232_____KOEF_4">#REF!</definedName>
    <definedName name="_232FORM423_2">#REF!</definedName>
    <definedName name="_233_____koef._1">'[25]harga bahan'!$G$1</definedName>
    <definedName name="_233FORM423_3">'[34]3-DIV4'!$L$479:$V$539</definedName>
    <definedName name="_234_____koef._2">'[25]harga bahan'!$G$1</definedName>
    <definedName name="_234FORM424_1">#REF!</definedName>
    <definedName name="_235_____koef._3">#N/A</definedName>
    <definedName name="_235FORM424_2">#REF!</definedName>
    <definedName name="_236_____koef._4">#REF!</definedName>
    <definedName name="_236FORM424_3">'[34]3-DIV4'!$L$359:$V$419</definedName>
    <definedName name="_237_____KR_1">#REF!</definedName>
    <definedName name="_237FORM425_1">#REF!</definedName>
    <definedName name="_238_____KR_2">#REF!</definedName>
    <definedName name="_238FORM425_2">#REF!</definedName>
    <definedName name="_239_____KR_3">#REF!</definedName>
    <definedName name="_239FORM425_3">'[34]3-DIV4'!$L$718:$V$778</definedName>
    <definedName name="_24">#REF!</definedName>
    <definedName name="_24_____AVOR_3">#REF!</definedName>
    <definedName name="_24__123Graph_X_4">'[14]D6 ASBT'!#REF!</definedName>
    <definedName name="_240_____KR_4">#REF!</definedName>
    <definedName name="_240FORM426_1">#REF!</definedName>
    <definedName name="_241_____KRKM_1">#REF!</definedName>
    <definedName name="_241FORM426_2">#REF!</definedName>
    <definedName name="_242_____KRKM_2">#REF!</definedName>
    <definedName name="_242FORM426_3">'[34]3-DIV4'!$L$897:$V$957</definedName>
    <definedName name="_243_____KRKM_3">#REF!</definedName>
    <definedName name="_243FORM427_1">#REF!</definedName>
    <definedName name="_244_____KRKM_4">#REF!</definedName>
    <definedName name="_244FORM427_2">#REF!</definedName>
    <definedName name="_245FORM427_3">'[34]3-DIV4'!$L$1017:$V$1077</definedName>
    <definedName name="_246_____kt_1">#REF!</definedName>
    <definedName name="_246FORM511_1">#REF!</definedName>
    <definedName name="_247FORM511_2">#REF!</definedName>
    <definedName name="_248_____kt_2">#REF!</definedName>
    <definedName name="_248FORM511_3">'[35]3-DIV5'!$L$1:$V$61</definedName>
    <definedName name="_249FORM512_1">#REF!</definedName>
    <definedName name="_25">#REF!</definedName>
    <definedName name="_25_____AVOR_4">#REF!</definedName>
    <definedName name="_250_____kt_3">#REF!</definedName>
    <definedName name="_250FORM512_2">#REF!</definedName>
    <definedName name="_251FORM512_3">'[35]3-DIV5'!$L$180:$V$240</definedName>
    <definedName name="_252_____kt_4">#REF!</definedName>
    <definedName name="_252FORM521_1">#REF!</definedName>
    <definedName name="_253FORM521_2">#REF!</definedName>
    <definedName name="_254_____l_1">'[23]Harga Sat.'!#REF!</definedName>
    <definedName name="_254FORM521_3">'[35]3-DIV5'!$L$359:$V$419</definedName>
    <definedName name="_255FORM522_1">#REF!</definedName>
    <definedName name="_256_____l_2">'[23]Harga Sat.'!#REF!</definedName>
    <definedName name="_256FORM522_2">#REF!</definedName>
    <definedName name="_257FORM522_3">'[35]3-DIV5'!$L$3075:$V$3135</definedName>
    <definedName name="_258_____l_3">'[23]Harga Sat.'!#REF!</definedName>
    <definedName name="_258FORM541_1">#REF!</definedName>
    <definedName name="_259FORM541_2">#REF!</definedName>
    <definedName name="_26">#REF!</definedName>
    <definedName name="_260_____l_4">'[23]Harga Sat.'!#REF!</definedName>
    <definedName name="_260FORM541_3">'[35]3-DIV5'!$L$3254:$V$3314</definedName>
    <definedName name="_261_____LO_1">#REF!</definedName>
    <definedName name="_261FORM542_1">#REF!</definedName>
    <definedName name="_262_____LO_2">#REF!</definedName>
    <definedName name="_262FORM542_2">#REF!</definedName>
    <definedName name="_263_____LO_3">#REF!</definedName>
    <definedName name="_263FORM542_3">'[35]3-DIV5'!$L$3374:$V$3434</definedName>
    <definedName name="_264_____LO_4">#REF!</definedName>
    <definedName name="_264FORM611_1">#REF!</definedName>
    <definedName name="_265_____LOK_1">#REF!</definedName>
    <definedName name="_265FORM611_2">#REF!</definedName>
    <definedName name="_266_____LOK_2">#REF!</definedName>
    <definedName name="_266FORM611_3">#REF!</definedName>
    <definedName name="_267_____LOK_3">#REF!</definedName>
    <definedName name="_267FORM612_1">#REF!</definedName>
    <definedName name="_268_____LOK_4">#REF!</definedName>
    <definedName name="_268FORM612_2">#REF!</definedName>
    <definedName name="_269FORM612_3">#REF!</definedName>
    <definedName name="_27">#REF!</definedName>
    <definedName name="_27_____b_1">#REF!</definedName>
    <definedName name="_270_____m_1">'[26]harga bahan'!#REF!</definedName>
    <definedName name="_270FORM621_1">#REF!</definedName>
    <definedName name="_271FORM621_2">#REF!</definedName>
    <definedName name="_272_____m_2">'[26]harga bahan'!#REF!</definedName>
    <definedName name="_272FORM621_3">#REF!</definedName>
    <definedName name="_273FORM622_1">#REF!</definedName>
    <definedName name="_274_____m_3">'[26]harga bahan'!#REF!</definedName>
    <definedName name="_274FORM622_2">#REF!</definedName>
    <definedName name="_275FORM622_3">#REF!</definedName>
    <definedName name="_276_____m_4">'[26]harga bahan'!#REF!</definedName>
    <definedName name="_276FORM623_1">#REF!</definedName>
    <definedName name="_277_____minyaktanah_1">#REF!</definedName>
    <definedName name="_277FORM623_2">#REF!</definedName>
    <definedName name="_278_____minyaktanah_2">#REF!</definedName>
    <definedName name="_278FORM623_3">#REF!</definedName>
    <definedName name="_279_____minyaktanah_3">#REF!</definedName>
    <definedName name="_279FORM631_1">#REF!</definedName>
    <definedName name="_28">#REF!</definedName>
    <definedName name="_280_____minyaktanah_4">#REF!</definedName>
    <definedName name="_280FORM631_2">#REF!</definedName>
    <definedName name="_281_____mplek4_1">#REF!</definedName>
    <definedName name="_281FORM631_3">#REF!</definedName>
    <definedName name="_282_____mplek4_2">#REF!</definedName>
    <definedName name="_282FORM632_1">#REF!</definedName>
    <definedName name="_283_____mplek4_3">#REF!</definedName>
    <definedName name="_283FORM632_2">#REF!</definedName>
    <definedName name="_284_____mplek4_4">#REF!</definedName>
    <definedName name="_284FORM632_3">#REF!</definedName>
    <definedName name="_285_____O_1">#REF!</definedName>
    <definedName name="_285FORM633_1">#REF!</definedName>
    <definedName name="_286_____O_2">#REF!</definedName>
    <definedName name="_286FORM633_2">#REF!</definedName>
    <definedName name="_287_____O_3">#REF!</definedName>
    <definedName name="_287FORM633_3">#REF!</definedName>
    <definedName name="_288_____O_4">#REF!</definedName>
    <definedName name="_288FORM634_1">#REF!</definedName>
    <definedName name="_289FORM634_2">#REF!</definedName>
    <definedName name="_28AGREGAT_1">#REF!</definedName>
    <definedName name="_29">#REF!</definedName>
    <definedName name="_29_____b_2">#REF!</definedName>
    <definedName name="_290_____ø10_1">'[27]Tabel Besi'!#REF!</definedName>
    <definedName name="_290FORM634_3">#REF!</definedName>
    <definedName name="_291FORM635_1">#REF!</definedName>
    <definedName name="_292_____ø10_2">'[27]Tabel Besi'!#REF!</definedName>
    <definedName name="_292FORM635_2">#REF!</definedName>
    <definedName name="_293FORM635_3">#REF!</definedName>
    <definedName name="_294_____ø10_3">'[28]Tabel Besi'!#REF!</definedName>
    <definedName name="_294FORM635A_1">#REF!</definedName>
    <definedName name="_295FORM635A_2">#REF!</definedName>
    <definedName name="_296_____ø10_4">'[28]Tabel Besi'!#REF!</definedName>
    <definedName name="_296FORM635A_3">#REF!</definedName>
    <definedName name="_297FORM636_1">#REF!</definedName>
    <definedName name="_298_____ø12_1">'[27]Tabel Besi'!#REF!</definedName>
    <definedName name="_298FORM636_2">#REF!</definedName>
    <definedName name="_299FORM636_3">#REF!</definedName>
    <definedName name="_3">#REF!</definedName>
    <definedName name="_3_1_1">#REF!</definedName>
    <definedName name="_3_1_2">#REF!</definedName>
    <definedName name="_3_1_8">#REF!</definedName>
    <definedName name="_3_2_1">#REF!</definedName>
    <definedName name="_3_2_2">#REF!</definedName>
    <definedName name="_3_2_8">#REF!</definedName>
    <definedName name="_3_3">#REF!</definedName>
    <definedName name="_3_3_2">#REF!</definedName>
    <definedName name="_3_4">#REF!</definedName>
    <definedName name="_30">#REF!</definedName>
    <definedName name="_300_____ø12_2">'[27]Tabel Besi'!#REF!</definedName>
    <definedName name="_300FORM641L_1">#REF!</definedName>
    <definedName name="_301FORM641L_2">#REF!</definedName>
    <definedName name="_302_____ø12_3">'[28]Tabel Besi'!#REF!</definedName>
    <definedName name="_302FORM642_1">#REF!</definedName>
    <definedName name="_303FORM642_2">#REF!</definedName>
    <definedName name="_304_____ø12_4">'[28]Tabel Besi'!#REF!</definedName>
    <definedName name="_304FORM65_1">#REF!</definedName>
    <definedName name="_305FORM65_2">#REF!</definedName>
    <definedName name="_306_____ø6_1">'[27]Tabel Besi'!#REF!</definedName>
    <definedName name="_306FORM65_3">#REF!</definedName>
    <definedName name="_307FORM66PERATA_1">#REF!</definedName>
    <definedName name="_308_____ø6_2">'[27]Tabel Besi'!#REF!</definedName>
    <definedName name="_308FORM66PERATA_2">#REF!</definedName>
    <definedName name="_309FORM66PERATA_3">#REF!</definedName>
    <definedName name="_31">#REF!</definedName>
    <definedName name="_31_____b_3">#REF!</definedName>
    <definedName name="_310_____ø6_3">'[28]Tabel Besi'!#REF!</definedName>
    <definedName name="_310FORM66PERMUKAAN_1">#REF!</definedName>
    <definedName name="_311FORM66PERMUKAAN_2">#REF!</definedName>
    <definedName name="_312_____ø6_4">'[28]Tabel Besi'!#REF!</definedName>
    <definedName name="_312FORM66PERMUKAAN_3">#REF!</definedName>
    <definedName name="_313FORM7101_1">#REF!</definedName>
    <definedName name="_314_____ø8_1">'[27]Tabel Besi'!#REF!</definedName>
    <definedName name="_314FORM7102_1">#REF!</definedName>
    <definedName name="_315FORM7103_1">#REF!</definedName>
    <definedName name="_316_____ø8_2">'[27]Tabel Besi'!#REF!</definedName>
    <definedName name="_318_____ø8_3">'[28]Tabel Besi'!#REF!</definedName>
    <definedName name="_318FORM712_1">#REF!</definedName>
    <definedName name="_32">#REF!</definedName>
    <definedName name="_320_____ø8_4">'[28]Tabel Besi'!#REF!</definedName>
    <definedName name="_321FORM713_1">#REF!</definedName>
    <definedName name="_322_____p_1">'[26]harga bahan'!#REF!</definedName>
    <definedName name="_324_____p_2">'[26]harga bahan'!#REF!</definedName>
    <definedName name="_324FORM715_1">#REF!</definedName>
    <definedName name="_326_____p_3">'[26]harga bahan'!#REF!</definedName>
    <definedName name="_327FORM716_1">#REF!</definedName>
    <definedName name="_328_____p_4">'[26]harga bahan'!#REF!</definedName>
    <definedName name="_33">#REF!</definedName>
    <definedName name="_33_____b_4">#REF!</definedName>
    <definedName name="_330_____P.REUTER_1">#REF!</definedName>
    <definedName name="_330FORM717_1">#REF!</definedName>
    <definedName name="_332_____P.REUTER_2">#REF!</definedName>
    <definedName name="_333FORM718_1">#REF!</definedName>
    <definedName name="_334_____P.REUTER_3">#REF!</definedName>
    <definedName name="_336_____P.REUTER_4">#REF!</definedName>
    <definedName name="_336FORM744_1">#REF!</definedName>
    <definedName name="_337_____paku_1">#REF!</definedName>
    <definedName name="_338_____paku_2">#REF!</definedName>
    <definedName name="_339_____paku_3">#N/A</definedName>
    <definedName name="_339FORM745_1">#REF!</definedName>
    <definedName name="_33AGREGATB_1">'[14]Agg B'!#REF!</definedName>
    <definedName name="_34">#REF!</definedName>
    <definedName name="_34_____bajaC_1">#REF!</definedName>
    <definedName name="_340_____paku_4">#REF!</definedName>
    <definedName name="_341_____pas.cor_1">#REF!</definedName>
    <definedName name="_342_____pas.cor_2">#REF!</definedName>
    <definedName name="_342FORM7610_1">#REF!</definedName>
    <definedName name="_343_____pas.cor_3">#REF!</definedName>
    <definedName name="_344_____pas.cor_4">#REF!</definedName>
    <definedName name="_345">#REF!</definedName>
    <definedName name="_345_____pas.pasang_1">#REF!</definedName>
    <definedName name="_345FORM7612a_1">#REF!</definedName>
    <definedName name="_346_____pas.pasang_2">#REF!</definedName>
    <definedName name="_346FORM7612b_1">#REF!</definedName>
    <definedName name="_347_____pas.pasang_3">#REF!</definedName>
    <definedName name="_347FORM7612c_1">#REF!</definedName>
    <definedName name="_348_____pas.pasang_4">#REF!</definedName>
    <definedName name="_349_____pas.urug_1">#REF!</definedName>
    <definedName name="_35">#REF!</definedName>
    <definedName name="_35_____bajaC_2">#REF!</definedName>
    <definedName name="_350_____pas.urug_2">#REF!</definedName>
    <definedName name="_350FORM7613a_1">#REF!</definedName>
    <definedName name="_351_____pas.urug_3">#REF!</definedName>
    <definedName name="_351FORM7613b_1">#REF!</definedName>
    <definedName name="_352_____pas.urug_4">#REF!</definedName>
    <definedName name="_352FORM7613c_1">#REF!</definedName>
    <definedName name="_353_____PEK_1">#REF!</definedName>
    <definedName name="_354_____PEK_2">#REF!</definedName>
    <definedName name="_355_____PEK_3">#REF!</definedName>
    <definedName name="_355FORM7614a_1">#REF!</definedName>
    <definedName name="_356_____PEK_4">#REF!</definedName>
    <definedName name="_357_____POMPA_1">#REF!</definedName>
    <definedName name="_358_____POMPA_2">#REF!</definedName>
    <definedName name="_358FORM7614b_1">#REF!</definedName>
    <definedName name="_359_____POMPA_3">#REF!</definedName>
    <definedName name="_36">#REF!</definedName>
    <definedName name="_36_____bajaC_3">#REF!</definedName>
    <definedName name="_360_____POMPA_4">#REF!</definedName>
    <definedName name="_361_____PR_1">#REF!</definedName>
    <definedName name="_361FORM7614c_1">#REF!</definedName>
    <definedName name="_362_____PR_2">#REF!</definedName>
    <definedName name="_363_____PR_3">#REF!</definedName>
    <definedName name="_364_____PR_4">#REF!</definedName>
    <definedName name="_364FORM7614d_1">#REF!</definedName>
    <definedName name="_366_____PRINT_TITLES_MI_1">#REF!</definedName>
    <definedName name="_367FORM7614e_1">#REF!</definedName>
    <definedName name="_368_____PRINT_TITLES_MI_2">#REF!</definedName>
    <definedName name="_36AGREGATB_2">'[14]Agg C'!#REF!</definedName>
    <definedName name="_37">#REF!</definedName>
    <definedName name="_37_____bajaC_4">#REF!</definedName>
    <definedName name="_370_____PRINT_TITLES_MI_3">#REF!</definedName>
    <definedName name="_370FORM7618_1">#REF!</definedName>
    <definedName name="_372_____PRINT_TITLES_MI_4">#REF!</definedName>
    <definedName name="_373_____PRO_1">#REF!</definedName>
    <definedName name="_373FORM7619_1">#REF!</definedName>
    <definedName name="_374_____PRO_2">#REF!</definedName>
    <definedName name="_375_____PRO_3">#REF!</definedName>
    <definedName name="_376_____PRO_4">#REF!</definedName>
    <definedName name="_376FORM768_1">#REF!</definedName>
    <definedName name="_377_____q_1">#REF!</definedName>
    <definedName name="_378_____q_2">#REF!</definedName>
    <definedName name="_379_____q_3">#REF!</definedName>
    <definedName name="_379FORM769_1">#REF!</definedName>
    <definedName name="_38">#REF!</definedName>
    <definedName name="_38_____BATA_1">#REF!</definedName>
    <definedName name="_380_____q_4">#REF!</definedName>
    <definedName name="_381_____REN_1">#REF!</definedName>
    <definedName name="_382_____REN_2">#REF!</definedName>
    <definedName name="_382FORM76X_1">#REF!</definedName>
    <definedName name="_383_____REN_3">#REF!</definedName>
    <definedName name="_383FORM79manual_1">#REF!</definedName>
    <definedName name="_384_____REN_4">#REF!</definedName>
    <definedName name="_384FORM79mekanis_1">#REF!</definedName>
    <definedName name="_385_____RS_1">#REF!</definedName>
    <definedName name="_385FORM811_1">#REF!</definedName>
    <definedName name="_386_____RS_2">#REF!</definedName>
    <definedName name="_386FORM812_1">#REF!</definedName>
    <definedName name="_387_____RS_3">#REF!</definedName>
    <definedName name="_387FORM813_1">#REF!</definedName>
    <definedName name="_388_____RS_4">#REF!</definedName>
    <definedName name="_388FORM814_1">#REF!</definedName>
    <definedName name="_389_____s_1">'[30]harga bahan'!$K$118</definedName>
    <definedName name="_389FORM815_1">#REF!</definedName>
    <definedName name="_39">#REF!</definedName>
    <definedName name="_39_____BATA_2">#REF!</definedName>
    <definedName name="_390_____s_2">'[30]harga bahan'!$K$118</definedName>
    <definedName name="_390FORM817_1">#REF!</definedName>
    <definedName name="_391_____s_3">#N/A</definedName>
    <definedName name="_391FORM818_1">#REF!</definedName>
    <definedName name="_392_____s_4">#REF!</definedName>
    <definedName name="_392FORM819_1">#REF!</definedName>
    <definedName name="_393_____semen1_1">#REF!</definedName>
    <definedName name="_393FORM82_1">#REF!</definedName>
    <definedName name="_394_____semen1_2">#REF!</definedName>
    <definedName name="_395_____semen1_3">#REF!</definedName>
    <definedName name="_396_____semen1_4">#REF!</definedName>
    <definedName name="_396FORM841_1">'[36]3-DIV8'!#REF!</definedName>
    <definedName name="_397_____semen50_1">#REF!</definedName>
    <definedName name="_397FORM841_2">#REF!</definedName>
    <definedName name="_398_____semen50_2">#REF!</definedName>
    <definedName name="_399_____semen50_3">#REF!</definedName>
    <definedName name="_39AGREGATC_1">'[14]Agg B'!#REF!</definedName>
    <definedName name="_3WROLLER">#REF!</definedName>
    <definedName name="_4">#REF!</definedName>
    <definedName name="_4_____A">'[22]I-KAMAR'!#REF!</definedName>
    <definedName name="_4_1_1">#REF!</definedName>
    <definedName name="_4_1_2">#REF!</definedName>
    <definedName name="_4_2_2">#REF!</definedName>
    <definedName name="_40">#REF!</definedName>
    <definedName name="_40_____BATA_3">#REF!</definedName>
    <definedName name="_400_____semen50_4">#REF!</definedName>
    <definedName name="_400FORM8410_1">'[36]3-DIV8'!#REF!</definedName>
    <definedName name="_401_____sirtu_1">#REF!</definedName>
    <definedName name="_401FORM8410_2">#REF!</definedName>
    <definedName name="_402_____sirtu_2">#REF!</definedName>
    <definedName name="_403_____sirtu_3">#REF!</definedName>
    <definedName name="_404_____sirtu_4">#REF!</definedName>
    <definedName name="_404FORM842_1">'[36]3-DIV8'!#REF!</definedName>
    <definedName name="_405_____SP_1">#REF!</definedName>
    <definedName name="_405FORM842_2">#REF!</definedName>
    <definedName name="_406_____SP_2">#REF!</definedName>
    <definedName name="_407_____SP_3">#REF!</definedName>
    <definedName name="_408_____SP_4">#REF!</definedName>
    <definedName name="_408FORM844_1">'[36]3-DIV8'!#REF!</definedName>
    <definedName name="_409FORM844_2">#REF!</definedName>
    <definedName name="_41">#REF!</definedName>
    <definedName name="_41_____BATA_4">#REF!</definedName>
    <definedName name="_410_____t_1">'[26]harga bahan'!#REF!</definedName>
    <definedName name="_412_____t_2">'[26]harga bahan'!#REF!</definedName>
    <definedName name="_412FORM845_1">'[36]3-DIV8'!#REF!</definedName>
    <definedName name="_413FORM845_2">#REF!</definedName>
    <definedName name="_414_____t_3">'[26]harga bahan'!#REF!</definedName>
    <definedName name="_416_____t_4">'[26]harga bahan'!#REF!</definedName>
    <definedName name="_416FORM846_1">'[36]3-DIV8'!#REF!</definedName>
    <definedName name="_417FORM846_2">#REF!</definedName>
    <definedName name="_418_____TA_1">#REF!</definedName>
    <definedName name="_42">#REF!</definedName>
    <definedName name="_42_____batukali_1">#REF!</definedName>
    <definedName name="_420_____TA_2">#REF!</definedName>
    <definedName name="_420FORM847_1">'[36]3-DIV8'!#REF!</definedName>
    <definedName name="_421FORM847_2">#REF!</definedName>
    <definedName name="_422_____TA_3">#REF!</definedName>
    <definedName name="_422FORMGEOTEKSTIL_1">#REF!</definedName>
    <definedName name="_423FRRDS_1">#REF!</definedName>
    <definedName name="_424_____TA_4">#REF!</definedName>
    <definedName name="_424FRRDS_2">#REF!</definedName>
    <definedName name="_425HAL1_1">#REF!</definedName>
    <definedName name="_426_____TAB_1">#REF!</definedName>
    <definedName name="_428_____TAB_2">#REF!</definedName>
    <definedName name="_428HAL1_4">#REF!</definedName>
    <definedName name="_429HAL2_1">#REF!</definedName>
    <definedName name="_42AGREGATC_2">'[14]Agg C'!#REF!</definedName>
    <definedName name="_43">#REF!</definedName>
    <definedName name="_43_____batukali_2">#REF!</definedName>
    <definedName name="_430_____TAB_3">#REF!</definedName>
    <definedName name="_432_____TAB_4">#REF!</definedName>
    <definedName name="_432HAL2_2">'[14]Jembatan Sementara'!#REF!</definedName>
    <definedName name="_433_____tplek3_1">#REF!</definedName>
    <definedName name="_434_____tplek3_2">#REF!</definedName>
    <definedName name="_435_____tplek3_3">#REF!</definedName>
    <definedName name="_435HAL2_3">'[14]Lalu Lintas'!#REF!</definedName>
    <definedName name="_436_____tplek3_4">#REF!</definedName>
    <definedName name="_436HAL2_4">#REF!</definedName>
    <definedName name="_437HAL3_1">#REF!</definedName>
    <definedName name="_438_____TS_1">#REF!</definedName>
    <definedName name="_438HAL3_2">#REF!</definedName>
    <definedName name="_439HAL4_1">#REF!</definedName>
    <definedName name="_43ASPAL_1">#REF!</definedName>
    <definedName name="_44">#REF!</definedName>
    <definedName name="_44_____batukali_3">#REF!</definedName>
    <definedName name="_440_____TS_2">#REF!</definedName>
    <definedName name="_440HAL4_2">#REF!</definedName>
    <definedName name="_441HAL5_1">#REF!</definedName>
    <definedName name="_442_____TS_3">#REF!</definedName>
    <definedName name="_442HAL5_2">#REF!</definedName>
    <definedName name="_443HAL6_1">#REF!</definedName>
    <definedName name="_444_____TS_4">#REF!</definedName>
    <definedName name="_444HAL6_2">#REF!</definedName>
    <definedName name="_445_____u_1">#REF!</definedName>
    <definedName name="_445HAL7_1">#REF!</definedName>
    <definedName name="_446_____u_2">#REF!</definedName>
    <definedName name="_446HAL7_2">#REF!</definedName>
    <definedName name="_447_____u_3">#REF!</definedName>
    <definedName name="_447HAL8_1">#REF!</definedName>
    <definedName name="_448_____u_4">#REF!</definedName>
    <definedName name="_448HAL8_2">#REF!</definedName>
    <definedName name="_44BAHU_1">#REF!</definedName>
    <definedName name="_45">#REF!</definedName>
    <definedName name="_45_____batukali_4">#REF!</definedName>
    <definedName name="_450_____URINOIR_1">#REF!</definedName>
    <definedName name="_451KASARHALUS_1">'[14]Agg B'!#REF!</definedName>
    <definedName name="_452_____URINOIR_2">#REF!</definedName>
    <definedName name="_454_____URINOIR_3">#REF!</definedName>
    <definedName name="_454KASARHALUS_2">'[14]Agg C'!#REF!</definedName>
    <definedName name="_456_____URINOIR_4">#REF!</definedName>
    <definedName name="_456KUANTITAS_1">#REF!</definedName>
    <definedName name="_457_____WASTAFEL_1">#REF!</definedName>
    <definedName name="_457KUANTITAS_2">#REF!</definedName>
    <definedName name="_458_____WASTAFEL_2">#REF!</definedName>
    <definedName name="_458LAINLAIN_1">#REF!</definedName>
    <definedName name="_459_____WASTAFEL_3">#REF!</definedName>
    <definedName name="_459LAINLAIN_2">#REF!</definedName>
    <definedName name="_45DAYWORKS_1">#REF!</definedName>
    <definedName name="_46">#REF!</definedName>
    <definedName name="_46_____baut10_1">#REF!</definedName>
    <definedName name="_460_____WASTAFEL_4">#REF!</definedName>
    <definedName name="_461_____WST_1">#REF!</definedName>
    <definedName name="_461LLL01_1">'[14]4-Basic Price'!$F$8</definedName>
    <definedName name="_462_____WST_2">#REF!</definedName>
    <definedName name="_463_____WST_3">#REF!</definedName>
    <definedName name="_463LLL02_1">'[14]4-Basic Price'!$F$9</definedName>
    <definedName name="_464_____WST_4">#REF!</definedName>
    <definedName name="_465____A_1">'[31]bhn FINAL'!$H$3</definedName>
    <definedName name="_465LLL03_1">'[14]4-Basic Price'!$F$10</definedName>
    <definedName name="_466____aspal_1">#REF!</definedName>
    <definedName name="_466MINOR_1">#REF!</definedName>
    <definedName name="_467____aspal_2">#REF!</definedName>
    <definedName name="_467MINOR_2">#REF!</definedName>
    <definedName name="_468____aspal_3">#REF!</definedName>
    <definedName name="_468MMM18_1">#REF!</definedName>
    <definedName name="_469____aspal_4">#REF!</definedName>
    <definedName name="_46DIV1_1">#REF!</definedName>
    <definedName name="_47">#REF!</definedName>
    <definedName name="_47_____baut10_2">#REF!</definedName>
    <definedName name="_470____AVOR_1">#REF!</definedName>
    <definedName name="_470MMM18_2">'[14]4-Basic Price'!$F$70</definedName>
    <definedName name="_471____AVOR_2">#REF!</definedName>
    <definedName name="_471MMM19_1">#REF!</definedName>
    <definedName name="_472____AVOR_3">#REF!</definedName>
    <definedName name="_473____AVOR_4">#REF!</definedName>
    <definedName name="_473MMM19_2">'[14]4-Basic Price'!$F$71</definedName>
    <definedName name="_474MMM48_1">#REF!</definedName>
    <definedName name="_475____b_1">#REF!</definedName>
    <definedName name="_476MMM48_2">'[14]4-Basic Price'!$F$102</definedName>
    <definedName name="_477____b_2">#REF!</definedName>
    <definedName name="_477MMM50_1">#REF!</definedName>
    <definedName name="_479____b_3">#REF!</definedName>
    <definedName name="_47DIV1_2">[14]BOQ!$G$19</definedName>
    <definedName name="_48">#REF!</definedName>
    <definedName name="_48_____baut10_3">#REF!</definedName>
    <definedName name="_480MMM51_1">#REF!</definedName>
    <definedName name="_481____b_4">#REF!</definedName>
    <definedName name="_482____bajaC_1">#REF!</definedName>
    <definedName name="_483____bajaC_2">#REF!</definedName>
    <definedName name="_483MMM52_1">#REF!</definedName>
    <definedName name="_484____bajaC_3">#REF!</definedName>
    <definedName name="_485____bajaC_4">#REF!</definedName>
    <definedName name="_486____BATA_1">#REF!</definedName>
    <definedName name="_486MOBILISASI_1">#REF!</definedName>
    <definedName name="_487____BATA_2">#REF!</definedName>
    <definedName name="_487MOBILISASI_2">#REF!</definedName>
    <definedName name="_488____BATA_3">#REF!</definedName>
    <definedName name="_488PTJW_1">#REF!</definedName>
    <definedName name="_489____BATA_4">#REF!</definedName>
    <definedName name="_489PTJW_2">#REF!</definedName>
    <definedName name="_48DIV10_1">#REF!</definedName>
    <definedName name="_49">#REF!</definedName>
    <definedName name="_49_____baut10_4">#REF!</definedName>
    <definedName name="_490____batukali_1">#REF!</definedName>
    <definedName name="_491____batukali_2">#REF!</definedName>
    <definedName name="_492____batukali_3">#REF!</definedName>
    <definedName name="_493____batukali_4">#REF!</definedName>
    <definedName name="_493RUTIN_1">'[37]Kuantitas &amp; Harga'!#REF!</definedName>
    <definedName name="_494____baut10_1">#REF!</definedName>
    <definedName name="_495____baut10_2">#REF!</definedName>
    <definedName name="_496____baut10_3">#REF!</definedName>
    <definedName name="_496RUTIN_2">[38]BOQPUSJAL!#REF!</definedName>
    <definedName name="_497____baut10_4">#REF!</definedName>
    <definedName name="_498____baut12_1">#REF!</definedName>
    <definedName name="_499____baut12_2">#REF!</definedName>
    <definedName name="_499RUTIN_3">'[39]Kuantitas &amp; Harga'!#REF!</definedName>
    <definedName name="_49DIV10_2">[14]BOQ!$G$312</definedName>
    <definedName name="_5">#REF!</definedName>
    <definedName name="_5_1_">#REF!</definedName>
    <definedName name="_5_1_1">#REF!</definedName>
    <definedName name="_5_1_2">#REF!</definedName>
    <definedName name="_5_5">#REF!</definedName>
    <definedName name="_5_7_1">#REF!</definedName>
    <definedName name="_50">#REF!</definedName>
    <definedName name="_50_____baut12_1">#REF!</definedName>
    <definedName name="_500____baut12_3">#REF!</definedName>
    <definedName name="_5000">#REF!</definedName>
    <definedName name="_501____baut12_4">#REF!</definedName>
    <definedName name="_502____baut16_1">#REF!</definedName>
    <definedName name="_502RUTIN_4">'[36]Kuantitas &amp; Harga'!#REF!</definedName>
    <definedName name="_503____baut16_2">#REF!</definedName>
    <definedName name="_504____baut16_3">#REF!</definedName>
    <definedName name="_505____baut16_4">#REF!</definedName>
    <definedName name="_505RUTIN_5">#REF!</definedName>
    <definedName name="_506____BBM_1">#REF!</definedName>
    <definedName name="_506STRUKTUR_1">#REF!</definedName>
    <definedName name="_507____BBM_2">#REF!</definedName>
    <definedName name="_507STRUKTUR_2">#REF!</definedName>
    <definedName name="_508____BBM_3">#REF!</definedName>
    <definedName name="_508TANAH_1">#REF!</definedName>
    <definedName name="_509____BBM_4">#REF!</definedName>
    <definedName name="_509TANAH_2">#REF!</definedName>
    <definedName name="_51">#REF!</definedName>
    <definedName name="_51_____baut12_2">#REF!</definedName>
    <definedName name="_510____bekisting_1">#REF!</definedName>
    <definedName name="_510URAIAN_1">'[24]3-DIV2'!$A$1:$J$1339</definedName>
    <definedName name="_511____bekisting_2">#REF!</definedName>
    <definedName name="_511URAIAN_2">'[24]3-DIV2'!$A$1:$J$1339</definedName>
    <definedName name="_512____bekisting_3">#REF!</definedName>
    <definedName name="_512URAIAN_3">'[24]3-DIV2'!$A$1:$J$1325</definedName>
    <definedName name="_513____bekisting_4">#REF!</definedName>
    <definedName name="_513URAIAN_4">#REF!</definedName>
    <definedName name="_514____bh_1">#REF!</definedName>
    <definedName name="_514URAIAN_5">'[24]3-DIV2'!$A$1:$J$1339</definedName>
    <definedName name="_515____bh_2">#REF!</definedName>
    <definedName name="_515URAIAN_6">#REF!</definedName>
    <definedName name="_516____bh_3">#REF!</definedName>
    <definedName name="_516URAIAN_7">'[24]3-DIV2'!$A$1:$J$1101</definedName>
    <definedName name="_517____bh_4">#REF!</definedName>
    <definedName name="_517URAIAN21_1">#REF!</definedName>
    <definedName name="_518URAIAN21_2">#REF!</definedName>
    <definedName name="_519____BHN_1">#REF!</definedName>
    <definedName name="_519URAIAN21_3">'[24]3-DIV2'!$A$1:$J$121</definedName>
    <definedName name="_52">#REF!</definedName>
    <definedName name="_52_____baut12_3">#REF!</definedName>
    <definedName name="_520URAIAN22E_1">'[24]3-DIV2'!$A$242:$J$361</definedName>
    <definedName name="_521____BHN_2">#REF!</definedName>
    <definedName name="_521URAIAN22E_2">'[24]3-DIV2'!$A$242:$J$361</definedName>
    <definedName name="_522FA">[33]DIV5!#REF!</definedName>
    <definedName name="_522URAIAN22E_3">'[24]3-DIV2'!$A$242:$J$361</definedName>
    <definedName name="_523____BHN_3">#REF!</definedName>
    <definedName name="_523URAIAN22E_4">#REF!</definedName>
    <definedName name="_524URAIAN22E_5">'[24]3-DIV2'!$A$242:$J$361</definedName>
    <definedName name="_525____BHN_4">#REF!</definedName>
    <definedName name="_525URAIAN22E_6">#REF!</definedName>
    <definedName name="_526____catepoxy_1">#REF!</definedName>
    <definedName name="_526URAIAN22E_7">'[24]3-DIV2'!$A$122:$J$123</definedName>
    <definedName name="_527____catepoxy_2">#REF!</definedName>
    <definedName name="_527URAIAN22L_1">'[24]3-DIV2'!$A$122:$J$241</definedName>
    <definedName name="_528____catepoxy_3">#REF!</definedName>
    <definedName name="_528URAIAN22L_2">'[24]3-DIV2'!$A$122:$J$241</definedName>
    <definedName name="_529____catepoxy_4">#REF!</definedName>
    <definedName name="_529URAIAN22L_3">'[24]3-DIV2'!$A$122:$J$241</definedName>
    <definedName name="_52DIV11_1">#REF!</definedName>
    <definedName name="_53">#REF!</definedName>
    <definedName name="_53_____baut12_4">#REF!</definedName>
    <definedName name="_530____CF_1">#REF!</definedName>
    <definedName name="_530URAIAN22L_4">#REF!</definedName>
    <definedName name="_531____CF_2">#REF!</definedName>
    <definedName name="_531URAIAN22L_5">'[24]3-DIV2'!$A$122:$J$241</definedName>
    <definedName name="_532____CF_3">#REF!</definedName>
    <definedName name="_532URAIAN22L_6">#REF!</definedName>
    <definedName name="_533____CF_4">#REF!</definedName>
    <definedName name="_535____Computer1_1">#REF!</definedName>
    <definedName name="_535URAIAN22L_7">'[24]3-DIV2'!#REF!</definedName>
    <definedName name="_536URAIAN231_1">'[24]3-DIV2'!$A$362:$J$481</definedName>
    <definedName name="_537____Computer1_2">#REF!</definedName>
    <definedName name="_537URAIAN231_2">'[24]3-DIV2'!$A$362:$J$481</definedName>
    <definedName name="_538URAIAN231_3">'[24]3-DIV2'!$A$362:$J$481</definedName>
    <definedName name="_539____Computer1_3">#REF!</definedName>
    <definedName name="_539URAIAN231_4">#REF!</definedName>
    <definedName name="_54">#REF!</definedName>
    <definedName name="_54_____baut16_1">#REF!</definedName>
    <definedName name="_540URAIAN231_5">'[24]3-DIV2'!$A$362:$J$481</definedName>
    <definedName name="_541____Computer1_4">#REF!</definedName>
    <definedName name="_541URAIAN231_6">#REF!</definedName>
    <definedName name="_542____EJ_1">#REF!</definedName>
    <definedName name="_542URAIAN231_7">'[24]3-DIV2'!$A$124:$J$243</definedName>
    <definedName name="_543____EJ_2">#REF!</definedName>
    <definedName name="_543URAIAN232_1">'[24]3-DIV2'!$A$482:$J$601</definedName>
    <definedName name="_544____EJ_3">#REF!</definedName>
    <definedName name="_544URAIAN232_2">'[24]3-DIV2'!$A$482:$J$601</definedName>
    <definedName name="_545____EJ_4">#REF!</definedName>
    <definedName name="_545URAIAN232_3">'[24]3-DIV2'!$A$482:$J$601</definedName>
    <definedName name="_546____EP_1">#REF!</definedName>
    <definedName name="_546URAIAN232_4">#REF!</definedName>
    <definedName name="_547____EP_2">#REF!</definedName>
    <definedName name="_547URAIAN232_5">'[24]3-DIV2'!$A$482:$J$601</definedName>
    <definedName name="_548____EP_3">#REF!</definedName>
    <definedName name="_548URAIAN232_6">#REF!</definedName>
    <definedName name="_549____EP_4">#REF!</definedName>
    <definedName name="_549URAIAN232_7">'[24]3-DIV2'!$A$244:$J$363</definedName>
    <definedName name="_55">#REF!</definedName>
    <definedName name="_55_____baut16_2">#REF!</definedName>
    <definedName name="_550____Excel_BuiltIn_Print_Area_9">#REF!</definedName>
    <definedName name="_550URAIAN233_1">'[24]3-DIV2'!$A$602:$J$721</definedName>
    <definedName name="_551URAIAN233_2">'[24]3-DIV2'!$A$602:$J$721</definedName>
    <definedName name="_552____Excel_BuiltIn_Print_Titles_5">#REF!</definedName>
    <definedName name="_552URAIAN233_3">'[24]3-DIV2'!$A$602:$J$721</definedName>
    <definedName name="_553URAIAN233_4">#REF!</definedName>
    <definedName name="_554____Excel_BuiltIn_Print_Titles_6">#REF!</definedName>
    <definedName name="_554URAIAN233_5">'[24]3-DIV2'!$A$602:$J$721</definedName>
    <definedName name="_555URAIAN233_6">#REF!</definedName>
    <definedName name="_556____Excel_BuiltIn_Print_Titles_7">#REF!</definedName>
    <definedName name="_556URAIAN233_7">'[24]3-DIV2'!$A$364:$J$483</definedName>
    <definedName name="_557Uraian234_1">'[24]3-DIV2'!$A$722:$J$972</definedName>
    <definedName name="_558____f_1">'[23]Harga Sat.'!#REF!</definedName>
    <definedName name="_558Uraian234_2">'[24]3-DIV2'!$A$722:$J$972</definedName>
    <definedName name="_559Uraian234_3">'[24]3-DIV2'!$A$722:$J$961</definedName>
    <definedName name="_55DIV11_2">#REF!</definedName>
    <definedName name="_56">#REF!</definedName>
    <definedName name="_56_____baut16_3">#REF!</definedName>
    <definedName name="_560____f_2">'[23]Harga Sat.'!#REF!</definedName>
    <definedName name="_560Uraian234_4">#REF!</definedName>
    <definedName name="_561Uraian234_5">'[24]3-DIV2'!$A$722:$J$972</definedName>
    <definedName name="_562____f_3">'[23]Harga Sat.'!#REF!</definedName>
    <definedName name="_562Uraian234_6">#REF!</definedName>
    <definedName name="_563Uraian234_7">'[24]3-DIV2'!$A$484:$J$603</definedName>
    <definedName name="_564____f_4">'[23]Harga Sat.'!#REF!</definedName>
    <definedName name="_564Uraian235_1">'[24]3-DIV2'!$A$973:$J$973</definedName>
    <definedName name="_565Uraian235_2">'[24]3-DIV2'!$A$973:$J$973</definedName>
    <definedName name="_566____fb_1">#REF!</definedName>
    <definedName name="_566Uraian235_3">'[24]3-DIV2'!$A$962:$J$962</definedName>
    <definedName name="_567Uraian235_4">#REF!</definedName>
    <definedName name="_568____fb_2">#REF!</definedName>
    <definedName name="_568Uraian235_5">'[24]3-DIV2'!$A$973:$J$973</definedName>
    <definedName name="_569Uraian235_6">#REF!</definedName>
    <definedName name="_57">#REF!</definedName>
    <definedName name="_57_____baut16_4">#REF!</definedName>
    <definedName name="_570____fb_3">#REF!</definedName>
    <definedName name="_570Uraian235_7">'[24]3-DIV2'!$A$604:$J$854</definedName>
    <definedName name="_571Uraian236_1">'[24]3-DIV2'!$A$974:$J$1096</definedName>
    <definedName name="_572____fb_4">#REF!</definedName>
    <definedName name="_572Uraian236_2">'[24]3-DIV2'!$A$974:$J$1096</definedName>
    <definedName name="_573____FD_1">#REF!</definedName>
    <definedName name="_573Uraian236_3">'[24]3-DIV2'!$A$963:$J$1082</definedName>
    <definedName name="_574____FD_2">#REF!</definedName>
    <definedName name="_574Uraian236_4">#REF!</definedName>
    <definedName name="_575____FD_3">#REF!</definedName>
    <definedName name="_575Uraian236_5">'[24]3-DIV2'!$A$974:$J$1096</definedName>
    <definedName name="_576____FD_4">#REF!</definedName>
    <definedName name="_576Uraian236_6">#REF!</definedName>
    <definedName name="_577Uraian236_7">'[24]3-DIV2'!$A$855:$J$973</definedName>
    <definedName name="_578____FF_1">'[23]Harga Sat.'!#REF!</definedName>
    <definedName name="_578URAIAN241_1">'[24]3-DIV2'!$A$1097:$J$1216</definedName>
    <definedName name="_579URAIAN241_2">'[24]3-DIV2'!$A$1097:$J$1216</definedName>
    <definedName name="_58">#REF!</definedName>
    <definedName name="_58_____BBM_1">#REF!</definedName>
    <definedName name="_580____FF_2">'[23]Harga Sat.'!#REF!</definedName>
    <definedName name="_580URAIAN241_3">'[24]3-DIV2'!$A$1083:$J$1202</definedName>
    <definedName name="_581URAIAN241_4">#REF!</definedName>
    <definedName name="_582____FF_3">'[23]Harga Sat.'!#REF!</definedName>
    <definedName name="_582URAIAN241_5">'[24]3-DIV2'!$A$1097:$J$1216</definedName>
    <definedName name="_583URAIAN241_6">#REF!</definedName>
    <definedName name="_584____FFF_1">'[23]Harga Sat.'!#REF!</definedName>
    <definedName name="_584URAIAN241_7">'[24]3-DIV2'!$A$974:$J$978</definedName>
    <definedName name="_585URAIAN242_1">'[24]3-DIV2'!$A$1217:$J$1277</definedName>
    <definedName name="_586____FFF_2">'[23]Harga Sat.'!#REF!</definedName>
    <definedName name="_586URAIAN242_2">'[24]3-DIV2'!$A$1217:$J$1277</definedName>
    <definedName name="_587URAIAN242_3">'[24]3-DIV2'!$A$1203:$J$1263</definedName>
    <definedName name="_588____FFF_3">'[23]Harga Sat.'!#REF!</definedName>
    <definedName name="_588URAIAN242_4">#REF!</definedName>
    <definedName name="_589____GJ_1">#REF!</definedName>
    <definedName name="_589URAIAN242_5">'[24]3-DIV2'!$A$1217:$J$1277</definedName>
    <definedName name="_58DIV11_3">#REF!</definedName>
    <definedName name="_59">#REF!</definedName>
    <definedName name="_59_____BBM_2">#REF!</definedName>
    <definedName name="_590____GJ_2">#REF!</definedName>
    <definedName name="_590URAIAN242_6">#REF!</definedName>
    <definedName name="_591____GJ_3">#REF!</definedName>
    <definedName name="_591URAIAN242_7">'[24]3-DIV2'!$A$979:$J$1039</definedName>
    <definedName name="_592____GJ_4">#REF!</definedName>
    <definedName name="_592URAIAN243_1">'[24]3-DIV2'!$A$1278:$J$1339</definedName>
    <definedName name="_593URAIAN243_2">'[24]3-DIV2'!$A$1278:$J$1339</definedName>
    <definedName name="_594____GT_1">#REF!</definedName>
    <definedName name="_594URAIAN243_3">'[24]3-DIV2'!$A$1264:$J$1325</definedName>
    <definedName name="_595URAIAN243_4">#REF!</definedName>
    <definedName name="_596____GT_2">#REF!</definedName>
    <definedName name="_596URAIAN243_5">'[24]3-DIV2'!$A$1278:$J$1339</definedName>
    <definedName name="_597URAIAN243_6">#REF!</definedName>
    <definedName name="_598____GT_3">#REF!</definedName>
    <definedName name="_598URAIAN243_7">'[24]3-DIV2'!$A$1040:$J$1101</definedName>
    <definedName name="_599Uraian311_1">#REF!</definedName>
    <definedName name="_6">#REF!</definedName>
    <definedName name="_6______A">'[22]I-KAMAR'!#REF!</definedName>
    <definedName name="_6__123Graph_A_4">'[14]D6 ASBT'!#REF!</definedName>
    <definedName name="_6_1_1">#REF!</definedName>
    <definedName name="_6_1_2">#REF!</definedName>
    <definedName name="_6_1_7">#REF!</definedName>
    <definedName name="_6_10_2">#REF!</definedName>
    <definedName name="_6_7_1">#REF!</definedName>
    <definedName name="_6_7_2">#REF!</definedName>
    <definedName name="_6_8_1">#REF!</definedName>
    <definedName name="_6_8_5">#REF!</definedName>
    <definedName name="_60">#REF!</definedName>
    <definedName name="_60_____BBM_3">#REF!</definedName>
    <definedName name="_600____GT_4">#REF!</definedName>
    <definedName name="_600Uraian311_2">#REF!</definedName>
    <definedName name="_601Uraian311_3">'[32]3-DIV3'!$A$1:$J$120</definedName>
    <definedName name="_602____h_1">'[23]Harga Sat.'!#REF!</definedName>
    <definedName name="_602Uraian312_1">#REF!</definedName>
    <definedName name="_603Uraian312_2">#REF!</definedName>
    <definedName name="_604____h_2">'[23]Harga Sat.'!#REF!</definedName>
    <definedName name="_604Uraian312_3">'[32]3-DIV3'!$A$121:$J$240</definedName>
    <definedName name="_605Uraian313_1">'[32]3-DIV3'!$A$241:$J$360</definedName>
    <definedName name="_606____h_3">'[23]Harga Sat.'!#REF!</definedName>
    <definedName name="_606Uraian313_2">#REF!</definedName>
    <definedName name="_607Uraian313_3">#REF!</definedName>
    <definedName name="_608____h_4">'[23]Harga Sat.'!#REF!</definedName>
    <definedName name="_608Uraian313_4">'[32]3-DIV3'!$A$255:$J$374</definedName>
    <definedName name="_609____HA_1">#REF!</definedName>
    <definedName name="_609Uraian314_1">'[32]3-DIV3'!$A$361:$J$480</definedName>
    <definedName name="_61">#REF!</definedName>
    <definedName name="_61_____BBM_4">#REF!</definedName>
    <definedName name="_610____HA_2">#REF!</definedName>
    <definedName name="_610Uraian314_2">#REF!</definedName>
    <definedName name="_611____HA_3">#REF!</definedName>
    <definedName name="_611Uraian314_3">#REF!</definedName>
    <definedName name="_612____HA_4">#REF!</definedName>
    <definedName name="_612Uraian314_4">'[32]3-DIV3'!$A$375:$J$494</definedName>
    <definedName name="_613Uraian315_1">'[32]3-DIV3'!$A$481:$J$600</definedName>
    <definedName name="_614____HP_1">#REF!</definedName>
    <definedName name="_614Uraian315_2">#REF!</definedName>
    <definedName name="_615Uraian315_3">#REF!</definedName>
    <definedName name="_616____HP_2">#REF!</definedName>
    <definedName name="_616Uraian315_4">'[32]3-DIV3'!$A$1766:$J$1885</definedName>
    <definedName name="_617Uraian319_1">'[32]3-DIV3'!$A$601:$J$661</definedName>
    <definedName name="_618____HP_3">#REF!</definedName>
    <definedName name="_618Uraian319_2">#REF!</definedName>
    <definedName name="_619Uraian319_3">#REF!</definedName>
    <definedName name="_61DIV11_4">#REF!</definedName>
    <definedName name="_62">#REF!</definedName>
    <definedName name="_62_____bekisting_1">#REF!</definedName>
    <definedName name="_620____HP_4">#REF!</definedName>
    <definedName name="_620Uraian319_4">'[32]3-DIV3'!$A$1886:$J$1946</definedName>
    <definedName name="_621____HRG_1">#REF!</definedName>
    <definedName name="_621Uraian322_1">'[32]3-DIV3'!$A$662:$J$842</definedName>
    <definedName name="_622____HRG_2">#REF!</definedName>
    <definedName name="_622Uraian322_2">#REF!</definedName>
    <definedName name="_623____HRG_3">#REF!</definedName>
    <definedName name="_623Uraian322_3">#REF!</definedName>
    <definedName name="_624____HRG_4">#REF!</definedName>
    <definedName name="_624Uraian322_4">'[32]3-DIV3'!$A$1947:$J$2127</definedName>
    <definedName name="_625____indek_1">#REF!</definedName>
    <definedName name="_625Uraian323_1">'[32]3-DIV3'!$A$843:$J$1021</definedName>
    <definedName name="_626____indek_2">#REF!</definedName>
    <definedName name="_626Uraian323_2">#REF!</definedName>
    <definedName name="_627____indek_3">#REF!</definedName>
    <definedName name="_627Uraian323_3">#REF!</definedName>
    <definedName name="_628____indek_4">#REF!</definedName>
    <definedName name="_628Uraian323_4">'[32]3-DIV3'!$A$2128:$J$2306</definedName>
    <definedName name="_629____k_1">#REF!</definedName>
    <definedName name="_63">#REF!</definedName>
    <definedName name="_63_____bekisting_2">#REF!</definedName>
    <definedName name="_630____k_2">#REF!</definedName>
    <definedName name="_631____k_3">#N/A</definedName>
    <definedName name="_631URAIAN323L_1">#REF!</definedName>
    <definedName name="_632____k_4">#REF!</definedName>
    <definedName name="_632Uraian324_1">'[32]3-DIV3'!$A$1022:$J$1143</definedName>
    <definedName name="_633____K1P_1">#REF!</definedName>
    <definedName name="_633Uraian324_2">#REF!</definedName>
    <definedName name="_634____K1P_2">#REF!</definedName>
    <definedName name="_634Uraian324_3">#REF!</definedName>
    <definedName name="_635____K1P_3">#REF!</definedName>
    <definedName name="_635Uraian324_4">'[32]3-DIV3'!$A$2307:$J$2428</definedName>
    <definedName name="_636____K1P_4">#REF!</definedName>
    <definedName name="_636Uraian331_1">'[32]3-DIV3'!$A$1144:$J$1263</definedName>
    <definedName name="_637Uraian331_2">#REF!</definedName>
    <definedName name="_638____kb_1">#REF!</definedName>
    <definedName name="_638Uraian331_3">#REF!</definedName>
    <definedName name="_639Uraian331_4">'[32]3-DIV3'!$A$2429:$J$2548</definedName>
    <definedName name="_64">#REF!</definedName>
    <definedName name="_64_____bekisting_3">#REF!</definedName>
    <definedName name="_640____kb_2">#REF!</definedName>
    <definedName name="_640Uraian346_1">'[32]3-DIV3'!$A$1264:$J$1324</definedName>
    <definedName name="_641Uraian346_2">#REF!</definedName>
    <definedName name="_642____kb_3">#REF!</definedName>
    <definedName name="_642Uraian346_3">#REF!</definedName>
    <definedName name="_643Uraian346_4">'[32]3-DIV3'!$A$2549:$J$2609</definedName>
    <definedName name="_644____kb_4">#REF!</definedName>
    <definedName name="_644URAIAN421_1">#REF!</definedName>
    <definedName name="_645URAIAN421_2">#REF!</definedName>
    <definedName name="_646____KBC_1">#REF!</definedName>
    <definedName name="_646URAIAN421_3">'[34]3-DIV4'!$A$1:$J$179</definedName>
    <definedName name="_647URAIAN422_1">#REF!</definedName>
    <definedName name="_648____KBC_2">#REF!</definedName>
    <definedName name="_648URAIAN422_2">#REF!</definedName>
    <definedName name="_649URAIAN422_3">'[34]3-DIV4'!$A$180:$J$358</definedName>
    <definedName name="_64DIV11_5">'[37]Kuantitas &amp; Harga'!#REF!</definedName>
    <definedName name="_65">#REF!</definedName>
    <definedName name="_65_____bekisting_4">#REF!</definedName>
    <definedName name="_650____KBC_3">#REF!</definedName>
    <definedName name="_650URAIAN423_1">#REF!</definedName>
    <definedName name="_651URAIAN423_2">#REF!</definedName>
    <definedName name="_652____KBC_4">#REF!</definedName>
    <definedName name="_652URAIAN423_3">'[34]3-DIV4'!$A$479:$J$717</definedName>
    <definedName name="_653URAIAN424_1">#REF!</definedName>
    <definedName name="_654____KD_1">#REF!</definedName>
    <definedName name="_654URAIAN424_2">#REF!</definedName>
    <definedName name="_655URAIAN424_3">'[34]3-DIV4'!$A$359:$J$478</definedName>
    <definedName name="_656____KD_2">#REF!</definedName>
    <definedName name="_656URAIAN425_1">#REF!</definedName>
    <definedName name="_657URAIAN425_2">#REF!</definedName>
    <definedName name="_658____KD_3">#REF!</definedName>
    <definedName name="_658URAIAN425_3">'[34]3-DIV4'!$A$718:$J$896</definedName>
    <definedName name="_659URAIAN426_1">#REF!</definedName>
    <definedName name="_66">#REF!</definedName>
    <definedName name="_66_____bh_1">#REF!</definedName>
    <definedName name="_660____KD_4">#REF!</definedName>
    <definedName name="_660URAIAN426_2">#REF!</definedName>
    <definedName name="_661URAIAN426_3">'[34]3-DIV4'!$A$897:$J$1016</definedName>
    <definedName name="_662____KF_1">#REF!</definedName>
    <definedName name="_662URAIAN427_1">#REF!</definedName>
    <definedName name="_663URAIAN427_2">#REF!</definedName>
    <definedName name="_664____KF_2">#REF!</definedName>
    <definedName name="_664URAIAN427_3">'[34]3-DIV4'!$A$1017:$J$1136</definedName>
    <definedName name="_665URAIAN511_1">#REF!</definedName>
    <definedName name="_666____KF_3">#REF!</definedName>
    <definedName name="_666URAIAN511_2">#REF!</definedName>
    <definedName name="_667URAIAN511_3">'[35]3-DIV5'!$A$1:$J$179</definedName>
    <definedName name="_668____KF_4">#REF!</definedName>
    <definedName name="_668URAIAN512_1">#REF!</definedName>
    <definedName name="_669____KJ_1">#REF!</definedName>
    <definedName name="_669URAIAN512_2">#REF!</definedName>
    <definedName name="_67">#REF!</definedName>
    <definedName name="_67_____bh_2">#REF!</definedName>
    <definedName name="_670____KJ_2">#REF!</definedName>
    <definedName name="_670URAIAN512_3">'[35]3-DIV5'!$A$180:$J$358</definedName>
    <definedName name="_671____KJ_3">#REF!</definedName>
    <definedName name="_671URAIAN521_1">#REF!</definedName>
    <definedName name="_672____KJ_4">#REF!</definedName>
    <definedName name="_672URAIAN521_2">#REF!</definedName>
    <definedName name="_673URAIAN521_3">'[35]3-DIV5'!$A$359:$J$537</definedName>
    <definedName name="_674____KOEF_1">#REF!</definedName>
    <definedName name="_674URAIAN522_1">#REF!</definedName>
    <definedName name="_675URAIAN522_2">#REF!</definedName>
    <definedName name="_676____KOEF_2">#REF!</definedName>
    <definedName name="_676URAIAN522_3">'[35]3-DIV5'!$A$3075:$J$3253</definedName>
    <definedName name="_677URAIAN541_1">#REF!</definedName>
    <definedName name="_678____KOEF_3">#REF!</definedName>
    <definedName name="_678URAIAN541_2">#REF!</definedName>
    <definedName name="_679URAIAN541_3">'[35]3-DIV5'!$A$3254:$J$3373</definedName>
    <definedName name="_67DIV11_6">'[39]Kuantitas &amp; Harga'!#REF!</definedName>
    <definedName name="_68">#REF!</definedName>
    <definedName name="_68_____bh_3">#REF!</definedName>
    <definedName name="_680____KOEF_4">#REF!</definedName>
    <definedName name="_680URAIAN542_1">#REF!</definedName>
    <definedName name="_681____koef._1">'[25]harga bahan'!$G$1</definedName>
    <definedName name="_681URAIAN542_2">#REF!</definedName>
    <definedName name="_682____koef._2">'[25]harga bahan'!$G$1</definedName>
    <definedName name="_682URAIAN542_3">'[35]3-DIV5'!$A$3374:$J$3612</definedName>
    <definedName name="_683____koef._3">#N/A</definedName>
    <definedName name="_683URAIAN611_1">#REF!</definedName>
    <definedName name="_684____koef._4">#REF!</definedName>
    <definedName name="_684URAIAN611_2">#REF!</definedName>
    <definedName name="_685____KR_1">#REF!</definedName>
    <definedName name="_685URAIAN611_3">#REF!</definedName>
    <definedName name="_686____KR_2">#REF!</definedName>
    <definedName name="_686URAIAN612_1">#REF!</definedName>
    <definedName name="_687____KR_3">#REF!</definedName>
    <definedName name="_687URAIAN612_2">#REF!</definedName>
    <definedName name="_688____KR_4">#REF!</definedName>
    <definedName name="_688URAIAN612_3">#REF!</definedName>
    <definedName name="_689____KRKM_1">#REF!</definedName>
    <definedName name="_689URAIAN621_1">#REF!</definedName>
    <definedName name="_69">#REF!</definedName>
    <definedName name="_69_____bh_4">#REF!</definedName>
    <definedName name="_690____KRKM_2">#REF!</definedName>
    <definedName name="_690URAIAN621_2">#REF!</definedName>
    <definedName name="_691____KRKM_3">#REF!</definedName>
    <definedName name="_691URAIAN621_3">#REF!</definedName>
    <definedName name="_692____KRKM_4">#REF!</definedName>
    <definedName name="_692URAIAN622_1">#REF!</definedName>
    <definedName name="_693URAIAN622_2">#REF!</definedName>
    <definedName name="_694____kt_1">#REF!</definedName>
    <definedName name="_694URAIAN622_3">#REF!</definedName>
    <definedName name="_695URAIAN623_1">#REF!</definedName>
    <definedName name="_696____kt_2">#REF!</definedName>
    <definedName name="_696URAIAN623_2">#REF!</definedName>
    <definedName name="_697URAIAN623_3">#REF!</definedName>
    <definedName name="_698____kt_3">#REF!</definedName>
    <definedName name="_698URAIAN631_1">#REF!</definedName>
    <definedName name="_699URAIAN631_2">#REF!</definedName>
    <definedName name="_7">#REF!</definedName>
    <definedName name="_7.1__2">'[14]D7(1)'!#REF!</definedName>
    <definedName name="_7_1_2">#REF!</definedName>
    <definedName name="_7_1_5">#REF!</definedName>
    <definedName name="_7_1_5_a">#REF!</definedName>
    <definedName name="_7_1_8">#REF!</definedName>
    <definedName name="_7_10">#REF!</definedName>
    <definedName name="_7_13">#REF!</definedName>
    <definedName name="_7_3_1">#REF!</definedName>
    <definedName name="_7_3_2">#REF!</definedName>
    <definedName name="_7_6_4">#REF!</definedName>
    <definedName name="_7_6_5">#REF!</definedName>
    <definedName name="_70">#REF!</definedName>
    <definedName name="_700____kt_4">#REF!</definedName>
    <definedName name="_700URAIAN631_3">#REF!</definedName>
    <definedName name="_701URAIAN632_1">#REF!</definedName>
    <definedName name="_702____l_1">'[23]Harga Sat.'!#REF!</definedName>
    <definedName name="_702URAIAN632_2">#REF!</definedName>
    <definedName name="_703URAIAN632_3">#REF!</definedName>
    <definedName name="_704____l_2">'[23]Harga Sat.'!#REF!</definedName>
    <definedName name="_704URAIAN633_1">#REF!</definedName>
    <definedName name="_705URAIAN633_2">#REF!</definedName>
    <definedName name="_706____l_3">'[23]Harga Sat.'!#REF!</definedName>
    <definedName name="_706URAIAN633_3">#REF!</definedName>
    <definedName name="_707URAIAN634_1">#REF!</definedName>
    <definedName name="_708____l_4">'[23]Harga Sat.'!#REF!</definedName>
    <definedName name="_708URAIAN634_2">#REF!</definedName>
    <definedName name="_709____LO_1">#REF!</definedName>
    <definedName name="_709URAIAN634_3">#REF!</definedName>
    <definedName name="_70DIV11_7">'[36]Kuantitas &amp; Harga'!#REF!</definedName>
    <definedName name="_71_____BHN_1">#REF!</definedName>
    <definedName name="_710____LO_2">#REF!</definedName>
    <definedName name="_710URAIAN635_1">#REF!</definedName>
    <definedName name="_711____LO_3">#REF!</definedName>
    <definedName name="_711URAIAN635_2">#REF!</definedName>
    <definedName name="_712____LO_4">#REF!</definedName>
    <definedName name="_712URAIAN635_3">#REF!</definedName>
    <definedName name="_713____LOK_1">#REF!</definedName>
    <definedName name="_713URAIAN635A_1">#REF!</definedName>
    <definedName name="_714____LOK_2">#REF!</definedName>
    <definedName name="_714URAIAN635A_2">#REF!</definedName>
    <definedName name="_715____LOK_3">#REF!</definedName>
    <definedName name="_715URAIAN635A_3">#REF!</definedName>
    <definedName name="_716____LOK_4">#REF!</definedName>
    <definedName name="_716URAIAN636_1">#REF!</definedName>
    <definedName name="_717URAIAN636_2">#REF!</definedName>
    <definedName name="_718____m_1">'[26]harga bahan'!#REF!</definedName>
    <definedName name="_718URAIAN636_3">#REF!</definedName>
    <definedName name="_719URAIAN641L_1">#REF!</definedName>
    <definedName name="_71DIV11_8">#REF!</definedName>
    <definedName name="_720____m_2">'[26]harga bahan'!#REF!</definedName>
    <definedName name="_720URAIAN641L_2">#REF!</definedName>
    <definedName name="_721URAIAN642_1">#REF!</definedName>
    <definedName name="_722____m_3">'[26]harga bahan'!#REF!</definedName>
    <definedName name="_722URAIAN642_2">#REF!</definedName>
    <definedName name="_723URAIAN65_1">#REF!</definedName>
    <definedName name="_724____m_4">'[26]harga bahan'!#REF!</definedName>
    <definedName name="_724URAIAN65_2">#REF!</definedName>
    <definedName name="_725____minyaktanah_1">#REF!</definedName>
    <definedName name="_725URAIAN65_3">#REF!</definedName>
    <definedName name="_726____minyaktanah_2">#REF!</definedName>
    <definedName name="_726URAIAN66PERATA_1">#REF!</definedName>
    <definedName name="_727____minyaktanah_3">#REF!</definedName>
    <definedName name="_727URAIAN66PERATA_2">#REF!</definedName>
    <definedName name="_728____minyaktanah_4">#REF!</definedName>
    <definedName name="_728URAIAN66PERATA_3">#REF!</definedName>
    <definedName name="_729____mplek4_1">#REF!</definedName>
    <definedName name="_729URAIAN66PERMUKAAN_1">#REF!</definedName>
    <definedName name="_72DIV2_1">#REF!</definedName>
    <definedName name="_73_____BHN_2">#REF!</definedName>
    <definedName name="_730____mplek4_2">#REF!</definedName>
    <definedName name="_730URAIAN66PERMUKAAN_2">#REF!</definedName>
    <definedName name="_731____mplek4_3">#REF!</definedName>
    <definedName name="_731URAIAN66PERMUKAAN_3">#REF!</definedName>
    <definedName name="_732____mplek4_4">#REF!</definedName>
    <definedName name="_732URAIAN7101_1">#REF!</definedName>
    <definedName name="_733____O_1">#REF!</definedName>
    <definedName name="_733URAIAN7102_1">#REF!</definedName>
    <definedName name="_734____O_2">#REF!</definedName>
    <definedName name="_734URAIAN7103_1">#REF!</definedName>
    <definedName name="_735____O_3">#REF!</definedName>
    <definedName name="_736____O_4">#REF!</definedName>
    <definedName name="_737URAIAN712_1">#REF!</definedName>
    <definedName name="_738____ø10_1">'[27]Tabel Besi'!#REF!</definedName>
    <definedName name="_73DIV2_2">[14]BOQ!$G$37</definedName>
    <definedName name="_740____ø10_2">'[27]Tabel Besi'!#REF!</definedName>
    <definedName name="_740URAIAN713_1">#REF!</definedName>
    <definedName name="_742____ø10_3">'[28]Tabel Besi'!#REF!</definedName>
    <definedName name="_743URAIAN715_1">#REF!</definedName>
    <definedName name="_744____ø10_4">'[28]Tabel Besi'!#REF!</definedName>
    <definedName name="_746____ø12_1">'[27]Tabel Besi'!#REF!</definedName>
    <definedName name="_746URAIAN716_1">#REF!</definedName>
    <definedName name="_748____ø12_2">'[27]Tabel Besi'!#REF!</definedName>
    <definedName name="_749URAIAN717_1">#REF!</definedName>
    <definedName name="_74DIV3_1">#REF!</definedName>
    <definedName name="_75_____BHN_3">#REF!</definedName>
    <definedName name="_750____ø12_3">'[28]Tabel Besi'!#REF!</definedName>
    <definedName name="_750_KVA_X_64__">#REF!</definedName>
    <definedName name="_752____ø12_4">'[28]Tabel Besi'!#REF!</definedName>
    <definedName name="_752URAIAN718_1">#REF!</definedName>
    <definedName name="_754____ø6_1">'[27]Tabel Besi'!#REF!</definedName>
    <definedName name="_755URAIAN744_1">#REF!</definedName>
    <definedName name="_756____ø6_2">'[27]Tabel Besi'!#REF!</definedName>
    <definedName name="_758____ø6_3">'[28]Tabel Besi'!#REF!</definedName>
    <definedName name="_758URAIAN745_1">#REF!</definedName>
    <definedName name="_75DIV3_2">[14]BOQ!$G$60</definedName>
    <definedName name="_760____ø6_4">'[28]Tabel Besi'!#REF!</definedName>
    <definedName name="_761URAIAN7610_1">#REF!</definedName>
    <definedName name="_762____ø8_1">'[27]Tabel Besi'!#REF!</definedName>
    <definedName name="_764____ø8_2">'[27]Tabel Besi'!#REF!</definedName>
    <definedName name="_764URAIAN7612a_1">#REF!</definedName>
    <definedName name="_765URAIAN7612b_1">#REF!</definedName>
    <definedName name="_766____ø8_3">'[28]Tabel Besi'!#REF!</definedName>
    <definedName name="_766URAIAN7612c_1">#REF!</definedName>
    <definedName name="_768____ø8_4">'[28]Tabel Besi'!#REF!</definedName>
    <definedName name="_769URAIAN7613a_1">#REF!</definedName>
    <definedName name="_76DIV4_1">#REF!</definedName>
    <definedName name="_77_____BHN_4">#REF!</definedName>
    <definedName name="_770____p_1">'[26]harga bahan'!#REF!</definedName>
    <definedName name="_770URAIAN7613b_1">#REF!</definedName>
    <definedName name="_771URAIAN7613c_1">#REF!</definedName>
    <definedName name="_772____p_2">'[26]harga bahan'!#REF!</definedName>
    <definedName name="_774____p_3">'[26]harga bahan'!#REF!</definedName>
    <definedName name="_774URAIAN7614a_1">#REF!</definedName>
    <definedName name="_776____p_4">'[26]harga bahan'!#REF!</definedName>
    <definedName name="_777URAIAN7614b_1">#REF!</definedName>
    <definedName name="_778____P.REUTER_1">#REF!</definedName>
    <definedName name="_77DIV4_2">[14]BOQ!$G$73</definedName>
    <definedName name="_78_____catepoxy_1">#REF!</definedName>
    <definedName name="_780____P.REUTER_2">#REF!</definedName>
    <definedName name="_780URAIAN7614d_1">#REF!</definedName>
    <definedName name="_782____P.REUTER_3">#REF!</definedName>
    <definedName name="_783URAIAN7614e_1">#REF!</definedName>
    <definedName name="_784____P.REUTER_4">#REF!</definedName>
    <definedName name="_785____paku_1">#REF!</definedName>
    <definedName name="_786____paku_2">#REF!</definedName>
    <definedName name="_786URAIAN7618_1">#REF!</definedName>
    <definedName name="_787____paku_3">#N/A</definedName>
    <definedName name="_787URAIAN7619_1">#REF!</definedName>
    <definedName name="_788____paku_4">#REF!</definedName>
    <definedName name="_789____pas.cor_1">#REF!</definedName>
    <definedName name="_78DIV5_1">#REF!</definedName>
    <definedName name="_79_____catepoxy_2">#REF!</definedName>
    <definedName name="_790____pas.cor_2">#REF!</definedName>
    <definedName name="_790URAIAN768_1">#REF!</definedName>
    <definedName name="_791____pas.cor_3">#REF!</definedName>
    <definedName name="_792____pas.cor_4">#REF!</definedName>
    <definedName name="_793____pas.pasang_1">#REF!</definedName>
    <definedName name="_793URAIAN769_1">#REF!</definedName>
    <definedName name="_794____pas.pasang_2">#REF!</definedName>
    <definedName name="_795____pas.pasang_3">#REF!</definedName>
    <definedName name="_796____pas.pasang_4">#REF!</definedName>
    <definedName name="_796URAIAN76x_1">#REF!</definedName>
    <definedName name="_797____pas.urug_1">#REF!</definedName>
    <definedName name="_797URAIAN79manual_1">#REF!</definedName>
    <definedName name="_798____pas.urug_2">#REF!</definedName>
    <definedName name="_798URAIAN79mekanis_1">#REF!</definedName>
    <definedName name="_799____pas.urug_3">#REF!</definedName>
    <definedName name="_799URAIAN811_1">#REF!</definedName>
    <definedName name="_79DIV5_2">[14]BOQ!$G$86</definedName>
    <definedName name="_8">#REF!</definedName>
    <definedName name="_8_______A">'[22]I-KAMAR'!#REF!</definedName>
    <definedName name="_8_1_1_4">#REF!</definedName>
    <definedName name="_8_1_1_5">#REF!</definedName>
    <definedName name="_8_1_2_3">#REF!</definedName>
    <definedName name="_8_1_2_4">#REF!</definedName>
    <definedName name="_8_1_4_1">#REF!</definedName>
    <definedName name="_8_1_4_5">#REF!</definedName>
    <definedName name="_8_1_4_6_a">#REF!</definedName>
    <definedName name="_8_1_4_6_b">#REF!</definedName>
    <definedName name="_80_____catepoxy_3">#REF!</definedName>
    <definedName name="_800____pas.urug_4">#REF!</definedName>
    <definedName name="_8000">#REF!</definedName>
    <definedName name="_800URAIAN812_1">#REF!</definedName>
    <definedName name="_801____PEK_1">#REF!</definedName>
    <definedName name="_801URAIAN813_1">#REF!</definedName>
    <definedName name="_802____PEK_2">#REF!</definedName>
    <definedName name="_802URAIAN814_1">#REF!</definedName>
    <definedName name="_803____PEK_3">#REF!</definedName>
    <definedName name="_803URAIAN815_1">#REF!</definedName>
    <definedName name="_804____PEK_4">#REF!</definedName>
    <definedName name="_804URAIAN817_1">#REF!</definedName>
    <definedName name="_805____POMPA_1">#REF!</definedName>
    <definedName name="_805URAIAN818_1">#REF!</definedName>
    <definedName name="_806____POMPA_2">#REF!</definedName>
    <definedName name="_806URAIAN819_1">#REF!</definedName>
    <definedName name="_807____POMPA_3">#REF!</definedName>
    <definedName name="_807URAIAN82_1">#REF!</definedName>
    <definedName name="_808____POMPA_4">#REF!</definedName>
    <definedName name="_809____PR_1">#REF!</definedName>
    <definedName name="_80DIV6_1">#REF!</definedName>
    <definedName name="_81_____catepoxy_4">#REF!</definedName>
    <definedName name="_810____PR_2">#REF!</definedName>
    <definedName name="_810Uraian841_1">'[36]3-DIV8'!#REF!</definedName>
    <definedName name="_811____PR_3">#REF!</definedName>
    <definedName name="_811Uraian841_2">#REF!</definedName>
    <definedName name="_812____PR_4">#REF!</definedName>
    <definedName name="_814____PRINT_TITLES_MI_1">#REF!</definedName>
    <definedName name="_814Uraian8410_1">'[36]3-DIV8'!#REF!</definedName>
    <definedName name="_815Uraian8410_2">#REF!</definedName>
    <definedName name="_816____PRINT_TITLES_MI_2">#REF!</definedName>
    <definedName name="_818____PRINT_TITLES_MI_3">#REF!</definedName>
    <definedName name="_818Uraian842_1">'[36]3-DIV8'!#REF!</definedName>
    <definedName name="_819Uraian842_2">#REF!</definedName>
    <definedName name="_81DIV6_2">[14]BOQ!$G$124</definedName>
    <definedName name="_82_____CF_1">#REF!</definedName>
    <definedName name="_820____PRINT_TITLES_MI_4">#REF!</definedName>
    <definedName name="_821____PRO_1">#REF!</definedName>
    <definedName name="_822____PRO_2">#REF!</definedName>
    <definedName name="_822Uraian844_1">'[36]3-DIV8'!#REF!</definedName>
    <definedName name="_823____PRO_3">#REF!</definedName>
    <definedName name="_823Uraian844_2">#REF!</definedName>
    <definedName name="_824____PRO_4">#REF!</definedName>
    <definedName name="_825____q_1">#REF!</definedName>
    <definedName name="_826____q_2">#REF!</definedName>
    <definedName name="_826Uraian845_1">'[36]3-DIV8'!#REF!</definedName>
    <definedName name="_827____q_3">#REF!</definedName>
    <definedName name="_827Uraian845_2">#REF!</definedName>
    <definedName name="_828____q_4">#REF!</definedName>
    <definedName name="_829____REN_1">#REF!</definedName>
    <definedName name="_83_____CF_2">#REF!</definedName>
    <definedName name="_830____REN_2">#REF!</definedName>
    <definedName name="_830Uraian846_1">'[36]3-DIV8'!#REF!</definedName>
    <definedName name="_831____REN_3">#REF!</definedName>
    <definedName name="_831Uraian846_2">#REF!</definedName>
    <definedName name="_832____REN_4">#REF!</definedName>
    <definedName name="_833____RS_1">#REF!</definedName>
    <definedName name="_834____RS_2">#REF!</definedName>
    <definedName name="_834Uraian847_1">'[36]3-DIV8'!#REF!</definedName>
    <definedName name="_835____RS_3">#REF!</definedName>
    <definedName name="_835Uraian847_2">#REF!</definedName>
    <definedName name="_836____RS_4">#REF!</definedName>
    <definedName name="_836URAIANGEOTEKSTIL_1">#REF!</definedName>
    <definedName name="_837____s_1">'[30]harga bahan'!$K$118</definedName>
    <definedName name="_838____s_2">'[30]harga bahan'!$K$118</definedName>
    <definedName name="_839____s_3">#N/A</definedName>
    <definedName name="_839UTAIAN7614c_1">#REF!</definedName>
    <definedName name="_84_____CF_3">#REF!</definedName>
    <definedName name="_840____s_4">#REF!</definedName>
    <definedName name="_841____semen1_1">#REF!</definedName>
    <definedName name="_842____semen1_2">#REF!</definedName>
    <definedName name="_843____semen1_3">#REF!</definedName>
    <definedName name="_844____semen1_4">#REF!</definedName>
    <definedName name="_845____semen50_1">#REF!</definedName>
    <definedName name="_846____semen50_2">#REF!</definedName>
    <definedName name="_847____semen50_3">#REF!</definedName>
    <definedName name="_848____semen50_4">#REF!</definedName>
    <definedName name="_849____sirtu_1">#REF!</definedName>
    <definedName name="_84DIV7_1">#REF!</definedName>
    <definedName name="_85_____CF_4">#REF!</definedName>
    <definedName name="_850____sirtu_2">#REF!</definedName>
    <definedName name="_851____sirtu_3">#REF!</definedName>
    <definedName name="_852____sirtu_4">#REF!</definedName>
    <definedName name="_853____SP_1">#REF!</definedName>
    <definedName name="_854____SP_2">#REF!</definedName>
    <definedName name="_855____SP_3">#REF!</definedName>
    <definedName name="_856____SP_4">#REF!</definedName>
    <definedName name="_858____t_1">'[26]harga bahan'!#REF!</definedName>
    <definedName name="_85DIV7_2">[14]BOQ!$G$225</definedName>
    <definedName name="_860____t_2">'[26]harga bahan'!#REF!</definedName>
    <definedName name="_862____t_3">'[26]harga bahan'!#REF!</definedName>
    <definedName name="_864____t_4">'[26]harga bahan'!#REF!</definedName>
    <definedName name="_866____TA_1">#REF!</definedName>
    <definedName name="_868____TA_2">#REF!</definedName>
    <definedName name="_86DIV8_1">#REF!</definedName>
    <definedName name="_87_____Computer1_1">#REF!</definedName>
    <definedName name="_870____TA_3">#REF!</definedName>
    <definedName name="_872____TA_4">#REF!</definedName>
    <definedName name="_874____TAB_1">#REF!</definedName>
    <definedName name="_876____TAB_2">#REF!</definedName>
    <definedName name="_878____TAB_3">#REF!</definedName>
    <definedName name="_87DIV8_2">[14]BOQ!$G$275</definedName>
    <definedName name="_880____TAB_4">#REF!</definedName>
    <definedName name="_881____tplek3_1">#REF!</definedName>
    <definedName name="_882____tplek3_2">#REF!</definedName>
    <definedName name="_883____tplek3_3">#REF!</definedName>
    <definedName name="_884____tplek3_4">#REF!</definedName>
    <definedName name="_886____TS_1">#REF!</definedName>
    <definedName name="_888____TS_2">#REF!</definedName>
    <definedName name="_88DIV9_1">#REF!</definedName>
    <definedName name="_89_____Computer1_2">#REF!</definedName>
    <definedName name="_890____TS_3">#REF!</definedName>
    <definedName name="_892____TS_4">#REF!</definedName>
    <definedName name="_893____u_1">#REF!</definedName>
    <definedName name="_894____u_2">#REF!</definedName>
    <definedName name="_895____u_3">#REF!</definedName>
    <definedName name="_896____u_4">#REF!</definedName>
    <definedName name="_898____URINOIR_1">#REF!</definedName>
    <definedName name="_89DIV9_2">[14]BOQ!$G$301</definedName>
    <definedName name="_9">#REF!</definedName>
    <definedName name="_900____URINOIR_2">#REF!</definedName>
    <definedName name="_902____URINOIR_3">#REF!</definedName>
    <definedName name="_904____URINOIR_4">#REF!</definedName>
    <definedName name="_905____WASTAFEL_1">#REF!</definedName>
    <definedName name="_906____WASTAFEL_2">#REF!</definedName>
    <definedName name="_907____WASTAFEL_3">#REF!</definedName>
    <definedName name="_908____WASTAFEL_4">#REF!</definedName>
    <definedName name="_909____WST_1">#REF!</definedName>
    <definedName name="_90DRAINASE_1">#REF!</definedName>
    <definedName name="_91_____Computer1_3">#REF!</definedName>
    <definedName name="_910____WST_2">#REF!</definedName>
    <definedName name="_911____WST_3">#REF!</definedName>
    <definedName name="_912____WST_4">#REF!</definedName>
    <definedName name="_913___A_1">'[31]bhn FINAL'!$H$3</definedName>
    <definedName name="_914___aspal_1">#REF!</definedName>
    <definedName name="_915___aspal_2">#REF!</definedName>
    <definedName name="_916___aspal_3">#REF!</definedName>
    <definedName name="_917___aspal_4">#REF!</definedName>
    <definedName name="_918___AVOR_1">#REF!</definedName>
    <definedName name="_919___AVOR_2">#REF!</definedName>
    <definedName name="_91EEE05_1">'[14]5-ALAT(1)'!$AW$12</definedName>
    <definedName name="_920___AVOR_3">#REF!</definedName>
    <definedName name="_921___AVOR_4">#REF!</definedName>
    <definedName name="_923___b_1">#REF!</definedName>
    <definedName name="_925___b_2">#REF!</definedName>
    <definedName name="_927___b_3">#REF!</definedName>
    <definedName name="_929___b_4">#REF!</definedName>
    <definedName name="_92EEE08_1">'[14]5-ALAT(1)'!$AW$15</definedName>
    <definedName name="_93_____Computer1_4">#REF!</definedName>
    <definedName name="_930___bajaC_1">#REF!</definedName>
    <definedName name="_931___bajaC_2">#REF!</definedName>
    <definedName name="_932___bajaC_3">#REF!</definedName>
    <definedName name="_933___bajaC_4">#REF!</definedName>
    <definedName name="_934___BATA_1">#REF!</definedName>
    <definedName name="_935___BATA_2">#REF!</definedName>
    <definedName name="_936___BATA_3">#REF!</definedName>
    <definedName name="_937___BATA_4">#REF!</definedName>
    <definedName name="_938___batukali_1">#REF!</definedName>
    <definedName name="_939___batukali_2">#REF!</definedName>
    <definedName name="_94_____EJ_1">#REF!</definedName>
    <definedName name="_940___batukali_3">#REF!</definedName>
    <definedName name="_941___batukali_4">#REF!</definedName>
    <definedName name="_942___baut10_1">#REF!</definedName>
    <definedName name="_943___baut10_2">#REF!</definedName>
    <definedName name="_944___baut10_3">#REF!</definedName>
    <definedName name="_945___baut10_4">#REF!</definedName>
    <definedName name="_946___baut12_1">#REF!</definedName>
    <definedName name="_947___baut12_2">#REF!</definedName>
    <definedName name="_948___baut12_3">#REF!</definedName>
    <definedName name="_949___baut12_4">#REF!</definedName>
    <definedName name="_95_____EJ_2">#REF!</definedName>
    <definedName name="_950___baut16_1">#REF!</definedName>
    <definedName name="_951___baut16_2">#REF!</definedName>
    <definedName name="_952___baut16_3">#REF!</definedName>
    <definedName name="_953___baut16_4">#REF!</definedName>
    <definedName name="_954___BBM_1">#REF!</definedName>
    <definedName name="_955___BBM_2">#REF!</definedName>
    <definedName name="_956___BBM_3">#REF!</definedName>
    <definedName name="_957___BBM_4">#REF!</definedName>
    <definedName name="_958___bekisting_1">#REF!</definedName>
    <definedName name="_959___bekisting_2">#REF!</definedName>
    <definedName name="_95Excel_BuiltIn_Print_Area_16">[14]DISCLAIMER!#REF!</definedName>
    <definedName name="_96_____EJ_3">#REF!</definedName>
    <definedName name="_960___bekisting_3">#REF!</definedName>
    <definedName name="_961___bekisting_4">#REF!</definedName>
    <definedName name="_962___bh_1">#REF!</definedName>
    <definedName name="_963___bh_2">#REF!</definedName>
    <definedName name="_964___bh_3">#REF!</definedName>
    <definedName name="_965___bh_4">#REF!</definedName>
    <definedName name="_967___BHN_1">#REF!</definedName>
    <definedName name="_969___BHN_2">#REF!</definedName>
    <definedName name="_96FORM21_1">#REF!</definedName>
    <definedName name="_97_____EJ_4">#REF!</definedName>
    <definedName name="_971___BHN_3">#REF!</definedName>
    <definedName name="_973___BHN_4">#REF!</definedName>
    <definedName name="_974___catepoxy_1">#REF!</definedName>
    <definedName name="_975___catepoxy_2">#REF!</definedName>
    <definedName name="_976___catepoxy_3">#REF!</definedName>
    <definedName name="_977___catepoxy_4">#REF!</definedName>
    <definedName name="_978___CF_1">#REF!</definedName>
    <definedName name="_979___CF_2">#REF!</definedName>
    <definedName name="_97FORM21_2">#REF!</definedName>
    <definedName name="_98_____EP_1">#REF!</definedName>
    <definedName name="_980___CF_3">#REF!</definedName>
    <definedName name="_981___CF_4">#REF!</definedName>
    <definedName name="_983___Computer1_1">#REF!</definedName>
    <definedName name="_985___Computer1_2">#REF!</definedName>
    <definedName name="_987___Computer1_3">#REF!</definedName>
    <definedName name="_989___Computer1_4">#REF!</definedName>
    <definedName name="_98FORM21_3">'[24]3-DIV2'!$L$1:$V$61</definedName>
    <definedName name="_99_____EP_2">#REF!</definedName>
    <definedName name="_990___EJ_1">#REF!</definedName>
    <definedName name="_991___EJ_2">#REF!</definedName>
    <definedName name="_992___EJ_3">#REF!</definedName>
    <definedName name="_993___EJ_4">#REF!</definedName>
    <definedName name="_994___EP_1">#REF!</definedName>
    <definedName name="_995___EP_2">#REF!</definedName>
    <definedName name="_996___EP_3">#REF!</definedName>
    <definedName name="_997___EP_4">#REF!</definedName>
    <definedName name="_998___Excel_BuiltIn_Print_Area_9">#REF!</definedName>
    <definedName name="_99FORM22E_1">'[24]3-DIV2'!$L$241:$V$301</definedName>
    <definedName name="_a">#REF!</definedName>
    <definedName name="_A1">#REF!</definedName>
    <definedName name="_A2">#REF!</definedName>
    <definedName name="_A3">#REF!</definedName>
    <definedName name="_A4">#REF!</definedName>
    <definedName name="_AA1">#REF!</definedName>
    <definedName name="_AAD3">HAJIME:OWARI</definedName>
    <definedName name="_abs100">#REF!</definedName>
    <definedName name="_ADD1">STOP2:STOP2E</definedName>
    <definedName name="_ADD2">STOP:STOPE</definedName>
    <definedName name="_ADD3">STOP:STOPE</definedName>
    <definedName name="_ahu100">#REF!</definedName>
    <definedName name="_ahu150">#REF!</definedName>
    <definedName name="_ako100">#REF!</definedName>
    <definedName name="_ako150">#REF!</definedName>
    <definedName name="_ako50">#REF!</definedName>
    <definedName name="_ako80">#REF!</definedName>
    <definedName name="_aku100">#REF!</definedName>
    <definedName name="_aku150">#REF!</definedName>
    <definedName name="_arr3">{"Book1","4.09 FLORA DAN FAUNA.xls","4.22 PERLENGKAPAN SEKOLAH.xls"}</definedName>
    <definedName name="_ATB1">#REF!</definedName>
    <definedName name="_ATB2">#REF!</definedName>
    <definedName name="_ATB3">#REF!</definedName>
    <definedName name="_ATB4">#REF!</definedName>
    <definedName name="_b">#REF!</definedName>
    <definedName name="_B1">#REF!</definedName>
    <definedName name="_B2">#REF!</definedName>
    <definedName name="_B3">#REF!</definedName>
    <definedName name="_B4">#REF!</definedName>
    <definedName name="_B5">#REF!</definedName>
    <definedName name="_B6">#REF!</definedName>
    <definedName name="_B7">#REF!</definedName>
    <definedName name="_bcv100">#REF!</definedName>
    <definedName name="_bcv125">#REF!</definedName>
    <definedName name="_bcv150">#REF!</definedName>
    <definedName name="_bet350">#REF!</definedName>
    <definedName name="_BOX2">#REF!</definedName>
    <definedName name="_BRA2">'[18]ANALISA SNI''13 '!$I$461</definedName>
    <definedName name="_bsc100">#REF!</definedName>
    <definedName name="_btp12">'[40]DAFTAR UPAH DAN BAHAN'!$F$21</definedName>
    <definedName name="_c">#REF!</definedName>
    <definedName name="_C1">#REF!</definedName>
    <definedName name="_C2">#REF!</definedName>
    <definedName name="_C3">#REF!</definedName>
    <definedName name="_C4">#REF!</definedName>
    <definedName name="_C5">#REF!</definedName>
    <definedName name="_C6">#REF!</definedName>
    <definedName name="_C94739">[4]ANALISA!#REF!</definedName>
    <definedName name="_CAL1">#REF!</definedName>
    <definedName name="_CAL10">#REF!</definedName>
    <definedName name="_CAL11">#REF!</definedName>
    <definedName name="_CAL12">#REF!</definedName>
    <definedName name="_CAL13">#REF!</definedName>
    <definedName name="_CAL14">#REF!</definedName>
    <definedName name="_CAL15">#REF!</definedName>
    <definedName name="_CAL16">#REF!</definedName>
    <definedName name="_CAL17">#REF!</definedName>
    <definedName name="_CAL18">#REF!</definedName>
    <definedName name="_CAL19">#REF!</definedName>
    <definedName name="_CAL2">#REF!</definedName>
    <definedName name="_CAL20">#REF!</definedName>
    <definedName name="_CAL21">#REF!</definedName>
    <definedName name="_CAL3">#REF!</definedName>
    <definedName name="_CAL4">#REF!</definedName>
    <definedName name="_CAL5">#REF!</definedName>
    <definedName name="_CAL6">#REF!</definedName>
    <definedName name="_CAL7">#REF!</definedName>
    <definedName name="_CAL8">#REF!</definedName>
    <definedName name="_CAL9">#REF!</definedName>
    <definedName name="_cas80">#REF!</definedName>
    <definedName name="_cco13">#REF!</definedName>
    <definedName name="_CH1..H1___C__R">#REF!</definedName>
    <definedName name="_CH11..H11___C_">#REF!</definedName>
    <definedName name="_CH13..H13___C_">#REF!</definedName>
    <definedName name="_CH15..H15___C_">#REF!</definedName>
    <definedName name="_CH17..H17___C_">#REF!</definedName>
    <definedName name="_CH19..H19___C_">#REF!</definedName>
    <definedName name="_CH21..H21___C_">#REF!</definedName>
    <definedName name="_CH23..H23___C_">#REF!</definedName>
    <definedName name="_CH25..H25___C_">#REF!</definedName>
    <definedName name="_CH27..H27___C_">#REF!</definedName>
    <definedName name="_CH29..H29___C_">#REF!</definedName>
    <definedName name="_CH3..H3___C__R">#REF!</definedName>
    <definedName name="_CH31..H31___C_">#REF!</definedName>
    <definedName name="_CH33..H33___C_">#REF!</definedName>
    <definedName name="_CH35..H35___C_">#REF!</definedName>
    <definedName name="_CH37..H37___C_">#REF!</definedName>
    <definedName name="_CH39..H39___C_">#REF!</definedName>
    <definedName name="_CH41..H41___C_">#REF!</definedName>
    <definedName name="_CH43..H43___C_">#REF!</definedName>
    <definedName name="_CH45..H45___C_">#REF!</definedName>
    <definedName name="_CH5..H5___C__R">#REF!</definedName>
    <definedName name="_CH7..H7___C__R">#REF!</definedName>
    <definedName name="_CH9..H9___C__R">#REF!</definedName>
    <definedName name="_cod50">[17]SAP!#REF!</definedName>
    <definedName name="_cvd100">#REF!</definedName>
    <definedName name="_cvd15">#REF!</definedName>
    <definedName name="_cvd150">#REF!</definedName>
    <definedName name="_cvd50">#REF!</definedName>
    <definedName name="_cvd65">#REF!</definedName>
    <definedName name="_d">#REF!</definedName>
    <definedName name="_D1">#REF!</definedName>
    <definedName name="_D2">#REF!</definedName>
    <definedName name="_D3">#REF!</definedName>
    <definedName name="_D4">#REF!</definedName>
    <definedName name="_D5">#REF!</definedName>
    <definedName name="_daf1">#REF!</definedName>
    <definedName name="_DAF10">#REF!</definedName>
    <definedName name="_daf2">#REF!</definedName>
    <definedName name="_daf31">#REF!</definedName>
    <definedName name="_daf32">#REF!</definedName>
    <definedName name="_daf33">#REF!</definedName>
    <definedName name="_der4">{"Book1","4.09 FLORA DAN FAUNA.xls","4.22 PERLENGKAPAN SEKOLAH.xls"}</definedName>
    <definedName name="_dia13">'[41]tb. besi'!$H$15</definedName>
    <definedName name="_dia16">'[41]tb. besi'!$H$16</definedName>
    <definedName name="_dia19">[42]tulang!$H$17</definedName>
    <definedName name="_dia6">#REF!</definedName>
    <definedName name="_Dist_Bin" hidden="1">[43]H.Satuan!#REF!</definedName>
    <definedName name="_Dist_Values" hidden="1">#REF!</definedName>
    <definedName name="_DIV1">'[14]%'!#REF!</definedName>
    <definedName name="_DIV10">'[14]%'!#REF!</definedName>
    <definedName name="_DIV11">'[14]%'!#REF!</definedName>
    <definedName name="_DIV2">'[14]%'!#REF!</definedName>
    <definedName name="_DIV3">'[14]%'!#REF!</definedName>
    <definedName name="_DIV4">'[14]%'!#REF!</definedName>
    <definedName name="_DIV5">'[14]%'!#REF!</definedName>
    <definedName name="_DIV6">'[14]%'!#REF!</definedName>
    <definedName name="_DIV7">'[14]%'!#REF!</definedName>
    <definedName name="_DIV8">'[14]%'!#REF!</definedName>
    <definedName name="_DIV9">'[14]%'!#REF!</definedName>
    <definedName name="_doc5">{"Book1","4.09 FLORA DAN FAUNA.xls","4.22 PERLENGKAPAN SEKOLAH.xls"}</definedName>
    <definedName name="_e">#REF!</definedName>
    <definedName name="_E1">#REF!</definedName>
    <definedName name="_E2">#REF!</definedName>
    <definedName name="_E3">#REF!</definedName>
    <definedName name="_E4">#REF!</definedName>
    <definedName name="_E5">#REF!</definedName>
    <definedName name="_E6">#REF!</definedName>
    <definedName name="_E7">#REF!</definedName>
    <definedName name="_EEE02">'[14]5-ALAT(1)'!$AW$9</definedName>
    <definedName name="_EEE05">'[36]5-Peralatan'!$AW$12</definedName>
    <definedName name="_EEE06">'[14]5-ALAT(1)'!$AW$13</definedName>
    <definedName name="_EEE07">'[14]5-ALAT(1)'!$AW$14</definedName>
    <definedName name="_EEE08">'[36]5-Peralatan'!$AW$15</definedName>
    <definedName name="_EEE09">'[14]5-ALAT(1)'!$AW$16</definedName>
    <definedName name="_EEE10">'[14]5-ALAT(1)'!$AW$17</definedName>
    <definedName name="_EEE11">'[14]5-ALAT(1)'!$AW$18</definedName>
    <definedName name="_EEE13">'[14]5-ALAT(1)'!$AW$20</definedName>
    <definedName name="_EEE15">'[14]5-ALAT(1)'!$AW$22</definedName>
    <definedName name="_EEE16">'[14]5-ALAT(1)'!$AW$23</definedName>
    <definedName name="_EEE17">'[14]5-ALAT(1)'!$AW$24</definedName>
    <definedName name="_EEE23">'[14]5-ALAT(1)'!$AW$30</definedName>
    <definedName name="_EEE27">'[14]5-ALAT(1)'!$AW$34</definedName>
    <definedName name="_EEE29">'[14]5-ALAT(1)'!$AW$36</definedName>
    <definedName name="_EEE31">'[14]5-ALAT(1)'!$AW$38</definedName>
    <definedName name="_EQU1">#REF!</definedName>
    <definedName name="_EQU2">#REF!</definedName>
    <definedName name="_f">#REF!</definedName>
    <definedName name="_F1">#REF!</definedName>
    <definedName name="_F10">#REF!</definedName>
    <definedName name="_F11">#REF!</definedName>
    <definedName name="_F12">#REF!</definedName>
    <definedName name="_F13">#REF!</definedName>
    <definedName name="_F2">#REF!</definedName>
    <definedName name="_F3">#REF!</definedName>
    <definedName name="_F4">#REF!</definedName>
    <definedName name="_F5">#REF!</definedName>
    <definedName name="_F6">#REF!</definedName>
    <definedName name="_F7">#REF!</definedName>
    <definedName name="_F8">#REF!</definedName>
    <definedName name="_F9">#REF!</definedName>
    <definedName name="_fdd100">[17]SAP!#REF!</definedName>
    <definedName name="_Fill" hidden="1">#REF!</definedName>
    <definedName name="_xlnm._FilterDatabase" hidden="1">'[44]HRG BAHAN &amp; UPAH BLOK A'!#REF!</definedName>
    <definedName name="_fjd100">#REF!</definedName>
    <definedName name="_fjd150">#REF!</definedName>
    <definedName name="_fjd50">#REF!</definedName>
    <definedName name="_fjd65">#REF!</definedName>
    <definedName name="_fmd150">#REF!</definedName>
    <definedName name="_fvd100">[17]SAP!#REF!</definedName>
    <definedName name="_g">#REF!</definedName>
    <definedName name="_GIP2">[45]HARSAT!#REF!</definedName>
    <definedName name="_GIP3">#REF!</definedName>
    <definedName name="_gip4">[45]HARSAT!#REF!</definedName>
    <definedName name="_gk2" hidden="1">#REF!</definedName>
    <definedName name="_gol1">'[46]dayvol WEDI'!$N$4467</definedName>
    <definedName name="_grc1">#REF!</definedName>
    <definedName name="_gti50">#REF!</definedName>
    <definedName name="_gti60">#REF!</definedName>
    <definedName name="_gvd100">#REF!</definedName>
    <definedName name="_gvd15">#REF!</definedName>
    <definedName name="_gvd150">#REF!</definedName>
    <definedName name="_gvd20">[17]SAP!#REF!</definedName>
    <definedName name="_gvd25">#REF!</definedName>
    <definedName name="_gvd32">[17]SAP!#REF!</definedName>
    <definedName name="_gvd40">[17]SAP!#REF!</definedName>
    <definedName name="_gvd50">#REF!</definedName>
    <definedName name="_gvd65">#REF!</definedName>
    <definedName name="_gvd80">[17]SAP!#REF!</definedName>
    <definedName name="_H">#REF!</definedName>
    <definedName name="_HAL1">#REF!</definedName>
    <definedName name="_HAL2">#REF!</definedName>
    <definedName name="_HAL3">#REF!</definedName>
    <definedName name="_HAL4">#REF!</definedName>
    <definedName name="_HAL5">#REF!</definedName>
    <definedName name="_HAL6">#REF!</definedName>
    <definedName name="_HAL7">#REF!</definedName>
    <definedName name="_HAL8">#REF!</definedName>
    <definedName name="_hdw1">#REF!</definedName>
    <definedName name="_I">#REF!</definedName>
    <definedName name="_j">#REF!</definedName>
    <definedName name="_J2">#REF!</definedName>
    <definedName name="_j3">#REF!</definedName>
    <definedName name="_j4">#REF!</definedName>
    <definedName name="_J632569">#REF!</definedName>
    <definedName name="_k">#REF!</definedName>
    <definedName name="_K1">#REF!</definedName>
    <definedName name="_K2">#REF!</definedName>
    <definedName name="_K3">#REF!</definedName>
    <definedName name="_K4">#REF!</definedName>
    <definedName name="_kcb5">[40]ANALISA!#REF!</definedName>
    <definedName name="_kcb6">[40]ANALISA!#REF!</definedName>
    <definedName name="_ker1020">#REF!</definedName>
    <definedName name="_ker2020">#REF!</definedName>
    <definedName name="_ker2025">#REF!</definedName>
    <definedName name="_ker3030">#REF!</definedName>
    <definedName name="_ker40">'[5]HB '!#REF!</definedName>
    <definedName name="_KEY001" hidden="1">[12]LOADDAT!#REF!</definedName>
    <definedName name="_KEY002" hidden="1">[12]LOADDAT!#REF!</definedName>
    <definedName name="_KEY01" hidden="1">[12]LOADDAT!#REF!</definedName>
    <definedName name="_KEY02" hidden="1">[12]LOADDAT!#REF!</definedName>
    <definedName name="_Key1" hidden="1">#REF!</definedName>
    <definedName name="_Key2" hidden="1">#REF!</definedName>
    <definedName name="_ko2">#REF!</definedName>
    <definedName name="_kof1">[47]Analisa!$AB$17</definedName>
    <definedName name="_kr15">[17]SAP!#REF!</definedName>
    <definedName name="_krm2020">[48]harga!$F$119</definedName>
    <definedName name="_krm2025">[48]harga!$F$120</definedName>
    <definedName name="_krm3030">[48]harga!$F$118</definedName>
    <definedName name="_krm4040">[48]harga!$F$117</definedName>
    <definedName name="_LLL01">'[37]4-Basic Price'!$F$8</definedName>
    <definedName name="_LLL02">'[37]4-Basic Price'!$F$10</definedName>
    <definedName name="_LLL03">'[37]4-Basic Price'!$F$12</definedName>
    <definedName name="_LLL04">#REF!</definedName>
    <definedName name="_LLL05">#REF!</definedName>
    <definedName name="_LLL06">#REF!</definedName>
    <definedName name="_LLL07">#REF!</definedName>
    <definedName name="_LLL08">#REF!</definedName>
    <definedName name="_LLL09">#REF!</definedName>
    <definedName name="_LLL10">#REF!</definedName>
    <definedName name="_LLL11">#REF!</definedName>
    <definedName name="_mas1">{"Book1","4.09 FLORA DAN FAUNA.xls","4.22 PERLENGKAPAN SEKOLAH.xls"}</definedName>
    <definedName name="_mas12">{"Book1","4.09 FLORA DAN FAUNA.xls","4.22 PERLENGKAPAN SEKOLAH.xls"}</definedName>
    <definedName name="_mas2">{"Book1","4.09 FLORA DAN FAUNA.xls","4.22 PERLENGKAPAN SEKOLAH.xls"}</definedName>
    <definedName name="_mas4">{"Book1","4.09 FLORA DAN FAUNA.xls","4.22 PERLENGKAPAN SEKOLAH.xls"}</definedName>
    <definedName name="_mas5">{"Book1","4.09 FLORA DAN FAUNA.xls","4.22 PERLENGKAPAN SEKOLAH.xls"}</definedName>
    <definedName name="_mas6">{"Book1","4.09 FLORA DAN FAUNA.xls","4.22 PERLENGKAPAN SEKOLAH.xls"}</definedName>
    <definedName name="_mas7">{"Book1","4.09 FLORA DAN FAUNA.xls","4.22 PERLENGKAPAN SEKOLAH.xls"}</definedName>
    <definedName name="_mas8">{"Book1","4.09 FLORA DAN FAUNA.xls","4.22 PERLENGKAPAN SEKOLAH.xls"}</definedName>
    <definedName name="_mas9">{"Book1","4.09 FLORA DAN FAUNA.xls","4.22 PERLENGKAPAN SEKOLAH.xls"}</definedName>
    <definedName name="_MDE01">[8]alat!$BP$27</definedName>
    <definedName name="_MDE02">[8]alat!$BP$47</definedName>
    <definedName name="_MDE03">[8]alat!$BP$67</definedName>
    <definedName name="_MDE04">[49]PERALATAN!$BO$87</definedName>
    <definedName name="_MDE05">[49]PERALATAN!$BO$107</definedName>
    <definedName name="_MDE06">[49]PERALATAN!$BO$127</definedName>
    <definedName name="_MDE07">[49]PERALATAN!$BO$147</definedName>
    <definedName name="_MDE08">[49]PERALATAN!$BO$167</definedName>
    <definedName name="_MDE09">[49]PERALATAN!$BO$187</definedName>
    <definedName name="_MDE10">[49]PERALATAN!$BO$207</definedName>
    <definedName name="_MDE11">[49]PERALATAN!$BO$227</definedName>
    <definedName name="_MDE12">[49]PERALATAN!$BO$247</definedName>
    <definedName name="_MDE13">[49]PERALATAN!$BO$267</definedName>
    <definedName name="_MDE14">[49]PERALATAN!$BO$287</definedName>
    <definedName name="_MDE15">[49]PERALATAN!$BO$307</definedName>
    <definedName name="_MDE16">[49]PERALATAN!$BO$327</definedName>
    <definedName name="_MDE17">[49]PERALATAN!$BO$347</definedName>
    <definedName name="_MDE18">[49]PERALATAN!$BO$367</definedName>
    <definedName name="_MDE19">[49]PERALATAN!$BO$387</definedName>
    <definedName name="_MDE20">[49]PERALATAN!$BO$407</definedName>
    <definedName name="_MDE21">[49]PERALATAN!$BO$427</definedName>
    <definedName name="_MDE22">[8]alat!$BP$447</definedName>
    <definedName name="_MDE23">[49]PERALATAN!$BO$467</definedName>
    <definedName name="_MDE24">[49]PERALATAN!$BO$487</definedName>
    <definedName name="_MDE25">[49]PERALATAN!$BO$507</definedName>
    <definedName name="_MDE26">[49]PERALATAN!$BO$527</definedName>
    <definedName name="_MDE27">[49]PERALATAN!$BO$547</definedName>
    <definedName name="_MDE28">[49]PERALATAN!$BO$567</definedName>
    <definedName name="_MDE29">[49]PERALATAN!$BO$587</definedName>
    <definedName name="_MDE30">[49]PERALATAN!$BO$607</definedName>
    <definedName name="_MDE31">[49]PERALATAN!$BO$627</definedName>
    <definedName name="_MDE32">[49]PERALATAN!$BO$647</definedName>
    <definedName name="_MDE33">[49]PERALATAN!$BO$667</definedName>
    <definedName name="_MDE34">[49]PERALATAN!$BO$698</definedName>
    <definedName name="_ME01">[49]PERALATAN!$BO$26</definedName>
    <definedName name="_ME02">[49]PERALATAN!$BO$46</definedName>
    <definedName name="_ME03">[49]PERALATAN!$BO$66</definedName>
    <definedName name="_ME04">[49]PERALATAN!$BO$86</definedName>
    <definedName name="_ME05">[49]PERALATAN!$BO$106</definedName>
    <definedName name="_ME06">[49]PERALATAN!$BO$126</definedName>
    <definedName name="_ME07">[49]PERALATAN!$BO$146</definedName>
    <definedName name="_ME08">[49]PERALATAN!$BO$166</definedName>
    <definedName name="_ME09">[49]PERALATAN!$BO$186</definedName>
    <definedName name="_me1">{"Book1","4.09 FLORA DAN FAUNA.xls","4.22 PERLENGKAPAN SEKOLAH.xls"}</definedName>
    <definedName name="_ME10">[49]PERALATAN!$BO$206</definedName>
    <definedName name="_ME11">[49]PERALATAN!$BO$226</definedName>
    <definedName name="_ME12">[49]PERALATAN!$BO$246</definedName>
    <definedName name="_ME13">[49]PERALATAN!$BO$266</definedName>
    <definedName name="_ME14">[49]PERALATAN!$BO$286</definedName>
    <definedName name="_ME15">[49]PERALATAN!$BO$306</definedName>
    <definedName name="_ME16">[49]PERALATAN!$BO$326</definedName>
    <definedName name="_ME17">[49]PERALATAN!$BO$346</definedName>
    <definedName name="_ME18">[49]PERALATAN!$BO$366</definedName>
    <definedName name="_ME19">[49]PERALATAN!$BO$386</definedName>
    <definedName name="_me2">{"Book1","4.09 FLORA DAN FAUNA.xls","4.22 PERLENGKAPAN SEKOLAH.xls"}</definedName>
    <definedName name="_ME20">[49]PERALATAN!$BO$406</definedName>
    <definedName name="_ME21">[49]PERALATAN!$BO$426</definedName>
    <definedName name="_ME22">[49]PERALATAN!$BO$446</definedName>
    <definedName name="_ME23">[49]PERALATAN!$BO$466</definedName>
    <definedName name="_ME24">[49]PERALATAN!$BO$486</definedName>
    <definedName name="_ME25">[49]PERALATAN!$BO$506</definedName>
    <definedName name="_ME26">[49]PERALATAN!$BO$526</definedName>
    <definedName name="_ME27">[49]PERALATAN!$BO$546</definedName>
    <definedName name="_ME28">[49]PERALATAN!$BO$566</definedName>
    <definedName name="_ME29">[49]PERALATAN!$BO$586</definedName>
    <definedName name="_me3">{"Book1","4.09 FLORA DAN FAUNA.xls","4.22 PERLENGKAPAN SEKOLAH.xls"}</definedName>
    <definedName name="_ME30">[49]PERALATAN!$BO$606</definedName>
    <definedName name="_ME31">[49]PERALATAN!$BO$626</definedName>
    <definedName name="_ME32">[49]PERALATAN!$BO$646</definedName>
    <definedName name="_ME33">[49]PERALATAN!$BO$666</definedName>
    <definedName name="_ME34">[49]PERALATAN!$BO$697</definedName>
    <definedName name="_me4">{"Book1","4.09 FLORA DAN FAUNA.xls","4.22 PERLENGKAPAN SEKOLAH.xls"}</definedName>
    <definedName name="_me5">{"Book1","4.09 FLORA DAN FAUNA.xls","4.22 PERLENGKAPAN SEKOLAH.xls"}</definedName>
    <definedName name="_me9">{"Book1","4.09 FLORA DAN FAUNA.xls","4.22 PERLENGKAPAN SEKOLAH.xls"}</definedName>
    <definedName name="_mek1">{"Book1","4.09 FLORA DAN FAUNA.xls","4.22 PERLENGKAPAN SEKOLAH.xls"}</definedName>
    <definedName name="_mek2">{"Book1","4.09 FLORA DAN FAUNA.xls","4.22 PERLENGKAPAN SEKOLAH.xls"}</definedName>
    <definedName name="_mek3">{"Book1","4.09 FLORA DAN FAUNA.xls","4.22 PERLENGKAPAN SEKOLAH.xls"}</definedName>
    <definedName name="_mek5">{"Book1","4.09 FLORA DAN FAUNA.xls","4.22 PERLENGKAPAN SEKOLAH.xls"}</definedName>
    <definedName name="_mek87">{"Book1","4.09 FLORA DAN FAUNA.xls","4.22 PERLENGKAPAN SEKOLAH.xls"}</definedName>
    <definedName name="_mek9">{"Book1","4.09 FLORA DAN FAUNA.xls","4.22 PERLENGKAPAN SEKOLAH.xls"}</definedName>
    <definedName name="_meq12">{"Book1","4.09 FLORA DAN FAUNA.xls","4.22 PERLENGKAPAN SEKOLAH.xls"}</definedName>
    <definedName name="_mg8">#REF!</definedName>
    <definedName name="_mix300">[48]harga!$F$47</definedName>
    <definedName name="_MMM01">#REF!</definedName>
    <definedName name="_MMM02">#REF!</definedName>
    <definedName name="_MMM03">'[14]4-Basic Price'!$F$53</definedName>
    <definedName name="_MMM04">'[14]4-Basic Price'!$F$54</definedName>
    <definedName name="_MMM05">#REF!</definedName>
    <definedName name="_MMM06">#REF!</definedName>
    <definedName name="_MMM07">#REF!</definedName>
    <definedName name="_MMM08">#REF!</definedName>
    <definedName name="_MMM09">#REF!</definedName>
    <definedName name="_MMM10">'[14]4-Basic Price'!$F$60</definedName>
    <definedName name="_MMM11">'[14]4-Basic Price'!$F$61</definedName>
    <definedName name="_MMM12">'[14]4-Basic Price'!$F$62</definedName>
    <definedName name="_MMM13">#REF!</definedName>
    <definedName name="_MMM14">#REF!</definedName>
    <definedName name="_MMM15">#REF!</definedName>
    <definedName name="_MMM16">'[14]4-Basic Price'!$F$67</definedName>
    <definedName name="_MMM17">#REF!</definedName>
    <definedName name="_MMM18">#REF!</definedName>
    <definedName name="_MMM19">#REF!</definedName>
    <definedName name="_MMM20">#REF!</definedName>
    <definedName name="_MMM21">#REF!</definedName>
    <definedName name="_MMM22">#REF!</definedName>
    <definedName name="_MMM23">#REF!</definedName>
    <definedName name="_MMM24">#REF!</definedName>
    <definedName name="_MMM25">#REF!</definedName>
    <definedName name="_MMM26">'[14]4-Basic Price'!$F$78</definedName>
    <definedName name="_MMM27">'[14]4-Basic Price'!$F$79</definedName>
    <definedName name="_MMM28">#REF!</definedName>
    <definedName name="_MMM29">#REF!</definedName>
    <definedName name="_MMM30">#REF!</definedName>
    <definedName name="_MMM31">#REF!</definedName>
    <definedName name="_MMM32">#REF!</definedName>
    <definedName name="_MMM33">#REF!</definedName>
    <definedName name="_MMM34">#REF!</definedName>
    <definedName name="_MMM35">#REF!</definedName>
    <definedName name="_MMM36">#REF!</definedName>
    <definedName name="_MMM37">'[14]4-Basic Price'!$F$90</definedName>
    <definedName name="_MMM38">'[14]4-Basic Price'!#REF!</definedName>
    <definedName name="_MMM39">'[14]4-Basic Price'!$F$91</definedName>
    <definedName name="_MMM40">#REF!</definedName>
    <definedName name="_MMM41">#REF!</definedName>
    <definedName name="_MMM411">#REF!</definedName>
    <definedName name="_MMM42">#REF!</definedName>
    <definedName name="_MMM43">#REF!</definedName>
    <definedName name="_MMM44">'[14]4-Basic Price'!$F$98</definedName>
    <definedName name="_MMM45">#REF!</definedName>
    <definedName name="_MMM46">#REF!</definedName>
    <definedName name="_MMM47">'[14]4-Basic Price'!$F$101</definedName>
    <definedName name="_MMM48">#REF!</definedName>
    <definedName name="_MMM49">#REF!</definedName>
    <definedName name="_MMM50">#REF!</definedName>
    <definedName name="_MMM51">#REF!</definedName>
    <definedName name="_MMM52">#REF!</definedName>
    <definedName name="_MMM53">#REF!</definedName>
    <definedName name="_MMM54">#REF!</definedName>
    <definedName name="_NE1">'[9]AN-SNI'!#REF!</definedName>
    <definedName name="_Order1" hidden="1">255</definedName>
    <definedName name="_Order2" hidden="1">255</definedName>
    <definedName name="_p1">#REF!</definedName>
    <definedName name="_P2">#REF!</definedName>
    <definedName name="_P3">#REF!</definedName>
    <definedName name="_p4">#REF!</definedName>
    <definedName name="_pab100">#REF!</definedName>
    <definedName name="_pab125">#REF!</definedName>
    <definedName name="_pab15">#REF!</definedName>
    <definedName name="_pab150">#REF!</definedName>
    <definedName name="_pab2">#REF!</definedName>
    <definedName name="_pab20">#REF!</definedName>
    <definedName name="_pab25">#REF!</definedName>
    <definedName name="_pab32">#REF!</definedName>
    <definedName name="_pab4">#REF!</definedName>
    <definedName name="_pab40">#REF!</definedName>
    <definedName name="_pab50">#REF!</definedName>
    <definedName name="_pab6">#REF!</definedName>
    <definedName name="_pab65">#REF!</definedName>
    <definedName name="_pab80">#REF!</definedName>
    <definedName name="_pah150">#REF!</definedName>
    <definedName name="_pak100">#REF!</definedName>
    <definedName name="_pak150">#REF!</definedName>
    <definedName name="_pak50">#REF!</definedName>
    <definedName name="_pak80">#REF!</definedName>
    <definedName name="_pav6">#REF!</definedName>
    <definedName name="_pav8">#REF!</definedName>
    <definedName name="_pbs100">#REF!</definedName>
    <definedName name="_pbs15">#REF!</definedName>
    <definedName name="_pbs150">#REF!</definedName>
    <definedName name="_pbs40">#REF!</definedName>
    <definedName name="_pbs50">#REF!</definedName>
    <definedName name="_pbs65">#REF!</definedName>
    <definedName name="_pbs80">#REF!</definedName>
    <definedName name="_pc50">#REF!</definedName>
    <definedName name="_pc80">#REF!</definedName>
    <definedName name="_pcf80">#REF!</definedName>
    <definedName name="_ph100">#REF!</definedName>
    <definedName name="_ph150">#REF!</definedName>
    <definedName name="_phf100">#REF!</definedName>
    <definedName name="_phf150">#REF!</definedName>
    <definedName name="_pip2">#REF!</definedName>
    <definedName name="_pol10">'[41]tb. besi'!$H$8</definedName>
    <definedName name="_pol12">'[50]BERAT TUL.'!$H$9</definedName>
    <definedName name="_pol16">[42]tulang!$H$10</definedName>
    <definedName name="_pol8">'[41]tb. besi'!$H$7</definedName>
    <definedName name="_pv100">#REF!</definedName>
    <definedName name="_pv40">#REF!</definedName>
    <definedName name="_pv50">#REF!</definedName>
    <definedName name="_pv80">#REF!</definedName>
    <definedName name="_PVC05">'[18]ANALISA SNI''13 '!$I$2288</definedName>
    <definedName name="_pvc1">#REF!</definedName>
    <definedName name="_pvc100">[17]SAP!#REF!</definedName>
    <definedName name="_pvc12">#REF!</definedName>
    <definedName name="_pvc150">[17]SAP!#REF!</definedName>
    <definedName name="_PVC153">'[13]ANALISA SNI''13 '!#REF!</definedName>
    <definedName name="_PVC2">#REF!</definedName>
    <definedName name="_pvc20">[17]SAP!#REF!</definedName>
    <definedName name="_pvc200">[17]SAP!#REF!</definedName>
    <definedName name="_pvc25">[17]SAP!#REF!</definedName>
    <definedName name="_pvc3">#REF!</definedName>
    <definedName name="_pvc32">[17]SAP!#REF!</definedName>
    <definedName name="_pvc34">#REF!</definedName>
    <definedName name="_pvc4">#REF!</definedName>
    <definedName name="_pvc40">[17]SAP!#REF!</definedName>
    <definedName name="_pvc44">#REF!</definedName>
    <definedName name="_pvc50">[17]SAP!#REF!</definedName>
    <definedName name="_pvc65">[17]SAP!#REF!</definedName>
    <definedName name="_pvc80">[17]SAP!#REF!</definedName>
    <definedName name="_pvf100">#REF!</definedName>
    <definedName name="_pvf80">#REF!</definedName>
    <definedName name="_qmd15">[17]SAP!#REF!</definedName>
    <definedName name="_qmd20">[17]SAP!#REF!</definedName>
    <definedName name="_R1">#REF!</definedName>
    <definedName name="_R2">#REF!</definedName>
    <definedName name="_R3">#REF!</definedName>
    <definedName name="_R4">#REF!</definedName>
    <definedName name="_r5">#REF!</definedName>
    <definedName name="_RAB1">'[51]RAB 2'!$B$1:$H$161</definedName>
    <definedName name="_rdd100">[17]SAP!#REF!</definedName>
    <definedName name="_rdd150">[17]SAP!#REF!</definedName>
    <definedName name="_rk100">#REF!</definedName>
    <definedName name="_rk200">#REF!</definedName>
    <definedName name="_rk300">#REF!</definedName>
    <definedName name="_rk600">#REF!</definedName>
    <definedName name="_rkl1000">#REF!</definedName>
    <definedName name="_rkl1200">#REF!</definedName>
    <definedName name="_rkl200">#REF!</definedName>
    <definedName name="_rkl300">#REF!</definedName>
    <definedName name="_rkl400">#REF!</definedName>
    <definedName name="_rkl500">#REF!</definedName>
    <definedName name="_rkl600">#REF!</definedName>
    <definedName name="_rkl700">#REF!</definedName>
    <definedName name="_rkl800">#REF!</definedName>
    <definedName name="_S1">#REF!</definedName>
    <definedName name="_S2">#REF!</definedName>
    <definedName name="_SFL1">#REF!</definedName>
    <definedName name="_SFL2">#REF!</definedName>
    <definedName name="_SFL3">#REF!</definedName>
    <definedName name="_SFM1">#REF!</definedName>
    <definedName name="_SFM2">#REF!</definedName>
    <definedName name="_SFM3">#REF!</definedName>
    <definedName name="_SFM4">#REF!</definedName>
    <definedName name="_SFM5">#REF!</definedName>
    <definedName name="_SFM6">#REF!</definedName>
    <definedName name="_SFM7">#REF!</definedName>
    <definedName name="_SFQ1">#REF!</definedName>
    <definedName name="_SFQ2">#REF!</definedName>
    <definedName name="_SFQ3">#REF!</definedName>
    <definedName name="_SFQ4">#REF!</definedName>
    <definedName name="_sfv150">#REF!</definedName>
    <definedName name="_Sort" hidden="1">#REF!</definedName>
    <definedName name="_std100">#REF!</definedName>
    <definedName name="_std150">#REF!</definedName>
    <definedName name="_std50">#REF!</definedName>
    <definedName name="_std65">#REF!</definedName>
    <definedName name="_SUM1">#REF!</definedName>
    <definedName name="_SUM2">#REF!</definedName>
    <definedName name="_SUM3">#REF!</definedName>
    <definedName name="_Table1_In1" hidden="1">[43]H.Satuan!#REF!</definedName>
    <definedName name="_Table1_Out" hidden="1">[43]H.Satuan!#REF!</definedName>
    <definedName name="_Table2_In1" hidden="1">[43]H.Satuan!#REF!</definedName>
    <definedName name="_Table2_Out" hidden="1">[43]H.Satuan!#REF!</definedName>
    <definedName name="_TK1">'[52]hrg sat1'!$L$8</definedName>
    <definedName name="_TK10">'[52]hrg sat1'!$L$17</definedName>
    <definedName name="_TK11">'[52]hrg sat1'!$L$18</definedName>
    <definedName name="_TK12">'[52]hrg sat1'!$L$19</definedName>
    <definedName name="_TK13">'[52]hrg sat1'!$L$20</definedName>
    <definedName name="_TK14">'[52]hrg sat1'!$L$21</definedName>
    <definedName name="_TK15">'[52]hrg sat1'!$L$22</definedName>
    <definedName name="_TK16">'[52]hrg sat1'!$L$23</definedName>
    <definedName name="_TK17">'[52]hrg sat1'!$L$24</definedName>
    <definedName name="_TK18">'[52]hrg sat1'!$L$25</definedName>
    <definedName name="_TK2">'[52]hrg sat1'!$L$9</definedName>
    <definedName name="_TK3">'[52]hrg sat1'!$L$10</definedName>
    <definedName name="_TK4">'[52]hrg sat1'!$L$11</definedName>
    <definedName name="_TK5">'[52]hrg sat1'!$L$12</definedName>
    <definedName name="_TK6">'[52]hrg sat1'!$L$13</definedName>
    <definedName name="_TK7">'[52]hrg sat1'!$L$14</definedName>
    <definedName name="_TK8">'[52]hrg sat1'!$L$15</definedName>
    <definedName name="_TK9">'[52]hrg sat1'!$L$16</definedName>
    <definedName name="_tl20">#REF!</definedName>
    <definedName name="_tl40">#REF!</definedName>
    <definedName name="_tlc20">#REF!</definedName>
    <definedName name="_TOP2">#REF!</definedName>
    <definedName name="_tsv25">#REF!</definedName>
    <definedName name="_vnt100">#REF!</definedName>
    <definedName name="_vnt40">#REF!</definedName>
    <definedName name="_vnt50">#REF!</definedName>
    <definedName name="_vnt80">#REF!</definedName>
    <definedName name="a">#REF!</definedName>
    <definedName name="A.">#REF!</definedName>
    <definedName name="a.1">#REF!</definedName>
    <definedName name="a.2">#REF!</definedName>
    <definedName name="a.3">#REF!</definedName>
    <definedName name="a.4">#REF!</definedName>
    <definedName name="a.5">#REF!</definedName>
    <definedName name="a.6">#REF!</definedName>
    <definedName name="A_1">#REF!</definedName>
    <definedName name="A_2">#REF!</definedName>
    <definedName name="A460.">#REF!</definedName>
    <definedName name="A901.">#REF!</definedName>
    <definedName name="aa">'[53]HB '!#REF!</definedName>
    <definedName name="AA_02">'[2]LAL - PASAR PAGI '!$G$13</definedName>
    <definedName name="AAA">#REF!</definedName>
    <definedName name="aaaaa" hidden="1">[54]villa!#REF!</definedName>
    <definedName name="aanstamping">[45]ANALISA!#REF!</definedName>
    <definedName name="aax">#REF!</definedName>
    <definedName name="AB">'[55]1.Entry data.'!$F$15</definedName>
    <definedName name="ABC">#REF!</definedName>
    <definedName name="abch100">#REF!</definedName>
    <definedName name="aber100">#REF!</definedName>
    <definedName name="aber15">#REF!</definedName>
    <definedName name="Aber150">#REF!</definedName>
    <definedName name="aber2">#REF!</definedName>
    <definedName name="aber20">#REF!</definedName>
    <definedName name="aber25">#REF!</definedName>
    <definedName name="aber32">#REF!</definedName>
    <definedName name="aber4">#REF!</definedName>
    <definedName name="aber40">#REF!</definedName>
    <definedName name="aber50">#REF!</definedName>
    <definedName name="Aber6">#REF!</definedName>
    <definedName name="aber80">#REF!</definedName>
    <definedName name="aberf100">#REF!</definedName>
    <definedName name="aberf150">#REF!</definedName>
    <definedName name="aberf4">#REF!</definedName>
    <definedName name="aberf6">#REF!</definedName>
    <definedName name="aberf80">#REF!</definedName>
    <definedName name="abfj100">#REF!</definedName>
    <definedName name="abfj150">#REF!</definedName>
    <definedName name="abfj40">#REF!</definedName>
    <definedName name="abfj50">#REF!</definedName>
    <definedName name="abfl40">#REF!</definedName>
    <definedName name="abft100">#REF!</definedName>
    <definedName name="abft150">#REF!</definedName>
    <definedName name="abft50">#REF!</definedName>
    <definedName name="abfv100">#REF!</definedName>
    <definedName name="abfv150">#REF!</definedName>
    <definedName name="abfv50">#REF!</definedName>
    <definedName name="abfv80">#REF!</definedName>
    <definedName name="abgv100">#REF!</definedName>
    <definedName name="abgv150">#REF!</definedName>
    <definedName name="abgv20">#REF!</definedName>
    <definedName name="abgv32">#REF!</definedName>
    <definedName name="abgv40">#REF!</definedName>
    <definedName name="abgv50">#REF!</definedName>
    <definedName name="abka15">#REF!</definedName>
    <definedName name="abpg">#REF!</definedName>
    <definedName name="Abu_batu">'[20]Daftar Harga'!$G$18</definedName>
    <definedName name="abwl">#REF!</definedName>
    <definedName name="ABX">#REF!</definedName>
    <definedName name="AC">#REF!</definedName>
    <definedName name="AC_1">#REF!</definedName>
    <definedName name="AC_2">#REF!</definedName>
    <definedName name="AC_3">#REF!</definedName>
    <definedName name="AC_AC">[56]ANALIS!#REF!</definedName>
    <definedName name="AC_baku">[57]analisa!#REF!</definedName>
    <definedName name="AC_HAMPAR_AC">[56]ANALIS!#REF!</definedName>
    <definedName name="AC_PERKERASAN">[56]ANALIS!#REF!</definedName>
    <definedName name="ac4cm">#REF!</definedName>
    <definedName name="AChot">#REF!</definedName>
    <definedName name="ACIAN">#REF!</definedName>
    <definedName name="Acian_Pplhn">'[58]ANALISA  (BARU)'!$G$337</definedName>
    <definedName name="Acian_Semen">'[58]ANALISA  (BARU)'!$G$336</definedName>
    <definedName name="Acian12">#REF!</definedName>
    <definedName name="AcianMil">'[18]ANALISA SNI''13 '!$I$1375</definedName>
    <definedName name="Acianmill">#REF!</definedName>
    <definedName name="AcianPepalihan">'[18]ANALISA SNI''13 '!$I$1368</definedName>
    <definedName name="Acianpepalihan12">#REF!</definedName>
    <definedName name="Acianpepalmill">#REF!</definedName>
    <definedName name="AcianSemen">'[18]ANALISA SNI''13 '!$I$1361</definedName>
    <definedName name="acuan_beton">[57]analisa!#REF!</definedName>
    <definedName name="ACX">#REF!</definedName>
    <definedName name="AD">#REF!</definedName>
    <definedName name="adawd">'[59]div-7'!#REF!</definedName>
    <definedName name="ADDAS">'[59]div-3'!#REF!</definedName>
    <definedName name="ADDR">HAJIME:OWARI</definedName>
    <definedName name="adeh" hidden="1">[12]LOADDAT!#REF!</definedName>
    <definedName name="adeh1" hidden="1">[12]LOADDAT!#REF!</definedName>
    <definedName name="adeh3">'[13]ANALISA SNI''13 '!#REF!</definedName>
    <definedName name="adehhh" hidden="1">[12]LOADDAT!#REF!</definedName>
    <definedName name="ADF">'[59]div-5'!#REF!</definedName>
    <definedName name="ADX">#REF!</definedName>
    <definedName name="AE">'[60]daf-3(OK)'!#REF!</definedName>
    <definedName name="AF">'[60]daf-3(OK)'!#REF!</definedName>
    <definedName name="AFDDSAF">#REF!</definedName>
    <definedName name="afduner">#REF!</definedName>
    <definedName name="afinisher">#REF!</definedName>
    <definedName name="AG">'[9]EE-SNI'!#REF!</definedName>
    <definedName name="agra20cm">#REF!</definedName>
    <definedName name="agragat_kasar_macadam">#REF!</definedName>
    <definedName name="agrea">#REF!</definedName>
    <definedName name="agregat">'[61]HB '!$F$52</definedName>
    <definedName name="Agregat_halus">#REF!</definedName>
    <definedName name="agregat_halus_agregat_A_pelebaran">#REF!</definedName>
    <definedName name="agregat_halus_agregat_A_peninggian">#REF!</definedName>
    <definedName name="agregat_halus_agregat_B_pelebaran">#REF!</definedName>
    <definedName name="agregat_halus_agregat_B_peninggian">#REF!</definedName>
    <definedName name="agregat_halus_aspal_minor">#REF!</definedName>
    <definedName name="agregat_halus_macadam">#REF!</definedName>
    <definedName name="Agregat_kasar">#REF!</definedName>
    <definedName name="agregat_kasar__agregat_A_pelebaran">#REF!</definedName>
    <definedName name="agregat_kasar_agregat_A_peninggian">#REF!</definedName>
    <definedName name="agregat_kasar_agregat_B_pelebaran">#REF!</definedName>
    <definedName name="agregat_kasar_agregat_B_peninggian">#REF!</definedName>
    <definedName name="agregat_kasar_ak_lapen">#REF!</definedName>
    <definedName name="agregat_kasar_ap_lapen">#REF!</definedName>
    <definedName name="agregat_kasar_aspal_minor">#REF!</definedName>
    <definedName name="Agregat_Lapis_Pondasi_Atas_LPA_Klas_A_Menggunakan_Alat">[56]ANALIS!#REF!</definedName>
    <definedName name="AgregatA">#REF!</definedName>
    <definedName name="AgregatB">#REF!</definedName>
    <definedName name="AGREGATC">'[14]Agg A'!#REF!</definedName>
    <definedName name="AH">'[60]daf-3(OK)'!#REF!</definedName>
    <definedName name="ahrd100">#REF!</definedName>
    <definedName name="ahrd150">#REF!</definedName>
    <definedName name="ahuf100">#REF!</definedName>
    <definedName name="ahuf150">#REF!</definedName>
    <definedName name="ahuf150ahuf150">#REF!</definedName>
    <definedName name="AI">'[60]daf-3(OK)'!#REF!</definedName>
    <definedName name="AJ">'[60]daf-3(OK)'!#REF!</definedName>
    <definedName name="AK">'[60]daf-3(OK)'!#REF!</definedName>
    <definedName name="akco100">#REF!</definedName>
    <definedName name="akco150">#REF!</definedName>
    <definedName name="akco80">#REF!</definedName>
    <definedName name="akfd50">#REF!</definedName>
    <definedName name="akfj100">#REF!</definedName>
    <definedName name="akgv100">#REF!</definedName>
    <definedName name="akgv80">#REF!</definedName>
    <definedName name="akof100">#REF!</definedName>
    <definedName name="akof150">#REF!</definedName>
    <definedName name="akof4">#REF!</definedName>
    <definedName name="akof6">#REF!</definedName>
    <definedName name="akof80">#REF!</definedName>
    <definedName name="akofl80">#REF!</definedName>
    <definedName name="akogv100">#REF!</definedName>
    <definedName name="akogv80">#REF!</definedName>
    <definedName name="AKT">'[62]bahan '!$B$158</definedName>
    <definedName name="AL">'[63]LAM-22'!$F$52</definedName>
    <definedName name="alamat">'[64]bkn-pns'!$F$17</definedName>
    <definedName name="ALAT">[65]S_DAYA!$C$95:$E$142</definedName>
    <definedName name="Alat_1">[66]HARGA!#REF!</definedName>
    <definedName name="Alat_2">[66]HARGA!#REF!</definedName>
    <definedName name="ALAT_BANTU">#REF!</definedName>
    <definedName name="alat_batu">#REF!</definedName>
    <definedName name="alat_bt">#REF!</definedName>
    <definedName name="alat_ukur">'[67]ANALISA HARGA SAT.'!$J$18</definedName>
    <definedName name="alatbantu">#REF!</definedName>
    <definedName name="alban">#REF!</definedName>
    <definedName name="ALL">#REF!</definedName>
    <definedName name="alt_bt">#REF!</definedName>
    <definedName name="AlumFoil">'[18]ANALISA SNI''13 '!$I$1699</definedName>
    <definedName name="ALUMINIUM_FOIL">[18]ANALISA1!$J$659</definedName>
    <definedName name="Alumunium">#REF!</definedName>
    <definedName name="ALUT">#REF!</definedName>
    <definedName name="AM">'[62]bahan '!$B$157</definedName>
    <definedName name="AMP">#REF!</definedName>
    <definedName name="amp_30">[68]BASIC!$F$49</definedName>
    <definedName name="AMP_AC">[56]ANALIS!#REF!</definedName>
    <definedName name="Ampelas">'[20]Daftar Harga'!$G$70</definedName>
    <definedName name="amplas">#REF!</definedName>
    <definedName name="ampyang">#REF!</definedName>
    <definedName name="AN">'[60]daf-3(OK)'!#REF!</definedName>
    <definedName name="an.art.acian">#REF!</definedName>
    <definedName name="an.k.23.18">#REF!</definedName>
    <definedName name="an.k.23.6">#REF!</definedName>
    <definedName name="AN1PERSIAPAN">'[9]AN-SNI'!#REF!</definedName>
    <definedName name="AN1SIAP">'[9]AN-SNI'!#REF!</definedName>
    <definedName name="AN2TANAH">'[9]AN-SNI'!#REF!</definedName>
    <definedName name="AN3PAS">'[9]AN-SNI'!#REF!</definedName>
    <definedName name="an3pasa">'[9]AN-SNI'!#REF!</definedName>
    <definedName name="AN4KAYUATAP">'[9]AN-SNI'!#REF!</definedName>
    <definedName name="AN5CAT">'[9]AN-SNI'!#REF!</definedName>
    <definedName name="AN6LAIN">'[9]AN-SNI'!#REF!</definedName>
    <definedName name="ANADC">#REF!</definedName>
    <definedName name="ANAKMC">#REF!</definedName>
    <definedName name="ANALAN">#REF!</definedName>
    <definedName name="Analis">#REF!</definedName>
    <definedName name="analisa">'[69]HB '!#REF!</definedName>
    <definedName name="Analisa101A">#REF!</definedName>
    <definedName name="Analisa101B">#REF!</definedName>
    <definedName name="Analisa101C">#REF!</definedName>
    <definedName name="Analisa101D">#REF!</definedName>
    <definedName name="Analisa101E">#REF!</definedName>
    <definedName name="analisas">#REF!</definedName>
    <definedName name="ANALOGO">#REF!</definedName>
    <definedName name="ANASEL">#REF!</definedName>
    <definedName name="ANAYOL">#REF!</definedName>
    <definedName name="ANGEDUNG">'[9]EE-SNI'!#REF!</definedName>
    <definedName name="Anggrek_tanah">'[20]Daftar Harga'!$G$437</definedName>
    <definedName name="angkor">#REF!</definedName>
    <definedName name="angkur_baut_pintu1">#REF!</definedName>
    <definedName name="angkur_baut_pintu2">#REF!</definedName>
    <definedName name="angkut">#REF!</definedName>
    <definedName name="angkut_tanah_30">[57]analisa!#REF!</definedName>
    <definedName name="angkutan_alat">#REF!</definedName>
    <definedName name="angkutan_manual">#REF!</definedName>
    <definedName name="Anl.A">#REF!</definedName>
    <definedName name="Anl.a.1">#REF!</definedName>
    <definedName name="Anl.a.11">#REF!</definedName>
    <definedName name="Anl.a.12">#REF!</definedName>
    <definedName name="Anl.a.18.a">#REF!</definedName>
    <definedName name="Anl.a.2">#REF!</definedName>
    <definedName name="Anl.a.3">#REF!</definedName>
    <definedName name="Anl.a.4">#REF!</definedName>
    <definedName name="Anl.a.5">#REF!</definedName>
    <definedName name="Anl.a.6">#REF!</definedName>
    <definedName name="Anl.art.1">#REF!</definedName>
    <definedName name="anl.art.10">#REF!</definedName>
    <definedName name="anl.art.10a">#REF!</definedName>
    <definedName name="anl.art.11">#REF!</definedName>
    <definedName name="anl.art.12">#REF!</definedName>
    <definedName name="anl.art.13">#REF!</definedName>
    <definedName name="anl.art.14a">#REF!</definedName>
    <definedName name="anl.art.14b">#REF!</definedName>
    <definedName name="anl.art.15">#REF!</definedName>
    <definedName name="anl.art.16">#REF!</definedName>
    <definedName name="anl.art.17">#REF!</definedName>
    <definedName name="anl.art.18">#REF!</definedName>
    <definedName name="anl.art.19">#REF!</definedName>
    <definedName name="anl.art.2">#REF!</definedName>
    <definedName name="anl.art.20">#REF!</definedName>
    <definedName name="anl.art.21">#REF!</definedName>
    <definedName name="anl.art.22">#REF!</definedName>
    <definedName name="anl.art.23">#REF!</definedName>
    <definedName name="anl.art.24">#REF!</definedName>
    <definedName name="anl.art.25">#REF!</definedName>
    <definedName name="anl.art.26">#REF!</definedName>
    <definedName name="anl.art.27">#REF!</definedName>
    <definedName name="anl.art.28">#REF!</definedName>
    <definedName name="anl.art.29">#REF!</definedName>
    <definedName name="anl.art.2a">#REF!</definedName>
    <definedName name="anl.art.2b">#REF!</definedName>
    <definedName name="anl.art.3">#REF!</definedName>
    <definedName name="anl.art.30">#REF!</definedName>
    <definedName name="anl.art.31">#REF!</definedName>
    <definedName name="anl.art.32">#REF!</definedName>
    <definedName name="anl.art.33">#REF!</definedName>
    <definedName name="anl.art.34">#REF!</definedName>
    <definedName name="anl.art.35">#REF!</definedName>
    <definedName name="anl.art.36">#REF!</definedName>
    <definedName name="anl.art.37">#REF!</definedName>
    <definedName name="anl.art.38">#REF!</definedName>
    <definedName name="anl.art.39">#REF!</definedName>
    <definedName name="anl.art.4">#REF!</definedName>
    <definedName name="anl.art.40">#REF!</definedName>
    <definedName name="anl.art.41">#REF!</definedName>
    <definedName name="anl.art.42">#REF!</definedName>
    <definedName name="anl.art.43">#REF!</definedName>
    <definedName name="anl.art.44">#REF!</definedName>
    <definedName name="anl.art.45">#REF!</definedName>
    <definedName name="anl.art.46">#REF!</definedName>
    <definedName name="anl.art.47">#REF!</definedName>
    <definedName name="anl.art.48a">#REF!</definedName>
    <definedName name="anl.art.48b">#REF!</definedName>
    <definedName name="anl.art.49">#REF!</definedName>
    <definedName name="anl.art.5">#REF!</definedName>
    <definedName name="anl.art.50">#REF!</definedName>
    <definedName name="anl.art.51">#REF!</definedName>
    <definedName name="anl.art.52">#REF!</definedName>
    <definedName name="anl.art.53">#REF!</definedName>
    <definedName name="anl.art.54">#REF!</definedName>
    <definedName name="anl.art.55">#REF!</definedName>
    <definedName name="anl.art.56">#REF!</definedName>
    <definedName name="anl.art.57">#REF!</definedName>
    <definedName name="anl.art.6">#REF!</definedName>
    <definedName name="anl.art.7">#REF!</definedName>
    <definedName name="anl.art.8">#REF!</definedName>
    <definedName name="anl.art.9">#REF!</definedName>
    <definedName name="Anl.b.1">#REF!</definedName>
    <definedName name="anl.catbaru">#REF!</definedName>
    <definedName name="anl.catlama">#REF!</definedName>
    <definedName name="anl.f.16.1">#REF!</definedName>
    <definedName name="anl.f.16.2">#REF!</definedName>
    <definedName name="anl.f.16.3">#REF!</definedName>
    <definedName name="anl.f.16.4">#REF!</definedName>
    <definedName name="anl.f.16.5">#REF!</definedName>
    <definedName name="anl.f.16.6">#REF!</definedName>
    <definedName name="anl.f.20">#REF!</definedName>
    <definedName name="anl.f.20.a">#REF!</definedName>
    <definedName name="anl.f.22.1a">#REF!</definedName>
    <definedName name="anl.f.22.1b">#REF!</definedName>
    <definedName name="anl.f.22.2a">#REF!</definedName>
    <definedName name="anl.f.22.2b">#REF!</definedName>
    <definedName name="anl.f.22.3a">#REF!</definedName>
    <definedName name="anl.f.22.3b">#REF!</definedName>
    <definedName name="anl.f.22.4a">#REF!</definedName>
    <definedName name="anl.f.22.4b">#REF!</definedName>
    <definedName name="anl.f.22.a">#REF!</definedName>
    <definedName name="anl.f.22.b">#REF!</definedName>
    <definedName name="anl.f.23">#REF!</definedName>
    <definedName name="anl.f.23.a">#REF!</definedName>
    <definedName name="anl.f.27">#REF!</definedName>
    <definedName name="anl.f.27.1">#REF!</definedName>
    <definedName name="anl.f.30">#REF!</definedName>
    <definedName name="anl.f.30.1">#REF!</definedName>
    <definedName name="anl.f.33">#REF!</definedName>
    <definedName name="anl.f.33.a">#REF!</definedName>
    <definedName name="anl.f.34">#REF!</definedName>
    <definedName name="anl.f.37">#REF!</definedName>
    <definedName name="anl.f.4">#REF!</definedName>
    <definedName name="anl.f.9">#REF!</definedName>
    <definedName name="anl.g.1">#REF!</definedName>
    <definedName name="anl.g.27">#REF!</definedName>
    <definedName name="anl.g.31.1">#REF!</definedName>
    <definedName name="anl.g.31.h">#REF!</definedName>
    <definedName name="anl.g.31.j">#REF!</definedName>
    <definedName name="anl.g.31.j1">#REF!</definedName>
    <definedName name="anl.g.32">#REF!</definedName>
    <definedName name="anl.g.32.a">#REF!</definedName>
    <definedName name="anl.g.33.a">#REF!</definedName>
    <definedName name="anl.g.33.b">#REF!</definedName>
    <definedName name="anl.g.33.f">#REF!</definedName>
    <definedName name="anl.g.33.f1">#REF!</definedName>
    <definedName name="anl.g.33.k">#REF!</definedName>
    <definedName name="anl.g.41a">#REF!</definedName>
    <definedName name="Anl.g.41b">#REF!</definedName>
    <definedName name="anl.g.41c">#REF!</definedName>
    <definedName name="anl.g.41d">#REF!</definedName>
    <definedName name="anl.g.41e">#REF!</definedName>
    <definedName name="anl.g.41f">#REF!</definedName>
    <definedName name="anl.g.50">#REF!</definedName>
    <definedName name="anl.g.50.b">#REF!</definedName>
    <definedName name="anl.g.50.g">#REF!</definedName>
    <definedName name="anl.g.50.k">#REF!</definedName>
    <definedName name="anl.g.53">#REF!</definedName>
    <definedName name="anl.g.53.a">#REF!</definedName>
    <definedName name="anl.g.69.a">#REF!</definedName>
    <definedName name="anl.g.69.a.1">#REF!</definedName>
    <definedName name="anl.g.69.a.2">#REF!</definedName>
    <definedName name="anl.g.69.a.3">#REF!</definedName>
    <definedName name="anl.g.69.b">#REF!</definedName>
    <definedName name="anl.g.69.b.1">#REF!</definedName>
    <definedName name="anl.g.69.b.2">#REF!</definedName>
    <definedName name="anl.g.69.d">#REF!</definedName>
    <definedName name="anl.g41b">[70]analisa!$F$682</definedName>
    <definedName name="anl.g41c">[70]analisa!$F$687</definedName>
    <definedName name="anl.g41d">[70]analisa!$F$693</definedName>
    <definedName name="anl.h.15">#REF!</definedName>
    <definedName name="anl.h.15.1">#REF!</definedName>
    <definedName name="anl.h.18">#REF!</definedName>
    <definedName name="anl.h.2">#REF!</definedName>
    <definedName name="anl.h.2.1">#REF!</definedName>
    <definedName name="anl.h.2.2">#REF!</definedName>
    <definedName name="anl.h.2.3">#REF!</definedName>
    <definedName name="anl.h.2.4">#REF!</definedName>
    <definedName name="anl.h.6">#REF!</definedName>
    <definedName name="anl.h.6.1">#REF!</definedName>
    <definedName name="anl.h.6.2">#REF!</definedName>
    <definedName name="anl.h.6.3">#REF!</definedName>
    <definedName name="anl.h.6.4">#REF!</definedName>
    <definedName name="anl.h.6.5">#REF!</definedName>
    <definedName name="anl.k.23">#REF!</definedName>
    <definedName name="anl.k.23.30">#REF!</definedName>
    <definedName name="anl.k.35">#REF!</definedName>
    <definedName name="anl.plafondbaru">#REF!</definedName>
    <definedName name="anl.plafondlama">#REF!</definedName>
    <definedName name="anl.u.art.48">#REF!</definedName>
    <definedName name="anl.u.f.16">#REF!</definedName>
    <definedName name="anl.u.f.27">#REF!</definedName>
    <definedName name="anl.u.f.30">#REF!</definedName>
    <definedName name="anl.u.f.37">#REF!</definedName>
    <definedName name="anl.u.f.4">#REF!</definedName>
    <definedName name="anl.u.g.32">#REF!</definedName>
    <definedName name="anl.u.g.50">#REF!</definedName>
    <definedName name="anl.u.g.69.a">#REF!</definedName>
    <definedName name="anl.u.g.69.b">#REF!</definedName>
    <definedName name="anl.u.h.2">#REF!</definedName>
    <definedName name="anl.u.h.6">#REF!</definedName>
    <definedName name="anl.u.l.11">#REF!</definedName>
    <definedName name="anl.u.l.12">#REF!</definedName>
    <definedName name="anl.u.l.4">#REF!</definedName>
    <definedName name="Anl.u.l.5.a">#REF!</definedName>
    <definedName name="anl.u.l.5.b">#REF!</definedName>
    <definedName name="anl.u.l.6">#REF!</definedName>
    <definedName name="anl.u.l.7">#REF!</definedName>
    <definedName name="anl.u.l.8">#REF!</definedName>
    <definedName name="anl.u.l.9">#REF!</definedName>
    <definedName name="anlis">'[69]HB '!#REF!</definedName>
    <definedName name="antok">#REF!</definedName>
    <definedName name="AO">'[60]daf-3(OK)'!#REF!</definedName>
    <definedName name="AP">'[60]daf-3(OK)'!#REF!</definedName>
    <definedName name="APK">'[62]bahan '!$B$167</definedName>
    <definedName name="AQ">'[60]daf-3(OK)'!#REF!</definedName>
    <definedName name="AR">'[60]daf-3(OK)'!#REF!</definedName>
    <definedName name="arde">#REF!</definedName>
    <definedName name="ArdePancang">'[18]ANALISA SNI''13 '!$I$2387</definedName>
    <definedName name="area1">#REF!</definedName>
    <definedName name="aret">{"Book1","4.09 FLORA DAN FAUNA.xls","4.22 PERLENGKAPAN SEKOLAH.xls"}</definedName>
    <definedName name="arew">{"Book1","4.09 FLORA DAN FAUNA.xls","4.22 PERLENGKAPAN SEKOLAH.xls"}</definedName>
    <definedName name="arrq">{"Book1","4.09 FLORA DAN FAUNA.xls","4.22 PERLENGKAPAN SEKOLAH.xls"}</definedName>
    <definedName name="as">{"Book1","4.09 FLORA DAN FAUNA.xls","4.22 PERLENGKAPAN SEKOLAH.xls"}</definedName>
    <definedName name="as_finisher">#REF!</definedName>
    <definedName name="as_sprayer">#REF!</definedName>
    <definedName name="asad" localSheetId="2">#REF!</definedName>
    <definedName name="asad" localSheetId="0">#REF!</definedName>
    <definedName name="asad">#REF!</definedName>
    <definedName name="ASAS">#REF!</definedName>
    <definedName name="asbes">'[53]HB '!#REF!</definedName>
    <definedName name="asbes_gelombang">#REF!</definedName>
    <definedName name="asbesdatar4mm">[71]harsat!#REF!</definedName>
    <definedName name="asbesgelbesar">[71]harsat!#REF!</definedName>
    <definedName name="asbesgelkecil">[71]harsat!#REF!</definedName>
    <definedName name="asbesplatgresik">[71]harsat!#REF!</definedName>
    <definedName name="asbeswuwungbesar">[71]harsat!#REF!</definedName>
    <definedName name="asbeswuwungkecil">[71]harsat!#REF!</definedName>
    <definedName name="ASD">'[59]div-3'!#REF!</definedName>
    <definedName name="ASDa">[72]alat!$AW$20</definedName>
    <definedName name="asdas">'[73]div-8'!$L$565:$V$625</definedName>
    <definedName name="Asdat">'[53]HB '!#REF!</definedName>
    <definedName name="asdcdsf">'[73]div-8'!$A$377:$J$564</definedName>
    <definedName name="asdw">[73]Analisa!$U$51</definedName>
    <definedName name="ASE" hidden="1">#REF!</definedName>
    <definedName name="asfin">#REF!</definedName>
    <definedName name="asgel_kecil">#REF!</definedName>
    <definedName name="asgel5">#REF!</definedName>
    <definedName name="asgel5mm">'[53]HB '!#REF!</definedName>
    <definedName name="asgel6">#REF!</definedName>
    <definedName name="asgel6mm">'[61]HB '!$F$9</definedName>
    <definedName name="Aspal">#REF!</definedName>
    <definedName name="aspal_60_70">#REF!</definedName>
    <definedName name="aspal_AC">#REF!</definedName>
    <definedName name="aspal_AC20">'[57]Harga Satuan Dasar'!#REF!</definedName>
    <definedName name="aspal_ACL">#REF!</definedName>
    <definedName name="aspal_aspal_minor">#REF!</definedName>
    <definedName name="aspal_ATB">#REF!</definedName>
    <definedName name="aspal_ATBL">#REF!</definedName>
    <definedName name="ASPAL_CUT_BACK_HAMPAR_AC">[56]ANALIS!#REF!</definedName>
    <definedName name="aspal_cutbac">#REF!</definedName>
    <definedName name="aspal_cutback">'[57]Harga Satuan Dasar'!#REF!</definedName>
    <definedName name="Aspal_Hotmix">'[74]Daftar Harga Material'!$G$14</definedName>
    <definedName name="aspal_lapen">#REF!</definedName>
    <definedName name="Aspal_panas">'[57]Harga Satuan Dasar'!#REF!</definedName>
    <definedName name="aspal_panas_ac">'[57]Harga Satuan Dasar'!#REF!</definedName>
    <definedName name="aspal_prime_coat">#REF!</definedName>
    <definedName name="aspal_sprayer_prime_coat">#REF!</definedName>
    <definedName name="aspal_sprayer_tack_coat">#REF!</definedName>
    <definedName name="aspal_tack_coat">#REF!</definedName>
    <definedName name="aspalspry">#REF!</definedName>
    <definedName name="Asphalt_disributor">#REF!</definedName>
    <definedName name="Asphalt_finisher">#REF!</definedName>
    <definedName name="asphalt_finisher_AC">#REF!</definedName>
    <definedName name="asphalt_finisher_ACL">#REF!</definedName>
    <definedName name="asphalt_finisher_ATB">#REF!</definedName>
    <definedName name="asphalt_finisher_ATBL">#REF!</definedName>
    <definedName name="Asphalt_sprayer">#REF!</definedName>
    <definedName name="asphalt_sprayer_lapen">#REF!</definedName>
    <definedName name="aspray">#REF!</definedName>
    <definedName name="asumsi_40">[75]VOLUME!#REF!</definedName>
    <definedName name="aswung4mm">'[61]HB '!$F$10</definedName>
    <definedName name="aswung5mm">'[53]HB '!#REF!</definedName>
    <definedName name="Atap">'[9]AN-SNI'!#REF!</definedName>
    <definedName name="ATAP_GENTENG_BIASA">#REF!</definedName>
    <definedName name="ATAP_GENTENG_KODOK">[18]ANALISA1!$J$596</definedName>
    <definedName name="ATAP_GENTENG_METAL_BERPASIR">#REF!</definedName>
    <definedName name="Atap_Gtng">'[58]ANALISA  (BARU)'!$G$412</definedName>
    <definedName name="AtapAlang">'[18]ANALISA SNI''13 '!$I$1684</definedName>
    <definedName name="atapasbes">#REF!</definedName>
    <definedName name="Atapbiasa">#REF!</definedName>
    <definedName name="Atapgenteng">#REF!</definedName>
    <definedName name="AtapIjuk">'[18]ANALISA SNI''13 '!$I$2456</definedName>
    <definedName name="Atapjtiwangi">#REF!</definedName>
    <definedName name="AtapPlentongBiasa">'[18]ANALISA SNI''13 '!$I$1635</definedName>
    <definedName name="AtapSeng">'[18]ANALISA SNI''13 '!$I$1692</definedName>
    <definedName name="AtapSirap">'[18]ANALISA SNI''13 '!$I$1668</definedName>
    <definedName name="ATB">#REF!</definedName>
    <definedName name="atb.2">'[76]ANALISA-1'!#REF!</definedName>
    <definedName name="atb4cm">#REF!</definedName>
    <definedName name="atb6cm">#REF!</definedName>
    <definedName name="atbl">'[77]ANALISA-1'!#REF!</definedName>
    <definedName name="atbl.1">'[77]ANALISA-1'!#REF!</definedName>
    <definedName name="atbl.2">'[76]ANALISA-1'!#REF!</definedName>
    <definedName name="atbl.3">'[76]ANALISA-1'!#REF!</definedName>
    <definedName name="ATC">'[62]bahan '!$B$162</definedName>
    <definedName name="ATK">'[62]bahan '!$B$160</definedName>
    <definedName name="ato" hidden="1">{#N/A,#N/A,FALSE,"REK-S-TPL";#N/A,#N/A,FALSE,"REK-TPML";#N/A,#N/A,FALSE,"RAB-TEMPEL"}</definedName>
    <definedName name="avaur">#REF!</definedName>
    <definedName name="Avoor">#REF!</definedName>
    <definedName name="AVOR">#REF!</definedName>
    <definedName name="avour">#REF!</definedName>
    <definedName name="Azalea">'[20]Daftar Harga'!$G$432</definedName>
    <definedName name="B">#REF!</definedName>
    <definedName name="B.">#REF!</definedName>
    <definedName name="b..">#REF!</definedName>
    <definedName name="b.1">#REF!</definedName>
    <definedName name="b.10">#REF!</definedName>
    <definedName name="b.11">#REF!</definedName>
    <definedName name="b.12">#REF!</definedName>
    <definedName name="b.13">#REF!</definedName>
    <definedName name="b.14">#REF!</definedName>
    <definedName name="b.15">#REF!</definedName>
    <definedName name="b.16">#REF!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b.tepi">[78]Analisa!$F$11</definedName>
    <definedName name="B_1">#REF!</definedName>
    <definedName name="b_bekisting">#REF!</definedName>
    <definedName name="B_beton123">#REF!</definedName>
    <definedName name="b_kali15_20">#REF!</definedName>
    <definedName name="b_kambang">[45]HARSAT!#REF!</definedName>
    <definedName name="B_Pembesian_polos">#REF!</definedName>
    <definedName name="b_siku">#REF!</definedName>
    <definedName name="ba_ka_15_20">#REF!</definedName>
    <definedName name="ba_ka_20_25">#REF!</definedName>
    <definedName name="ba_pe_1_2">#REF!</definedName>
    <definedName name="ba_pe_2_3">#REF!</definedName>
    <definedName name="ba_pe_3_5">#REF!</definedName>
    <definedName name="BAB.3">'[79]DAF-KUAN'!#REF!</definedName>
    <definedName name="BAB.4.A">'[79]DAF-KUAN'!#REF!</definedName>
    <definedName name="BAB.4.B">'[79]DAF-KUAN'!#REF!</definedName>
    <definedName name="BAB.4.BB">'[79]DAF-KUAN'!#REF!</definedName>
    <definedName name="BAB.5">'[79]DAF-KUAN'!#REF!</definedName>
    <definedName name="BAB.6">'[79]DAF-KUAN'!#REF!</definedName>
    <definedName name="BAB.7">'[79]DAF-KUAN'!#REF!</definedName>
    <definedName name="BAB.8">'[79]DAF-KUAN'!#REF!</definedName>
    <definedName name="Baby_roller">#REF!</definedName>
    <definedName name="BAGIAN_1">#N/A</definedName>
    <definedName name="BAGPRO">#REF!</definedName>
    <definedName name="BAHAN">[65]S_DAYA!$C$39:$E$83</definedName>
    <definedName name="bahan.g.33.f1">#REF!</definedName>
    <definedName name="BAHAN_BANGUNAN">#REF!</definedName>
    <definedName name="BAHAN_CAT___PLITUR">#REF!</definedName>
    <definedName name="BAHAN_KAYU">#REF!</definedName>
    <definedName name="BAHAN_LISTRIK">#REF!</definedName>
    <definedName name="BAHAN_LOGAM">#REF!</definedName>
    <definedName name="BAHAN_TAMBANG">#REF!</definedName>
    <definedName name="BAHAN1">'[52]hrg sat1'!$L$30</definedName>
    <definedName name="BAHAN10">'[52]hrg sat1'!$L$39</definedName>
    <definedName name="BAHAN11">'[52]hrg sat1'!$L$40</definedName>
    <definedName name="BAHAN12">'[52]hrg sat1'!$L$41</definedName>
    <definedName name="BAHAN13">'[52]hrg sat1'!$L$42</definedName>
    <definedName name="BAHAN14">'[52]hrg sat1'!$L$43</definedName>
    <definedName name="BAHAN15">'[52]hrg sat1'!$L$44</definedName>
    <definedName name="BAHAN16">'[52]hrg sat1'!$L$45</definedName>
    <definedName name="BAHAN17">'[52]hrg sat1'!$L$46</definedName>
    <definedName name="BAHAN18">'[52]hrg sat1'!$L$47</definedName>
    <definedName name="BAHAN19">'[52]hrg sat1'!$L$48</definedName>
    <definedName name="BAHAN2">'[52]hrg sat1'!$L$31</definedName>
    <definedName name="BAHAN20">'[52]hrg sat1'!$L$49</definedName>
    <definedName name="BAHAN21">'[52]hrg sat1'!$L$50</definedName>
    <definedName name="BAHAN22">'[52]hrg sat1'!$L$51</definedName>
    <definedName name="BAHAN23">'[52]hrg sat1'!$L$52</definedName>
    <definedName name="BAHAN24">'[52]hrg sat1'!$L$53</definedName>
    <definedName name="BAHAN25">'[52]hrg sat1'!$L$57</definedName>
    <definedName name="BAHAN26">'[52]hrg sat1'!$L$58</definedName>
    <definedName name="BAHAN27">'[52]hrg sat1'!$L$59</definedName>
    <definedName name="BAHAN28">'[52]hrg sat1'!$L$60</definedName>
    <definedName name="BAHAN29">'[52]hrg sat1'!$L$61</definedName>
    <definedName name="BAHAN3">'[52]hrg sat1'!$L$32</definedName>
    <definedName name="BAHAN30">'[52]hrg sat1'!$L$62</definedName>
    <definedName name="BAHAN31">'[52]hrg sat1'!$L$63</definedName>
    <definedName name="BAHAN32">'[52]hrg sat1'!$L$64</definedName>
    <definedName name="BAHAN33">'[52]hrg sat1'!$L$65</definedName>
    <definedName name="BAHAN34">'[52]hrg sat1'!$L$66</definedName>
    <definedName name="BAHAN35">'[52]hrg sat1'!$L$68</definedName>
    <definedName name="BAHAN36">'[52]hrg sat1'!$L$69</definedName>
    <definedName name="BAHAN37">'[52]hrg sat1'!$L$70</definedName>
    <definedName name="BAHAN38">'[52]hrg sat1'!$L$71</definedName>
    <definedName name="BAHAN39">'[52]hrg sat1'!$L$72</definedName>
    <definedName name="BAHAN4">'[52]hrg sat1'!$L$33</definedName>
    <definedName name="BAHAN40">'[52]hrg sat1'!$L$73</definedName>
    <definedName name="BAHAN41">'[52]hrg sat1'!$L$74</definedName>
    <definedName name="BAHAN42">'[52]hrg sat1'!$L$75</definedName>
    <definedName name="BAHAN43">'[52]hrg sat1'!$L$76</definedName>
    <definedName name="BAHAN44">'[52]hrg sat1'!$L$77</definedName>
    <definedName name="BAHAN45">'[52]hrg sat1'!$L$78</definedName>
    <definedName name="BAHAN46">'[52]hrg sat1'!$L$79</definedName>
    <definedName name="BAHAN47">'[52]hrg sat1'!$L$80</definedName>
    <definedName name="BAHAN48">'[52]hrg sat1'!$L$81</definedName>
    <definedName name="BAHAN49">'[52]hrg sat1'!$L$82</definedName>
    <definedName name="BAHAN5">'[52]hrg sat1'!$L$34</definedName>
    <definedName name="BAHAN50">'[52]hrg sat1'!$L$83</definedName>
    <definedName name="BAHAN51">'[52]hrg sat1'!$L$84</definedName>
    <definedName name="BAHAN52">'[52]hrg sat1'!$L$85</definedName>
    <definedName name="BAHAN53">'[52]hrg sat1'!$L$86</definedName>
    <definedName name="BAHAN54">'[52]hrg sat1'!$L$87</definedName>
    <definedName name="BAHAN55">'[52]hrg sat1'!$L$88</definedName>
    <definedName name="BAHAN56">'[52]hrg sat1'!$L$89</definedName>
    <definedName name="BAHAN57">'[52]hrg sat1'!$L$90</definedName>
    <definedName name="BAHAN58">'[52]hrg sat1'!$L$91</definedName>
    <definedName name="BAHAN59">'[52]hrg sat1'!$L$92</definedName>
    <definedName name="BAHAN6">'[52]hrg sat1'!$L$35</definedName>
    <definedName name="BAHAN60">'[52]hrg sat1'!$L$93</definedName>
    <definedName name="BAHAN61">'[52]hrg sat1'!$L$94</definedName>
    <definedName name="BAHAN62">'[52]hrg sat1'!$L$95</definedName>
    <definedName name="BAHAN63">'[52]hrg sat1'!$L$96</definedName>
    <definedName name="BAHAN64">'[52]hrg sat1'!$L$97</definedName>
    <definedName name="BAHAN65">'[52]hrg sat1'!$L$98</definedName>
    <definedName name="BAHAN66">'[52]hrg sat1'!$L$99</definedName>
    <definedName name="BAHAN67">'[52]hrg sat1'!$L$100</definedName>
    <definedName name="BAHAN68">'[52]hrg sat1'!$L$101</definedName>
    <definedName name="BAHAN69">'[52]hrg sat1'!$L$102</definedName>
    <definedName name="BAHAN7">'[52]hrg sat1'!$L$36</definedName>
    <definedName name="BAHAN70">'[52]hrg sat1'!$L$103</definedName>
    <definedName name="BAHAN71">'[52]hrg sat1'!$L$104</definedName>
    <definedName name="BAHAN72">'[52]hrg sat1'!$L$105</definedName>
    <definedName name="BAHAN74">'[80]hrg sat'!$L$111</definedName>
    <definedName name="BAHAN8">'[52]hrg sat1'!$L$37</definedName>
    <definedName name="BAHAN9">'[52]hrg sat1'!$L$38</definedName>
    <definedName name="BAHANATAP">#REF!</definedName>
    <definedName name="BAHANFINISHING">#REF!</definedName>
    <definedName name="BAHANKAYUDANKACA">#REF!</definedName>
    <definedName name="BAHANLAIN2">#REF!</definedName>
    <definedName name="BAHANLISTRIK">#REF!</definedName>
    <definedName name="BAHANMINYAK">#REF!</definedName>
    <definedName name="BAHANORNAMEN">#REF!</definedName>
    <definedName name="BAHANPAKU">#REF!</definedName>
    <definedName name="BAHANPASANGAN">#REF!</definedName>
    <definedName name="BAHANPENGGANTUNGDANPENGUNCI">#REF!</definedName>
    <definedName name="BAHANPLAFONDDANLANTAI">#REF!</definedName>
    <definedName name="BAHANSANITAIR">#REF!</definedName>
    <definedName name="BAHANURUGAN">#REF!</definedName>
    <definedName name="BAHU">#REF!</definedName>
    <definedName name="Baja_Profil">#REF!</definedName>
    <definedName name="baja_tulangan_patok_hektometer">#REF!</definedName>
    <definedName name="baja_tulangan_patok_kilometer">#REF!</definedName>
    <definedName name="baja_tulangan_patok_pengarah">#REF!</definedName>
    <definedName name="bajaC">#REF!</definedName>
    <definedName name="bajau.24">'[76]ANALISA-1'!#REF!</definedName>
    <definedName name="bajawf">[48]harga!$F$20</definedName>
    <definedName name="Bak_cuci_stainles_steel">'[81]RANGE BAHAN'!$B$72:$C$72</definedName>
    <definedName name="BAK_KONTROL_45X45X50">#REF!</definedName>
    <definedName name="Bak_Shower_80_x_80_cm">'[20]Daftar Harga'!#REF!</definedName>
    <definedName name="BAK_ZINK">#REF!</definedName>
    <definedName name="BakAdukan">'[18]ANALISA SNI''13 '!$I$418</definedName>
    <definedName name="BakKOntrol">'[18]ANALISA SNI''13 '!$I$2264</definedName>
    <definedName name="bakmandi">'[61]HB '!$F$160</definedName>
    <definedName name="BakMandiFibre">'[18]ANALISA SNI''13 '!$I$2252</definedName>
    <definedName name="baktraso">#REF!</definedName>
    <definedName name="BALOK_100KG">#REF!</definedName>
    <definedName name="BALOK_110KG">#REF!</definedName>
    <definedName name="BALOK_120KG">#REF!</definedName>
    <definedName name="BALOK_130KG">#REF!</definedName>
    <definedName name="BALOK_140KG">#REF!</definedName>
    <definedName name="BALOK_150KG">#REF!</definedName>
    <definedName name="BALOK_160KG">#REF!</definedName>
    <definedName name="BALOK_170KG">#REF!</definedName>
    <definedName name="BALOK_180KG">#REF!</definedName>
    <definedName name="BALOK_190KG">#REF!</definedName>
    <definedName name="BALOK_200KG">#REF!</definedName>
    <definedName name="BALOK_210KG">#REF!</definedName>
    <definedName name="BALOK_220KG">#REF!</definedName>
    <definedName name="BALOK_230KG">#REF!</definedName>
    <definedName name="BALOK_240KG">#REF!</definedName>
    <definedName name="BALOK_250KG">#REF!</definedName>
    <definedName name="BALOK_260KG">#REF!</definedName>
    <definedName name="BALOK_270KG">#REF!</definedName>
    <definedName name="BALOK_280KG">#REF!</definedName>
    <definedName name="BALOK_290KG">#REF!</definedName>
    <definedName name="BALOK_300KG">#REF!</definedName>
    <definedName name="BALOK_310KG">#REF!</definedName>
    <definedName name="BALOK_320KG">#REF!</definedName>
    <definedName name="BALOK_330KG">#REF!</definedName>
    <definedName name="BALOK_340KG">#REF!</definedName>
    <definedName name="BALOK_350KG">#REF!</definedName>
    <definedName name="Balok_borneo">'[20]Daftar Harga'!$G$102</definedName>
    <definedName name="Balok_borneo_Super">'[20]Daftar Harga'!$G$100</definedName>
    <definedName name="balok_jati">#REF!</definedName>
    <definedName name="balok_kamper">#REF!</definedName>
    <definedName name="balok_meranti">#REF!</definedName>
    <definedName name="balok2030">#REF!</definedName>
    <definedName name="balok20x30">[45]ANALISA!#REF!</definedName>
    <definedName name="balok20x40">[45]ANALISA!#REF!</definedName>
    <definedName name="balok3040">#REF!</definedName>
    <definedName name="balok30x55">#REF!</definedName>
    <definedName name="BalokFe100">'[18]ANALISA SNI''13 '!$I$1021</definedName>
    <definedName name="BalokFe110">'[18]ANALISA SNI''13 '!$I$1024</definedName>
    <definedName name="BalokFe120">'[18]ANALISA SNI''13 '!$I$1025</definedName>
    <definedName name="BalokFe125">#REF!</definedName>
    <definedName name="BalokFe130">'[18]ANALISA SNI''13 '!$I$1026</definedName>
    <definedName name="BalokFe135">'[82]ANALISA SNI''07(ubh bgsting)'!$I$1173</definedName>
    <definedName name="BalokFe140">'[18]ANALISA SNI''13 '!$I$1027</definedName>
    <definedName name="BalokFe150">'[18]ANALISA SNI''13 '!$I$996</definedName>
    <definedName name="BalokFe160">'[18]ANALISA SNI''13 '!$I$1028</definedName>
    <definedName name="BalokFe170">'[18]ANALISA SNI''13 '!$I$1029</definedName>
    <definedName name="BalokFe175">#REF!</definedName>
    <definedName name="BalokFe180">'[18]ANALISA SNI''13 '!$I$1030</definedName>
    <definedName name="BalokFe190">'[18]ANALISA SNI''13 '!$I$1031</definedName>
    <definedName name="BalokFe200">'[18]ANALISA SNI''13 '!$I$1015</definedName>
    <definedName name="BalokFe210">'[18]ANALISA SNI''13 '!$I$1032</definedName>
    <definedName name="BalokFe220">'[18]ANALISA SNI''13 '!$I$1033</definedName>
    <definedName name="BalokFe230">'[18]ANALISA SNI''13 '!$I$1034</definedName>
    <definedName name="BalokFe240">'[18]ANALISA SNI''13 '!$I$1035</definedName>
    <definedName name="BalokFe250">'[18]ANALISA SNI''13 '!$I$1036</definedName>
    <definedName name="BalokFe260">'[18]ANALISA SNI''13 '!$I$1037</definedName>
    <definedName name="BalokFe270">'[18]ANALISA SNI''13 '!$I$1038</definedName>
    <definedName name="BalokFe280">'[18]ANALISA SNI''13 '!$I$1039</definedName>
    <definedName name="BalokFe300">'[18]ANALISA SNI''13 '!$I$1060</definedName>
    <definedName name="BalokFe80">'[18]ANALISA SNI''13 '!$I$1022</definedName>
    <definedName name="BalokFe90">'[18]ANALISA SNI''13 '!$I$1023</definedName>
    <definedName name="Bambu_dia._5_7_cm">'[20]Daftar Harga'!$G$88</definedName>
    <definedName name="bangkirai_papan">#REF!</definedName>
    <definedName name="bangkirai_usuk">#REF!</definedName>
    <definedName name="Bangkubelajar">'[18]ANALISA SNI''13 '!$I$2513</definedName>
    <definedName name="BangunanA">#REF!</definedName>
    <definedName name="bantu">#REF!</definedName>
    <definedName name="Barang" localSheetId="2">#REF!</definedName>
    <definedName name="Barang" localSheetId="0">#REF!</definedName>
    <definedName name="Barang">#REF!</definedName>
    <definedName name="Baret_Sunflower_32">'[20]Daftar Harga'!#REF!</definedName>
    <definedName name="basaom">#REF!</definedName>
    <definedName name="basdim">#REF!</definedName>
    <definedName name="basdoc">#REF!</definedName>
    <definedName name="base">#REF!</definedName>
    <definedName name="Base_camp_distance">#REF!</definedName>
    <definedName name="basfs">#REF!</definedName>
    <definedName name="basi">#REF!</definedName>
    <definedName name="basitc">#REF!</definedName>
    <definedName name="basrtu">#REF!</definedName>
    <definedName name="bastw">#REF!</definedName>
    <definedName name="bat_pe_0.5_1">#REF!</definedName>
    <definedName name="bata">#REF!</definedName>
    <definedName name="Bata_Merah">'[81]RANGE BAHAN'!$B$16:$C$16</definedName>
    <definedName name="bata15">#REF!</definedName>
    <definedName name="bata1s4p">#REF!</definedName>
    <definedName name="bataco">[71]harsat!#REF!</definedName>
    <definedName name="Batacobesi">'[18]ANALISA SNI''13 '!$I$1270</definedName>
    <definedName name="Batacononbesi">'[18]ANALISA SNI''13 '!$I$1279</definedName>
    <definedName name="batako">#REF!</definedName>
    <definedName name="batamrh">'[83]bahan+upah'!$E$29</definedName>
    <definedName name="batu">#REF!</definedName>
    <definedName name="BATU_1.3">[84]HARGA!$G$45</definedName>
    <definedName name="BATU_10.15">[84]HARGA!#REF!</definedName>
    <definedName name="BATU_15.20">[84]HARGA!#REF!</definedName>
    <definedName name="BATU_3.5">[84]HARGA!#REF!</definedName>
    <definedName name="BATU_5.7">[84]HARGA!#REF!</definedName>
    <definedName name="batu_b">#REF!</definedName>
    <definedName name="batu_bata">'[57]Harga Satuan Dasar'!#REF!</definedName>
    <definedName name="batu_bata_ps_batu_merah">[57]analisa!#REF!</definedName>
    <definedName name="batu_batu_kali">#REF!</definedName>
    <definedName name="BATU_BELAH">[84]HARGA!$G$46</definedName>
    <definedName name="Batu_belah___kali">'[20]Daftar Harga'!$G$14</definedName>
    <definedName name="Batu_Belah_Gunung">'[81]RANGE BAHAN'!$B$9:$C$9</definedName>
    <definedName name="Batu_Belah_Kali">#REF!</definedName>
    <definedName name="Batu_Belah_Pondasi">'[74]Daftar Harga Material'!$G$21</definedName>
    <definedName name="batu_belah_telford">#REF!</definedName>
    <definedName name="Batu_Kaca_Krem_Tulung_agung">'[20]Daftar Harga'!$G$192</definedName>
    <definedName name="Batu_kaca_putih">'[20]Daftar Harga'!$G$195</definedName>
    <definedName name="Batu_Kaki_Gunung_RTM_20_20__garut">'[20]Daftar Harga'!$G$186</definedName>
    <definedName name="Batu_kali">#REF!</definedName>
    <definedName name="batu_kali_15_20">[68]BASIC!$F$102</definedName>
    <definedName name="batu_kali_aanstamping">[57]analisa!#REF!</definedName>
    <definedName name="batu_kali_batu_belah_1_4">[56]ANALIS!#REF!</definedName>
    <definedName name="BATU_KALI_PERKERASAN">[56]ANALIS!#REF!</definedName>
    <definedName name="BATU_KOSONG">[18]ANALISA1!$J$69</definedName>
    <definedName name="Batu_Palimanan_RTM_10_20">'[20]Daftar Harga'!$G$178</definedName>
    <definedName name="BATU_PECAH">[85]HARGA!#REF!</definedName>
    <definedName name="batu_pecah_05_1">[68]BASIC!$F$105</definedName>
    <definedName name="BATU_PECAH_05_1_AC">[56]ANALIS!#REF!</definedName>
    <definedName name="batu_pecah_05_1_LPB_A">[86]PEMBANTAIAN!#REF!</definedName>
    <definedName name="batu_pecah_1_2">[68]BASIC!$F$106</definedName>
    <definedName name="BATU_PECAH_1_2_AC">[56]ANALIS!#REF!</definedName>
    <definedName name="batu_pecah_1_2_LPB_A">[56]ANALIS!#REF!</definedName>
    <definedName name="batu_pecah_15_20">'[57]Harga Satuan Dasar'!#REF!</definedName>
    <definedName name="batu_pecah_2_3">[68]BASIC!$F$107</definedName>
    <definedName name="batu_pecah_2_3_LPB_A">[86]PEMBANTAIAN!#REF!</definedName>
    <definedName name="batu_pecah_3_5">'[57]Harga Satuan Dasar'!#REF!</definedName>
    <definedName name="BATU_PECAH_3_5__4_6_PERKERASAN">[56]ANALIS!#REF!</definedName>
    <definedName name="batu_pecah_mesin_05_1">'[57]Harga Satuan Dasar'!#REF!</definedName>
    <definedName name="Batu_Pecah_Mesin_1_2">'[74]Daftar Harga Material'!$G$23</definedName>
    <definedName name="batu_pecah_mesin_2_3">'[57]Harga Satuan Dasar'!#REF!</definedName>
    <definedName name="Batu_Pecah_Mesin_5_7">'[74]Daftar Harga Material'!$G$25</definedName>
    <definedName name="Batu_split_1_2">'[20]Daftar Harga'!$G$15</definedName>
    <definedName name="Batu_split_2_3">'[20]Daftar Harga'!$G$16</definedName>
    <definedName name="Batu_split_5_7">'[20]Daftar Harga'!$G$17</definedName>
    <definedName name="Batu_Tasik_RTM_20_20">'[20]Daftar Harga'!$G$183</definedName>
    <definedName name="Batu_Telor">'[20]Daftar Harga'!$G$196</definedName>
    <definedName name="BATUBELAH">#REF!</definedName>
    <definedName name="batuk">#REF!</definedName>
    <definedName name="BATUKALI">#REF!</definedName>
    <definedName name="batukali_PAsang_batu_mortar">#REF!</definedName>
    <definedName name="BATUPECAH">'[87]2.Harga Satuan'!#REF!</definedName>
    <definedName name="baut_pintu1">#REF!</definedName>
    <definedName name="baut10">#REF!</definedName>
    <definedName name="baut12">#REF!</definedName>
    <definedName name="baut16">#REF!</definedName>
    <definedName name="bautasb">#REF!</definedName>
    <definedName name="bautbgl">#REF!</definedName>
    <definedName name="BAX">#REF!</definedName>
    <definedName name="BB_05">'[2]LAL - PASAR PAGI '!$G$46</definedName>
    <definedName name="bbata">#REF!</definedName>
    <definedName name="bbata1">[71]harsat!$G$26</definedName>
    <definedName name="bbata2">[71]harsat!#REF!</definedName>
    <definedName name="bbelah1520">[71]harsat!#REF!</definedName>
    <definedName name="BBM">#REF!</definedName>
    <definedName name="bbm_exc">#REF!</definedName>
    <definedName name="bbobos10">[71]harsat!#REF!</definedName>
    <definedName name="BBX">#REF!</definedName>
    <definedName name="BCX">#REF!</definedName>
    <definedName name="bdia6">#REF!</definedName>
    <definedName name="bed_truk_40">#REF!</definedName>
    <definedName name="begel">[45]HARSAT!#REF!</definedName>
    <definedName name="Begel___kawel">#REF!</definedName>
    <definedName name="Begesting">'[58]ANALISA  (BARU)'!$G$379</definedName>
    <definedName name="BegestingDinding">#REF!</definedName>
    <definedName name="Begisting">#REF!</definedName>
    <definedName name="BEGISTING_BALOK">[18]ANALISA1!$J$165</definedName>
    <definedName name="BEGISTING_KOLOM">[18]ANALISA1!$J$153</definedName>
    <definedName name="begisting_kolom_balok">#REF!</definedName>
    <definedName name="BEGISTING_LANTAI">[18]ANALISA1!$J$177</definedName>
    <definedName name="begisting_pancang_beton">#REF!</definedName>
    <definedName name="begisting_plat">#REF!</definedName>
    <definedName name="BEGISTING_PONDASI">[18]ANALISA1!$J$132</definedName>
    <definedName name="BEGISTING_SLOEF">[18]ANALISA1!$J$141</definedName>
    <definedName name="BekestingBalok">'[18]ANALISA SNI''13 '!$I$756</definedName>
    <definedName name="BekestingDinding">'[18]ANALISA SNI''13 '!$I$781</definedName>
    <definedName name="BekestingKolom">'[18]ANALISA SNI''13 '!$I$744</definedName>
    <definedName name="BekestingLantai">'[18]ANALISA SNI''13 '!$I$768</definedName>
    <definedName name="BekestingPondasi">'[18]ANALISA SNI''13 '!$I$723</definedName>
    <definedName name="BekestingSloof">'[18]ANALISA SNI''13 '!$I$732</definedName>
    <definedName name="BekestingTangga">'[18]ANALISA SNI''13 '!$I$793</definedName>
    <definedName name="bekis">#REF!</definedName>
    <definedName name="bekist">#REF!</definedName>
    <definedName name="bekisting">#REF!</definedName>
    <definedName name="bekistingklpraktis">#REF!</definedName>
    <definedName name="bekistingsederhana">#REF!</definedName>
    <definedName name="benang">#REF!</definedName>
    <definedName name="BENANGAN">#REF!</definedName>
    <definedName name="benangan_sudut">#REF!</definedName>
    <definedName name="benangan13">#REF!</definedName>
    <definedName name="bendrat">#REF!</definedName>
    <definedName name="bendrat_pembesian">[57]analisa!#REF!</definedName>
    <definedName name="bengkirai">[48]harga!$F$106</definedName>
    <definedName name="bengkirai.1">#REF!</definedName>
    <definedName name="bengkirai.2">#REF!</definedName>
    <definedName name="bengkirai.3">#REF!</definedName>
    <definedName name="bensin">#REF!</definedName>
    <definedName name="besi">#REF!</definedName>
    <definedName name="Besi_Aluminiun">'[9]AN-SNI'!#REF!</definedName>
    <definedName name="Besi_baut">#REF!</definedName>
    <definedName name="besi_begel">#REF!</definedName>
    <definedName name="besi_bet">#REF!</definedName>
    <definedName name="besi_beto_polos">'[57]Harga Satuan Dasar'!#REF!</definedName>
    <definedName name="Besi_beton">'[81]RANGE BAHAN'!$B$31:$C$31</definedName>
    <definedName name="besi_beton_polos_pembesian">[57]analisa!#REF!</definedName>
    <definedName name="Besi_beton_ulir">#REF!</definedName>
    <definedName name="besi_beugel">'[57]Harga Satuan Dasar'!#REF!</definedName>
    <definedName name="besi_c">#REF!</definedName>
    <definedName name="BESI_C200X100X55X8">#REF!</definedName>
    <definedName name="Besi_gorong2_sd45">#REF!</definedName>
    <definedName name="Besi_Pipa_Galvanis_2">'[57]Harga Satuan Dasar'!#REF!</definedName>
    <definedName name="Besi_Pipa_Galvanis_20">'[57]Harga Satuan Dasar'!#REF!</definedName>
    <definedName name="besi_plat">'[57]Harga Satuan Dasar'!#REF!</definedName>
    <definedName name="besi_plat_pintu1">#REF!</definedName>
    <definedName name="besi_plat_pintu2">#REF!</definedName>
    <definedName name="besi_plat2">#REF!</definedName>
    <definedName name="besi_plat3">#REF!</definedName>
    <definedName name="besi_siku">#REF!</definedName>
    <definedName name="besi_siku_pintu1">#REF!</definedName>
    <definedName name="besi_siku_pintu2">#REF!</definedName>
    <definedName name="BESI_SIKU40X80X4">#REF!</definedName>
    <definedName name="besi_strand">[45]HARSAT!#REF!</definedName>
    <definedName name="besi_tulangan">#REF!</definedName>
    <definedName name="besi_wf">#REF!</definedName>
    <definedName name="BESI_WF200X100X55X8">#REF!</definedName>
    <definedName name="besibeton">[88]ANALISA!#REF!</definedName>
    <definedName name="betagum">#REF!</definedName>
    <definedName name="Beton">'[9]AN-SNI'!#REF!</definedName>
    <definedName name="beton.k.225">'[76]ANALISA-1'!#REF!</definedName>
    <definedName name="beton.k.bo">'[76]ANALISA-1'!#REF!</definedName>
    <definedName name="beton_123">#REF!</definedName>
    <definedName name="beton_350_B160">[57]analisa!#REF!</definedName>
    <definedName name="Beton_gorong2_45sd75">#REF!</definedName>
    <definedName name="Beton_gorong2_75sd120">#REF!</definedName>
    <definedName name="Beton_gorong2_sd45">#REF!</definedName>
    <definedName name="BETON_K175">[18]ANALISA1!$J$97</definedName>
    <definedName name="beton_K225">[57]analisa!#REF!</definedName>
    <definedName name="Beton_k225_B130">[57]analisa!#REF!</definedName>
    <definedName name="BETON_K275">[18]ANALISA1!$J$115</definedName>
    <definedName name="beton_K350">#REF!</definedName>
    <definedName name="beton_K350_B160">[57]analisa!#REF!</definedName>
    <definedName name="beton_K350_B240">[57]analisa!#REF!</definedName>
    <definedName name="BETON_LISPLANG">#REF!</definedName>
    <definedName name="beton_patok_hektometer">#REF!</definedName>
    <definedName name="beton_patok_kilometer">#REF!</definedName>
    <definedName name="beton_patok_pengarah">#REF!</definedName>
    <definedName name="beton_rabat">#REF!</definedName>
    <definedName name="BETON_RABAT_LANTAI_KERJA">[18]ANALISA1!$J$88</definedName>
    <definedName name="beton123">#REF!</definedName>
    <definedName name="Beton124">'[18]ANALISA SNI''13 '!$I$688</definedName>
    <definedName name="Beton135">'[18]ANALISA SNI''13 '!$I$670</definedName>
    <definedName name="betonbalok1530">#REF!</definedName>
    <definedName name="betonbalok2030">#REF!</definedName>
    <definedName name="betonbalok3060">#REF!</definedName>
    <definedName name="BetonCorPepalihan">'[18]ANALISA SNI''13 '!$I$1221</definedName>
    <definedName name="Betoneser">#REF!</definedName>
    <definedName name="BetonFe80">#REF!</definedName>
    <definedName name="BetonK175">#REF!</definedName>
    <definedName name="BetonK225">'[18]ANALISA SNI''13 '!$I$697</definedName>
    <definedName name="BetonK275">'[18]ANALISA SNI''13 '!$I$706</definedName>
    <definedName name="BetonK275danBegesting">#REF!</definedName>
    <definedName name="betonk300">#REF!</definedName>
    <definedName name="betonkolom1515">#REF!</definedName>
    <definedName name="betonkolom3040">#REF!</definedName>
    <definedName name="betonlisplank">#REF!</definedName>
    <definedName name="betonplatdeck">#REF!</definedName>
    <definedName name="betonpor">#REF!</definedName>
    <definedName name="BetonSiklup">#REF!</definedName>
    <definedName name="betonslof2540">#REF!</definedName>
    <definedName name="betonstrous">#REF!</definedName>
    <definedName name="betul">#REF!</definedName>
    <definedName name="Beugeul_Kuda_kuda">'[20]Daftar Harga'!$G$230</definedName>
    <definedName name="bevel_kaca">#REF!</definedName>
    <definedName name="bfhg">'[59]div-2'!#REF!</definedName>
    <definedName name="bgkrbekisting">[88]ANALISA!#REF!</definedName>
    <definedName name="bh">#REF!</definedName>
    <definedName name="BHN">#REF!</definedName>
    <definedName name="BHN13B1">#REF!</definedName>
    <definedName name="BHNKCM">#REF!</definedName>
    <definedName name="BHNPAP">#REF!</definedName>
    <definedName name="BHNRY">#REF!</definedName>
    <definedName name="BHNTAL">#REF!</definedName>
    <definedName name="BHNTB">#REF!</definedName>
    <definedName name="BHNTN">#REF!</definedName>
    <definedName name="bibit_penanaman_pohon">#REF!</definedName>
    <definedName name="bikesting">#REF!</definedName>
    <definedName name="binjai.xls" hidden="1">[89]H.Satuan!#REF!</definedName>
    <definedName name="BJ">#REF!</definedName>
    <definedName name="bj_abu_batu">#REF!</definedName>
    <definedName name="bj_aspal">#REF!</definedName>
    <definedName name="BJ_ATB">#REF!</definedName>
    <definedName name="bj_besi">#REF!</definedName>
    <definedName name="bj_beton">#REF!</definedName>
    <definedName name="bj_halus">#REF!</definedName>
    <definedName name="bj_kasar">#REF!</definedName>
    <definedName name="bj_tulangan">#REF!</definedName>
    <definedName name="bjbaja">#REF!</definedName>
    <definedName name="bjtul">#REF!</definedName>
    <definedName name="BK">'[90]I-KAMAR'!#REF!</definedName>
    <definedName name="BKF">#REF!</definedName>
    <definedName name="BKFPEN">'[57]RAB lama'!#REF!</definedName>
    <definedName name="Bkud2">'[18]ANALISA SNI''13 '!$I$477</definedName>
    <definedName name="BL_1">[66]HARGA!$G$23</definedName>
    <definedName name="BL_1_X_36">'[20]Daftar Harga'!#REF!</definedName>
    <definedName name="BL_2">[66]HARGA!$G$24</definedName>
    <definedName name="BL_3">[66]HARGA!$G$25</definedName>
    <definedName name="BL_4">[66]HARGA!$G$26</definedName>
    <definedName name="BL_5">[66]HARGA!$G$27</definedName>
    <definedName name="BL_6">[66]HARGA!#REF!</definedName>
    <definedName name="BL_7">[66]HARGA!$G$29</definedName>
    <definedName name="blader_">#REF!</definedName>
    <definedName name="blader_pintu1">#REF!</definedName>
    <definedName name="blader_pintu2">#REF!</definedName>
    <definedName name="bmcb">#REF!</definedName>
    <definedName name="BngkrKudaTdkDipki">'[58]ANALISA  (BARU)'!$G$755</definedName>
    <definedName name="BngkrPlafonTdkDipaki">'[58]ANALISA  (BARU)'!$G$747</definedName>
    <definedName name="BnkrRngkAtapTdkDipaki">'[58]ANALISA  (BARU)'!$G$739</definedName>
    <definedName name="BNL_1">[66]HARGA!$G$32</definedName>
    <definedName name="BNL_2">[66]HARGA!$G$33</definedName>
    <definedName name="BNL_3">[66]HARGA!$G$34</definedName>
    <definedName name="BNL_4">[66]HARGA!$G$35</definedName>
    <definedName name="BNL_5">[66]HARGA!#REF!</definedName>
    <definedName name="BNY">#REF!</definedName>
    <definedName name="BOBME">#REF!</definedName>
    <definedName name="bobos">[48]harga!$F$25</definedName>
    <definedName name="BOBPUM">#REF!</definedName>
    <definedName name="BOBSIP">#REF!</definedName>
    <definedName name="BODEM2KG">'[91]H Satuan'!$F$36</definedName>
    <definedName name="BODEM5KG">'[91]H Satuan'!$F$35</definedName>
    <definedName name="Bola_lampu_25_watt">#REF!</definedName>
    <definedName name="BONGKAR_BETON_BERTULANG">#REF!</definedName>
    <definedName name="Bongkar_dan_pasang_Daun_Jendela">'[58]ANALISA  (BARU)'!$G$771</definedName>
    <definedName name="BONGKAR_DINDING">#REF!</definedName>
    <definedName name="bongkar_gorong2">#REF!</definedName>
    <definedName name="bONGKAR_JEMBATAN">#REF!</definedName>
    <definedName name="BONGKAR_TEMBOK_SETENGAH_BATA">#REF!</definedName>
    <definedName name="BongkarBeton">'[18]ANALISA SNI''13 '!$I$437</definedName>
    <definedName name="BongkarDinding">'[18]ANALISA SNI''13 '!$I$441</definedName>
    <definedName name="BongkarGenteng">'[18]ANALISA SNI''13 '!$I$453</definedName>
    <definedName name="BongkarKloset">#REF!</definedName>
    <definedName name="BongkarKuda">#REF!</definedName>
    <definedName name="BongkarKuda2">'[18]ANALISA SNI''13 '!$I$476</definedName>
    <definedName name="BongkarKusen">'[18]ANALISA SNI''13 '!$I$481</definedName>
    <definedName name="BongkarLantai">'[18]ANALISA SNI''13 '!$I$493</definedName>
    <definedName name="BongkarPlafond">'[18]ANALISA SNI''13 '!$I$468</definedName>
    <definedName name="BongkarRangkaAtap">'[18]ANALISA SNI''13 '!$I$460</definedName>
    <definedName name="BongkarSeng">'[18]ANALISA SNI''13 '!$I$449</definedName>
    <definedName name="BongkarTembok">'[92]ANALISA SNI''13 '!#REF!</definedName>
    <definedName name="BongkarTotal">'[18]ANALISA SNI''13 '!$I$445</definedName>
    <definedName name="BONGKOTAN">'[57]Harga Satuan Dasar'!#REF!</definedName>
    <definedName name="BongpasDaunJ">'[18]ANALISA SNI''13 '!$I$489</definedName>
    <definedName name="BonkrTembok">'[58]ANALISA  (BARU)'!$G$759</definedName>
    <definedName name="bouplank">[48]upah!$E$18</definedName>
    <definedName name="BOuWPLANK">#REF!</definedName>
    <definedName name="BOWPLANK">#REF!</definedName>
    <definedName name="BOX">#REF!</definedName>
    <definedName name="box_panel">#REF!</definedName>
    <definedName name="bp">'[93]HB '!#REF!</definedName>
    <definedName name="bpecah01">[71]harsat!#REF!</definedName>
    <definedName name="bpecah11">[71]harsat!#REF!</definedName>
    <definedName name="bpecah12">[71]harsat!#REF!</definedName>
    <definedName name="BPlaf2">'[18]ANALISA SNI''13 '!$I$469</definedName>
    <definedName name="BR">[94]HARSAT!$G$99</definedName>
    <definedName name="brc">#REF!</definedName>
    <definedName name="brhtakterampil">#REF!</definedName>
    <definedName name="brhterampil">#REF!</definedName>
    <definedName name="bs">[40]ANALISA!$K$101</definedName>
    <definedName name="bsbetonpolos">'[83]bahan+upah'!$E$39</definedName>
    <definedName name="bsbtn">#REF!</definedName>
    <definedName name="bsbtn10">#REF!</definedName>
    <definedName name="bsbtn12">#REF!</definedName>
    <definedName name="bsbtn13">#REF!</definedName>
    <definedName name="bsbtn16">#REF!</definedName>
    <definedName name="bsbtn19">#REF!</definedName>
    <definedName name="bsbtn22">#REF!</definedName>
    <definedName name="bsc">#REF!</definedName>
    <definedName name="bsplat">#REF!</definedName>
    <definedName name="bssiku">#REF!</definedName>
    <definedName name="bswf">#REF!</definedName>
    <definedName name="bswf150">#REF!</definedName>
    <definedName name="bt">'[40]DAFTAR UPAH DAN BAHAN'!#REF!</definedName>
    <definedName name="bt_gilang_jember">#REF!</definedName>
    <definedName name="bt_pec_mesin">#REF!</definedName>
    <definedName name="btblh">#REF!</definedName>
    <definedName name="BtBronjong">#REF!</definedName>
    <definedName name="btgebal">#REF!</definedName>
    <definedName name="BtHitamKrasem">'[18]ANALISA SNI''13 '!$I$2449</definedName>
    <definedName name="btk">'[40]DAFTAR UPAH DAN BAHAN'!#REF!</definedName>
    <definedName name="btkali">#REF!</definedName>
    <definedName name="BtKali11">'[18]ANALISA SNI''13 '!$I$570</definedName>
    <definedName name="BtKali12">'[18]ANALISA SNI''13 '!$I$579</definedName>
    <definedName name="BtKali13">'[18]ANALISA SNI''13 '!$I$588</definedName>
    <definedName name="BtKali15">'[18]ANALISA SNI''13 '!$I$597</definedName>
    <definedName name="BtKOsong">'[18]ANALISA SNI''13 '!$I$643</definedName>
    <definedName name="BtMerah12">'[18]ANALISA SNI''13 '!$I$1232</definedName>
    <definedName name="BtMerah13">'[18]ANALISA SNI''13 '!$I$1241</definedName>
    <definedName name="BtMerah15">'[18]ANALISA SNI''13 '!$I$1250</definedName>
    <definedName name="BtMerah15Pepalihan">'[18]ANALISA SNI''13 '!$I$1260</definedName>
    <definedName name="btn">[40]ANALISA!$K$89</definedName>
    <definedName name="BtnCor123">#REF!</definedName>
    <definedName name="BtnCorpepalihan">#REF!</definedName>
    <definedName name="Btncycloof">#REF!</definedName>
    <definedName name="btnrabat">#REF!</definedName>
    <definedName name="btnremik">[95]ANALISA!#REF!</definedName>
    <definedName name="BuangTanah150m">'[18]ANALISA SNI''13 '!$I$531</definedName>
    <definedName name="BUAT">[85]HARGA!$G$113</definedName>
    <definedName name="bubung">'[53]HB '!#REF!</definedName>
    <definedName name="bubungan">#REF!</definedName>
    <definedName name="bubungan_galvalum">#REF!</definedName>
    <definedName name="BUBUNGAN_GENTENG_BIASA">#REF!</definedName>
    <definedName name="BUBUNGAN_GENTENG_KODOK_KARANG_PILANG">[18]ANALISA1!$J$605</definedName>
    <definedName name="BUBUNGAN_GENTENG_METAL_BERPASIR">#REF!</definedName>
    <definedName name="Bubungan_karang_pilang_bambe">'[81]RANGE BAHAN'!$B$21:$C$21</definedName>
    <definedName name="Bubungan_Plentong">'[20]Daftar Harga'!#REF!</definedName>
    <definedName name="Bubunganbiasa">#REF!</definedName>
    <definedName name="BubunganPlentBiasa">'[18]ANALISA SNI''13 '!$I$1644</definedName>
    <definedName name="BubunganStelGlb">'[18]ANALISA SNI''13 '!$I$1660</definedName>
    <definedName name="bubungbtn">#REF!</definedName>
    <definedName name="budget" localSheetId="2">#REF!</definedName>
    <definedName name="budget" localSheetId="0">#REF!</definedName>
    <definedName name="budget">#REF!</definedName>
    <definedName name="BudgetCategory" localSheetId="2">#REF!</definedName>
    <definedName name="BudgetCategory" localSheetId="0">#REF!</definedName>
    <definedName name="BudgetCategory">#REF!</definedName>
    <definedName name="Buis_Beton_dia.20_cm__1m">'[20]Daftar Harga'!$G$220</definedName>
    <definedName name="Buis_Beton_Ø_30_cm">'[74]Daftar Harga Material'!$G$32</definedName>
    <definedName name="Buis_Beton_Ø_50_cm">'[74]Daftar Harga Material'!$G$33</definedName>
    <definedName name="Buis_beton_U_20">#REF!</definedName>
    <definedName name="Buis_beton_U_30">#REF!</definedName>
    <definedName name="Buis_beton_U_50">#REF!</definedName>
    <definedName name="Buis_beton_U20">#REF!</definedName>
    <definedName name="Buis_beton_U30">'[81]RANGE BAHAN'!$B$89:$C$89</definedName>
    <definedName name="Buis_beton_U50">'[81]RANGE BAHAN'!$B$90:$C$90</definedName>
    <definedName name="buisbetonu30">'[83]bahan+upah'!$E$54</definedName>
    <definedName name="buiso100">#REF!</definedName>
    <definedName name="buiso20">#REF!</definedName>
    <definedName name="buiso40">#REF!</definedName>
    <definedName name="buiso50">#REF!</definedName>
    <definedName name="buiso80">#REF!</definedName>
    <definedName name="buisu20">#REF!</definedName>
    <definedName name="buisu30">#REF!</definedName>
    <definedName name="buisu60">#REF!</definedName>
    <definedName name="BULL">#REF!</definedName>
    <definedName name="Bulldozer">#REF!</definedName>
    <definedName name="bur">#REF!</definedName>
    <definedName name="burtak">#REF!</definedName>
    <definedName name="buruh">[68]BASIC!$F$30</definedName>
    <definedName name="buruhtakterampil">#REF!</definedName>
    <definedName name="buruhterampil">#REF!</definedName>
    <definedName name="Bust">#N/A</definedName>
    <definedName name="bvd0.5">'[96]DAF-2'!#REF!</definedName>
    <definedName name="bvd1.25">'[96]DAF-2'!#REF!</definedName>
    <definedName name="bvd1.5">'[96]DAF-2'!#REF!</definedName>
    <definedName name="bwic_a">#REF!</definedName>
    <definedName name="bwic_b">#REF!</definedName>
    <definedName name="bwic_c">#REF!</definedName>
    <definedName name="C.">#REF!</definedName>
    <definedName name="C..">#REF!</definedName>
    <definedName name="C...">#REF!</definedName>
    <definedName name="C....">#REF!</definedName>
    <definedName name="c.1">#REF!</definedName>
    <definedName name="c.2">#REF!</definedName>
    <definedName name="c.3">#REF!</definedName>
    <definedName name="c.4">#REF!</definedName>
    <definedName name="c.5">#REF!</definedName>
    <definedName name="c.6">#REF!</definedName>
    <definedName name="C_">#REF!</definedName>
    <definedName name="c_1">#REF!</definedName>
    <definedName name="C_2">#REF!</definedName>
    <definedName name="C_MIXER">[84]HARGA!#REF!</definedName>
    <definedName name="C_VIBRATOR">[84]HARGA!#REF!</definedName>
    <definedName name="CAL">#REF!</definedName>
    <definedName name="calcium">#REF!</definedName>
    <definedName name="calcuim">#REF!</definedName>
    <definedName name="calendar" localSheetId="2">daysAndWks + CBI!dateOfFirst - WEEKDAY(CBI!dateOfFirst,2)</definedName>
    <definedName name="calendar" localSheetId="0">[97]!daysAndWks+'RAB '!dateOfFirst-WEEKDAY('RAB '!dateOfFirst,2)</definedName>
    <definedName name="calendar">daysAndWks+dateOfFirst-WEEKDAY(dateOfFirst,2)</definedName>
    <definedName name="calsiboard">#REF!</definedName>
    <definedName name="CAMPUR1">#REF!</definedName>
    <definedName name="campuranbeton">#REF!</definedName>
    <definedName name="canal150">#REF!</definedName>
    <definedName name="CANGKUL">'[91]H Satuan'!$F$33</definedName>
    <definedName name="casf80">#REF!</definedName>
    <definedName name="castello">#REF!</definedName>
    <definedName name="cat_baja_lama">#REF!</definedName>
    <definedName name="cat_besi">#REF!</definedName>
    <definedName name="Cat_Besi_Sieve">'[20]Daftar Harga'!$G$47</definedName>
    <definedName name="Cat_Dasar_ICI">'[20]Daftar Harga'!$G$59</definedName>
    <definedName name="Cat_dasar_kayu">'[81]RANGE BAHAN'!$B$99:$C$99</definedName>
    <definedName name="Cat_dasar_tembok">'[81]RANGE BAHAN'!$B$97:$C$97</definedName>
    <definedName name="CAT_DINDING">#REF!</definedName>
    <definedName name="Cat_Duco_DANALAC_Putih">'[20]Daftar Harga'!$G$48</definedName>
    <definedName name="Cat_emco">'[81]RANGE BAHAN'!$B$98:$C$98</definedName>
    <definedName name="CAT_EPOXY_PROPAN">#REF!</definedName>
    <definedName name="CAT_EXTERIOR_PROPAN">#REF!</definedName>
    <definedName name="CAT_INTERIOR_PROPAN">[18]ANALISA1!$J$863</definedName>
    <definedName name="cat_kayu">#REF!</definedName>
    <definedName name="CAT_KAYU_BARU">#REF!</definedName>
    <definedName name="CAT_KAYU_LAMA">#REF!</definedName>
    <definedName name="Cat_marka">#REF!</definedName>
    <definedName name="cat_marka_jalan">#REF!</definedName>
    <definedName name="Cat_meni">'[20]Daftar Harga'!$G$49</definedName>
    <definedName name="cat_patok_hektometer">#REF!</definedName>
    <definedName name="cat_patok_kilometer">#REF!</definedName>
    <definedName name="cat_patok_pengarah">#REF!</definedName>
    <definedName name="cat_pedang">'[86]BAHAN~'!#REF!</definedName>
    <definedName name="cat_plafond">#REF!</definedName>
    <definedName name="Cat_semprot">#REF!</definedName>
    <definedName name="cat_tembok">#REF!</definedName>
    <definedName name="CAT_TEMBOK_BARU">#REF!</definedName>
    <definedName name="Cat_tembok_Catylac_Putih">'[20]Daftar Harga'!#REF!</definedName>
    <definedName name="Cat_tembok_Catylac_Warna">'[20]Daftar Harga'!#REF!</definedName>
    <definedName name="Cat_tembok_decolith">'[81]RANGE BAHAN'!$B$96:$C$96</definedName>
    <definedName name="Cat_tembok_ICI_Putih_Exterior">'[20]Daftar Harga'!$G$42</definedName>
    <definedName name="Cat_tembok_ICI_Putih_Interior">'[20]Daftar Harga'!$G$44</definedName>
    <definedName name="Cat_tembok_ICI_Warna_Exterior">'[20]Daftar Harga'!$G$43</definedName>
    <definedName name="Cat_tembok_ICI_Warna_Interior">'[20]Daftar Harga'!$G$45</definedName>
    <definedName name="CAT_TEMBOK_LAMA">#REF!</definedName>
    <definedName name="Cat_tembok_Q_Luc_PAR">'[20]Daftar Harga'!#REF!</definedName>
    <definedName name="Cat_tembok_Vinilex">'[20]Daftar Harga'!#REF!</definedName>
    <definedName name="Cat1xjarum">#REF!</definedName>
    <definedName name="Cat1xKyu">#REF!</definedName>
    <definedName name="Cat1xvinil">#REF!</definedName>
    <definedName name="CatBaja">'[18]ANALISA SNI''13 '!$I$2154</definedName>
    <definedName name="catbesi">#REF!</definedName>
    <definedName name="catdinding">[48]harga!$F$55</definedName>
    <definedName name="catepoxy">#REF!</definedName>
    <definedName name="catgenteng">#REF!</definedName>
    <definedName name="CatKansten">#REF!</definedName>
    <definedName name="catkayu">#REF!</definedName>
    <definedName name="CatKayuBaru">'[18]ANALISA SNI''13 '!$I$2093</definedName>
    <definedName name="CatKayuLama">'[18]ANALISA SNI''13 '!$I$2139</definedName>
    <definedName name="CatKAyuUlang">'[58]ANALISA  (BARU)'!$G$688</definedName>
    <definedName name="CatKyu">#REF!</definedName>
    <definedName name="catluar">[48]harga!$F$58</definedName>
    <definedName name="catmeni">#REF!</definedName>
    <definedName name="cattbk">#REF!</definedName>
    <definedName name="CatTembokBaru">#REF!</definedName>
    <definedName name="CatTembokBaruJarum">'[18]ANALISA SNI''13 '!$I$2082</definedName>
    <definedName name="CatTembokBaruVinileks">'[18]ANALISA SNI''13 '!$I$2072</definedName>
    <definedName name="Cattembokjarum">#REF!</definedName>
    <definedName name="CatTembokUlang">#REF!</definedName>
    <definedName name="CatTembokUlangJarum">'[18]ANALISA SNI''13 '!$I$2130</definedName>
    <definedName name="CatTembokUlangV">#REF!</definedName>
    <definedName name="CatTembokUlangVinileks">'[18]ANALISA SNI''13 '!$I$2121</definedName>
    <definedName name="CattembokVinil">#REF!</definedName>
    <definedName name="CatTmbok">'[58]ANALISA  (BARU)'!$G$666</definedName>
    <definedName name="Catulangjarum">#REF!</definedName>
    <definedName name="CatUlangKyu">#REF!</definedName>
    <definedName name="Catulangtembkvinil">#REF!</definedName>
    <definedName name="cb0">'[59]div-8'!#REF!</definedName>
    <definedName name="CC_06">'[2]LAL - PASAR PAGI '!$G$61</definedName>
    <definedName name="CCCC" hidden="1">[12]LOADDAT!#REF!</definedName>
    <definedName name="CCCCCC" hidden="1">[12]LOADDAT!#REF!</definedName>
    <definedName name="cco">#REF!</definedName>
    <definedName name="CDL">#REF!</definedName>
    <definedName name="CE">#REF!</definedName>
    <definedName name="Ceiling_Lamp_2_x_18_watt">'[20]Daftar Harga'!#REF!</definedName>
    <definedName name="cek">[14]Rekap!$H$28</definedName>
    <definedName name="cemara">'[61]HB '!$F$184</definedName>
    <definedName name="Cemara_Papua_t._200_cm">'[20]Daftar Harga'!$G$426</definedName>
    <definedName name="Cendrawasih_t._70_cm">'[20]Daftar Harga'!$G$431</definedName>
    <definedName name="cenposalm">#REF!</definedName>
    <definedName name="cenposstel">#REF!</definedName>
    <definedName name="cerobong">#REF!</definedName>
    <definedName name="cet">#REF!</definedName>
    <definedName name="CF">#REF!</definedName>
    <definedName name="cf.2">#REF!</definedName>
    <definedName name="Chain_shaw">#REF!</definedName>
    <definedName name="chain_shaw_penebangan_pohon_dia_3_0">#REF!</definedName>
    <definedName name="chain_shaw_penebangan_pohon_dia_5_0">#REF!</definedName>
    <definedName name="Clamp_Sadle_PE_2_ke_1">'[20]Daftar Harga'!$G$310</definedName>
    <definedName name="Closed_duduk_komplit_INA">'[81]RANGE BAHAN'!$B$68:$C$68</definedName>
    <definedName name="Closed_duduk_mono_blok_toto">#REF!</definedName>
    <definedName name="Closed_jongkok_INA">'[81]RANGE BAHAN'!$B$67:$C$67</definedName>
    <definedName name="CLUBHOUSE">#REF!</definedName>
    <definedName name="COATING">[18]ANALISA1!$J$931</definedName>
    <definedName name="Coating_lose">#REF!</definedName>
    <definedName name="coba" hidden="1">'[98]SITE-E'!$AI$33:$AI$144</definedName>
    <definedName name="ColumnTitle1" localSheetId="2">#REF!</definedName>
    <definedName name="ColumnTitle1" localSheetId="0">#REF!</definedName>
    <definedName name="ColumnTitle1">#REF!</definedName>
    <definedName name="ColumnTitleRegion1..B12.1" localSheetId="2">#REF!</definedName>
    <definedName name="ColumnTitleRegion1..B12.1" localSheetId="0">#REF!</definedName>
    <definedName name="ColumnTitleRegion1..B12.1">#REF!</definedName>
    <definedName name="ColumnTitleRegion2..E12.1" localSheetId="2">#REF!</definedName>
    <definedName name="ColumnTitleRegion2..E12.1" localSheetId="0">#REF!</definedName>
    <definedName name="ColumnTitleRegion2..E12.1">#REF!</definedName>
    <definedName name="COMPACT">#REF!</definedName>
    <definedName name="Company_Name" localSheetId="2">#REF!</definedName>
    <definedName name="Company_Name" localSheetId="0">#REF!</definedName>
    <definedName name="Company_Name">#REF!</definedName>
    <definedName name="compr">#REF!</definedName>
    <definedName name="COMPRES">#REF!</definedName>
    <definedName name="compresor">#REF!</definedName>
    <definedName name="compresor_marka_jalan">#REF!</definedName>
    <definedName name="compresor_prime_coat">#REF!</definedName>
    <definedName name="compresor_tack_coat">#REF!</definedName>
    <definedName name="Compressor">#REF!</definedName>
    <definedName name="COMPRESSOR_HAMPAR_AC">[56]ANALIS!#REF!</definedName>
    <definedName name="Computer1">#REF!</definedName>
    <definedName name="con_mix_0.5">#REF!</definedName>
    <definedName name="con_vibra">#REF!</definedName>
    <definedName name="concrete_mixer">#REF!</definedName>
    <definedName name="concrete_mixer_B_0">#REF!</definedName>
    <definedName name="concrete_mixer_batu_kali">#REF!</definedName>
    <definedName name="concrete_mixer_ctsb">#REF!</definedName>
    <definedName name="concrete_mixer_K_1_2_5">#REF!</definedName>
    <definedName name="concrete_mixer_K_2_2_5">#REF!</definedName>
    <definedName name="concrete_vibrator_B_0">#REF!</definedName>
    <definedName name="concrete_vibrator_ctsb">#REF!</definedName>
    <definedName name="concrete_vibrator_K_1_2_5">#REF!</definedName>
    <definedName name="concrete_vibrator_K_2_2_5">#REF!</definedName>
    <definedName name="Concrette_mixer_PAsang_batu_mortar">#REF!</definedName>
    <definedName name="concrette_vb">'[57]Harga Satuan Dasar'!#REF!</definedName>
    <definedName name="concrette_vb_beton_K225">[57]analisa!#REF!</definedName>
    <definedName name="concrette_vb_beton_k350">[57]analisa!#REF!</definedName>
    <definedName name="Concrette_vibrator">#REF!</definedName>
    <definedName name="conrette_vb">'[57]Harga Satuan Dasar'!#REF!</definedName>
    <definedName name="Continue">#N/A</definedName>
    <definedName name="COV">'[99]metode '!#REF!</definedName>
    <definedName name="cp">[48]harga!$F$60</definedName>
    <definedName name="CR_ALL">#REF!</definedName>
    <definedName name="Crane">[100]harga!$D$77</definedName>
    <definedName name="crane_pancang_beton">#REF!</definedName>
    <definedName name="crusher">#REF!</definedName>
    <definedName name="CUL">#REF!</definedName>
    <definedName name="culvert_distance">#REF!</definedName>
    <definedName name="cupper">#REF!</definedName>
    <definedName name="curb_t_50">#REF!</definedName>
    <definedName name="curb_t_60">#REF!</definedName>
    <definedName name="currentweek">[101]Prelim!$C$58</definedName>
    <definedName name="CV">#REF!</definedName>
    <definedName name="CV_PT">'[102]Rekap '!$C$44</definedName>
    <definedName name="cvdc">'[59]div-8'!#REF!</definedName>
    <definedName name="cvz">'[59]div-7'!#REF!</definedName>
    <definedName name="cxv">'[59]div-7'!#REF!</definedName>
    <definedName name="Cycloop">'[18]ANALISA SNI''13 '!$I$609</definedName>
    <definedName name="czcz">'[59]div-7'!#REF!</definedName>
    <definedName name="D">#REF!</definedName>
    <definedName name="d.1">#REF!</definedName>
    <definedName name="d.2">#REF!</definedName>
    <definedName name="d.3">#REF!</definedName>
    <definedName name="d.4">#REF!</definedName>
    <definedName name="d.5">#REF!</definedName>
    <definedName name="d.6">#REF!</definedName>
    <definedName name="D_1">#REF!</definedName>
    <definedName name="Daa">'[59]div-7'!#REF!</definedName>
    <definedName name="dada">'[59]div-7'!#REF!</definedName>
    <definedName name="DADFDD" hidden="1">[72]Aggr!$I$12:$I$20</definedName>
    <definedName name="Daf.4">#REF!</definedName>
    <definedName name="DAF_10">#REF!</definedName>
    <definedName name="DAF_12">'[60]daf-7(OK)'!#REF!</definedName>
    <definedName name="DAF_4">#REF!</definedName>
    <definedName name="DAF_6">'[60]daf-3(OK)'!#REF!</definedName>
    <definedName name="Daf_mat">[103]Pipe!$A$12:$I$33</definedName>
    <definedName name="Daf_mt">[103]Pipe!$A$1:$IV$10</definedName>
    <definedName name="dak">#REF!</definedName>
    <definedName name="Damar_t._300_cm">'[20]Daftar Harga'!$G$423</definedName>
    <definedName name="damp_truck_agregat_A_pelebaran">#REF!</definedName>
    <definedName name="DAS">'[59]div-7'!#REF!</definedName>
    <definedName name="dasd">'[73]div-8'!#REF!</definedName>
    <definedName name="DASDD" hidden="1">[72]Aggr!$H$12:$H$20</definedName>
    <definedName name="dasfva">'[59]div-7'!#REF!</definedName>
    <definedName name="DATA">[104]bahan!$A$7:$H$142</definedName>
    <definedName name="DATAUPAH">'[14]4-Basic Price'!$D$8:$F$38</definedName>
    <definedName name="Date" localSheetId="2">[105]!daysAndWks + CBI!DOF - WEEKDAY(CBI!DOF,2)</definedName>
    <definedName name="Date" localSheetId="0">daysAndWks+'RAB '!DOF-WEEKDAY('RAB '!DOF,2)</definedName>
    <definedName name="Date">daysAndWks+DOF-WEEKDAY(DOF,2)</definedName>
    <definedName name="dateOfFirst" localSheetId="2">DATE(#REF!,MONTH(#REF!),1)</definedName>
    <definedName name="dateOfFirst" localSheetId="0">DATE(#REF!,MONTH(#REF!),1)</definedName>
    <definedName name="dateOfFirst">DATE(#REF!,MONTH(#REF!),1)</definedName>
    <definedName name="daun_j1">[45]ANALISA!#REF!</definedName>
    <definedName name="DAUN_JENDELA_ALUMINIUM_KACA_BENING">#REF!</definedName>
    <definedName name="DAUN_JENDELA_KAYU_KACA">#REF!</definedName>
    <definedName name="daun_p1">[45]ANALISA!#REF!</definedName>
    <definedName name="daun_p2">[45]ANALISA!#REF!</definedName>
    <definedName name="DAUN_PINTU_ALUMINIUM_KACA_BENING">#REF!</definedName>
    <definedName name="DAUN_PINTU_ALUMINIUM_KACA_ES">#REF!</definedName>
    <definedName name="DAUN_PINTU_ALUMINIUM_SPANDREL">#REF!</definedName>
    <definedName name="DAUN_PINTU_PANIL_KAMPER">[18]ANALISA1!$J$430</definedName>
    <definedName name="DAUN_PINTU_PLYWOOD_LAPIS_ALUMINIUM">#REF!</definedName>
    <definedName name="DAUN_PINTU_PLYWOOD_RANGKAP">#REF!</definedName>
    <definedName name="daun_pintu_pvc_biasa">#REF!</definedName>
    <definedName name="daun_pintu_pvc_warna">#REF!</definedName>
    <definedName name="DAunpintjenkckamper">#REF!</definedName>
    <definedName name="DaunPintu">'[58]ANALISA  (BARU)'!$G$509</definedName>
    <definedName name="DAunpintujendkacajati">#REF!</definedName>
    <definedName name="DAX">#REF!</definedName>
    <definedName name="daysAndWks">COLUMN(OFFSET(INDIRECT("$A$1"),0,0,1,42))-1</definedName>
    <definedName name="DAYWORKS">#REF!</definedName>
    <definedName name="dbd.">'[59]div-7'!#REF!</definedName>
    <definedName name="dbnd">'[59]div-8'!#REF!</definedName>
    <definedName name="DBX">#REF!</definedName>
    <definedName name="dcszf">'[59]div-2'!#REF!</definedName>
    <definedName name="dcszv">'[59]div-7'!#REF!</definedName>
    <definedName name="DCX">#REF!</definedName>
    <definedName name="dd">'[106]Jenis Pengeluaran'!$B$2:$B$36</definedName>
    <definedName name="DDD">#REF!</definedName>
    <definedName name="DDFESF">'[73]div-8'!#REF!</definedName>
    <definedName name="DDX">#REF!</definedName>
    <definedName name="dempul">[45]HARSAT!#REF!</definedName>
    <definedName name="Dempul_Gypsum">'[20]Daftar Harga'!$G$132</definedName>
    <definedName name="Dempul_ISAMU">'[20]Daftar Harga'!$G$62</definedName>
    <definedName name="detib2100">#REF!</definedName>
    <definedName name="detib2120">#REF!</definedName>
    <definedName name="detib250">#REF!</definedName>
    <definedName name="detib260">#REF!</definedName>
    <definedName name="detib280">#REF!</definedName>
    <definedName name="dewatering">[57]analisa!#REF!</definedName>
    <definedName name="dewd">#REF!</definedName>
    <definedName name="df">'[40]DAFTAR UPAH DAN BAHAN'!$F$45</definedName>
    <definedName name="dfa">'[73]div-8'!#REF!</definedName>
    <definedName name="dfaa">'[107]Basic Price'!$F$12</definedName>
    <definedName name="dfaas">'[59]div-7'!#REF!</definedName>
    <definedName name="dfad">'[73]div-8'!#REF!</definedName>
    <definedName name="dfaf">[72]alat!$AW$30</definedName>
    <definedName name="dfardfwars">'[107]Basic Price'!$F$117</definedName>
    <definedName name="dfas">'[73]div-8'!#REF!</definedName>
    <definedName name="DFASD">'[73]div-8'!#REF!</definedName>
    <definedName name="DFASWEF">'[73]div-8'!#REF!</definedName>
    <definedName name="dfaswsd">'[73]div-8'!$A$1:$J$188</definedName>
    <definedName name="dfaw">'[73]div-8'!#REF!</definedName>
    <definedName name="dfdbf">'[59]Basic Price'!#REF!</definedName>
    <definedName name="DFDF">#REF!</definedName>
    <definedName name="DFDS">'[73]div-8'!#REF!</definedName>
    <definedName name="dfe">'[73]div-8'!#REF!</definedName>
    <definedName name="dfef">'[73]div-8'!#REF!</definedName>
    <definedName name="dfefr">'[73]div-8'!#REF!</definedName>
    <definedName name="dfefsd">'[73]div-8'!#REF!</definedName>
    <definedName name="dfereded">'[73]div-8'!#REF!</definedName>
    <definedName name="DFEW">'[73]div-8'!#REF!</definedName>
    <definedName name="dfewred">'[73]div-8'!#REF!</definedName>
    <definedName name="DFFD">'[59]div-5'!#REF!</definedName>
    <definedName name="DFGD">'[59]div-5'!#REF!</definedName>
    <definedName name="DFGDFGD">#REF!</definedName>
    <definedName name="dfgdfn">'[59]div-2'!#REF!</definedName>
    <definedName name="dfgdsawref">'[73]div-8'!#REF!</definedName>
    <definedName name="dfgergw">'[73]div-8'!#REF!</definedName>
    <definedName name="dfgva">[72]alat!$AW$25</definedName>
    <definedName name="dfhbhdf">'[59]div-8'!#REF!</definedName>
    <definedName name="dfsad">'[73]div-8'!$A$189:$J$376</definedName>
    <definedName name="dfsdf">'[73]div-8'!#REF!</definedName>
    <definedName name="DFSF">'[72]Basic Price'!$F$50</definedName>
    <definedName name="dfvgdsf">'[73]div-8'!#REF!</definedName>
    <definedName name="dfwef">'[73]div-8'!#REF!</definedName>
    <definedName name="dfwegfwre">'[73]div-8'!#REF!</definedName>
    <definedName name="DGDG">#REF!</definedName>
    <definedName name="dgk">#REF!</definedName>
    <definedName name="di">'[108]Kuantitas &amp; Harga'!#REF!</definedName>
    <definedName name="Dibuat">#REF!</definedName>
    <definedName name="Dibulatkan">#REF!</definedName>
    <definedName name="DIN.BETON">[78]Analisa!$F$30</definedName>
    <definedName name="Dinding">'[9]AN-SNI'!#REF!</definedName>
    <definedName name="DindingBedeg">'[18]ANALISA SNI''13 '!$I$1298</definedName>
    <definedName name="DindingFe100">'[18]ANALISA SNI''13 '!$I$1085</definedName>
    <definedName name="DindingFe120">'[18]ANALISA SNI''13 '!$I$1087</definedName>
    <definedName name="DindingFe125">#REF!</definedName>
    <definedName name="DindingFe150">'[18]ANALISA SNI''13 '!$I$1079</definedName>
    <definedName name="DindingFe160">'[18]ANALISA SNI''13 '!$I$1088</definedName>
    <definedName name="DindingFe175">#REF!</definedName>
    <definedName name="DindingFe80">'[18]ANALISA SNI''13 '!$I$1086</definedName>
    <definedName name="Dindingpartisi">#REF!</definedName>
    <definedName name="DindingRoster">'[18]ANALISA SNI''13 '!$I$1288</definedName>
    <definedName name="DIR">'[109]HARGA SAT.'!$B$60</definedName>
    <definedName name="DIREKTUR">[85]HARGA!$C$121</definedName>
    <definedName name="DISPOSAL_DISTANCE">#REF!</definedName>
    <definedName name="divisi">#REF!</definedName>
    <definedName name="dka">#REF!</definedName>
    <definedName name="dkk">#REF!</definedName>
    <definedName name="dldl1100">'[110]Isolasi Luar Dalam'!$N$46</definedName>
    <definedName name="dldl160">'[110]Isolasi Luar Dalam'!$L$46</definedName>
    <definedName name="dldl180">'[110]Isolasi Luar Dalam'!$M$46</definedName>
    <definedName name="dldlg100">'[110]Isolasi Luar Dalam'!$N$23</definedName>
    <definedName name="dllg100">'[110]Isolasi Luar'!$N$342</definedName>
    <definedName name="dllg120">'[110]Isolasi Luar'!$O$342</definedName>
    <definedName name="dllg50">'[110]Isolasi Luar'!$K$342</definedName>
    <definedName name="dllg60">'[110]Isolasi Luar'!$L$342</definedName>
    <definedName name="dllg80">'[110]Isolasi Luar'!$M$342</definedName>
    <definedName name="dlpar38120">#REF!</definedName>
    <definedName name="dlplc13w">#REF!</definedName>
    <definedName name="dlplc13wbimc">#REF!</definedName>
    <definedName name="dn_pTeakwood">#REF!</definedName>
    <definedName name="DNJENDELAJATI65X120">#REF!</definedName>
    <definedName name="DNJENDELAKAMPER65X120">#REF!</definedName>
    <definedName name="DNJENDELAKAMPER80X165">#REF!</definedName>
    <definedName name="DNPINTUJATIKACA121X225">#REF!</definedName>
    <definedName name="DNPINTUKAMPERKACA121X225">#REF!</definedName>
    <definedName name="DNPINTUPANILJATI80X2110">#REF!</definedName>
    <definedName name="DNPINTUPANILKAMPER80X120">#REF!</definedName>
    <definedName name="DNPINTUPANILKAMPER80X2110">#REF!</definedName>
    <definedName name="dnpntalm">#REF!</definedName>
    <definedName name="do">[111]H_SATUAN!$G$45</definedName>
    <definedName name="DO_4_NEW_60_W">'[20]Daftar Harga'!#REF!</definedName>
    <definedName name="DO_6_RSL_E_27_100_watt">'[20]Daftar Harga'!#REF!</definedName>
    <definedName name="doc">{"Book1","4.09 FLORA DAN FAUNA.xls","4.22 PERLENGKAPAN SEKOLAH.xls"}</definedName>
    <definedName name="docr">{"Book1","4.09 FLORA DAN FAUNA.xls","4.22 PERLENGKAPAN SEKOLAH.xls"}</definedName>
    <definedName name="docter">{"Book1","4.09 FLORA DAN FAUNA.xls","4.22 PERLENGKAPAN SEKOLAH.xls"}</definedName>
    <definedName name="Document_array">{"Book1","4.09 FLORA DAN FAUNA.xls","4.22 PERLENGKAPAN SEKOLAH.xls"}</definedName>
    <definedName name="Documents_array">#N/A</definedName>
    <definedName name="DODOL">#REF!</definedName>
    <definedName name="DOF" localSheetId="2">DATE(#REF!,MONTH(#REF!),1)</definedName>
    <definedName name="DOF" localSheetId="0">DATE(#REF!,MONTH(#REF!),1)</definedName>
    <definedName name="DOF">DATE(#REF!,MONTH(#REF!),1)</definedName>
    <definedName name="DOLKEN">[85]HARGA!#REF!</definedName>
    <definedName name="Dolocide">#REF!</definedName>
    <definedName name="DOMBA">#REF!</definedName>
    <definedName name="DOORCLOSER">[18]ANALISA1!$J$1030</definedName>
    <definedName name="Doorcloser_SES">'[20]Daftar Harga'!#REF!</definedName>
    <definedName name="Down_Light_Artolite">'[20]Daftar Harga'!#REF!</definedName>
    <definedName name="Down_Light_biasa">'[20]Daftar Harga'!#REF!</definedName>
    <definedName name="Down_Light_kecil">'[20]Daftar Harga'!#REF!</definedName>
    <definedName name="dozr">#REF!</definedName>
    <definedName name="dpa">#REF!</definedName>
    <definedName name="DPjatialum">#REF!</definedName>
    <definedName name="dpk">#REF!</definedName>
    <definedName name="DPkrepyak">#REF!</definedName>
    <definedName name="DPTrip">#REF!</definedName>
    <definedName name="DPtripalum">#REF!</definedName>
    <definedName name="DPtripdouble">#REF!</definedName>
    <definedName name="DR">#REF!</definedName>
    <definedName name="Drain">#REF!</definedName>
    <definedName name="DRAINASE">#REF!</definedName>
    <definedName name="DrainBuis50cm">#REF!</definedName>
    <definedName name="dre">{"Book1","4.09 FLORA DAN FAUNA.xls","4.22 PERLENGKAPAN SEKOLAH.xls"}</definedName>
    <definedName name="drilb2100">#REF!</definedName>
    <definedName name="drilb2120">#REF!</definedName>
    <definedName name="drilb250">#REF!</definedName>
    <definedName name="drilb260">#REF!</definedName>
    <definedName name="drilb280">#REF!</definedName>
    <definedName name="drildl3a100">#REF!</definedName>
    <definedName name="drildl3a120">#REF!</definedName>
    <definedName name="drildl3a50">#REF!</definedName>
    <definedName name="drildl3a60">#REF!</definedName>
    <definedName name="drildl3a80">#REF!</definedName>
    <definedName name="drill1100">#REF!</definedName>
    <definedName name="drill1120">#REF!</definedName>
    <definedName name="drill150">#REF!</definedName>
    <definedName name="drill160">#REF!</definedName>
    <definedName name="drill180">#REF!</definedName>
    <definedName name="drill3100">#REF!</definedName>
    <definedName name="drill3120">#REF!</definedName>
    <definedName name="drill350">#REF!</definedName>
    <definedName name="drill360">#REF!</definedName>
    <definedName name="drill380">#REF!</definedName>
    <definedName name="drill5100">#REF!</definedName>
    <definedName name="drill5120">#REF!</definedName>
    <definedName name="drill550">#REF!</definedName>
    <definedName name="drill560">#REF!</definedName>
    <definedName name="drill580">#REF!</definedName>
    <definedName name="drill5a100">#REF!</definedName>
    <definedName name="drill5a120">#REF!</definedName>
    <definedName name="drill5a50">#REF!</definedName>
    <definedName name="drill5a60">#REF!</definedName>
    <definedName name="drill5a80">#REF!</definedName>
    <definedName name="drill6a100">#REF!</definedName>
    <definedName name="drill6a120">#REF!</definedName>
    <definedName name="drill6a50">#REF!</definedName>
    <definedName name="drill6a60">#REF!</definedName>
    <definedName name="drill6a80">#REF!</definedName>
    <definedName name="drillug100">#REF!</definedName>
    <definedName name="drillug120">#REF!</definedName>
    <definedName name="drillug50">#REF!</definedName>
    <definedName name="drillug60">#REF!</definedName>
    <definedName name="drillug80">#REF!</definedName>
    <definedName name="ds">{"Book1","4.09 FLORA DAN FAUNA.xls","4.22 PERLENGKAPAN SEKOLAH.xls"}</definedName>
    <definedName name="DSD">'[59]div-3'!#REF!</definedName>
    <definedName name="dsdasd">'[73]div-8'!#REF!</definedName>
    <definedName name="dsdsd">#REF!</definedName>
    <definedName name="dsfchg">'[73]div-8'!#REF!</definedName>
    <definedName name="dsfvsz">'[59]div-7'!#REF!</definedName>
    <definedName name="dsilb2100">#REF!</definedName>
    <definedName name="dsilb2120">#REF!</definedName>
    <definedName name="dsilb250">#REF!</definedName>
    <definedName name="dsilb260">#REF!</definedName>
    <definedName name="dsilb280">#REF!</definedName>
    <definedName name="dsildb2100">#REF!</definedName>
    <definedName name="dsildb2120">#REF!</definedName>
    <definedName name="dsildb250">#REF!</definedName>
    <definedName name="dsildb260">#REF!</definedName>
    <definedName name="dsildb280">#REF!</definedName>
    <definedName name="dsildl1100">#REF!</definedName>
    <definedName name="dsildl1120">#REF!</definedName>
    <definedName name="dsildl150">#REF!</definedName>
    <definedName name="dsildl160">#REF!</definedName>
    <definedName name="dsildl180">#REF!</definedName>
    <definedName name="dsildl3100">#REF!</definedName>
    <definedName name="dsildl3120">#REF!</definedName>
    <definedName name="dsildl350">#REF!</definedName>
    <definedName name="dsildl360">#REF!</definedName>
    <definedName name="dsildl380">#REF!</definedName>
    <definedName name="dsildl3a100">#REF!</definedName>
    <definedName name="dsildl3a120">#REF!</definedName>
    <definedName name="dsildl3a50">#REF!</definedName>
    <definedName name="dsildl3a60">#REF!</definedName>
    <definedName name="dsildl3a80">#REF!</definedName>
    <definedName name="dsildl5100">#REF!</definedName>
    <definedName name="dsildl5120">#REF!</definedName>
    <definedName name="dsildl550">#REF!</definedName>
    <definedName name="dsildl560">#REF!</definedName>
    <definedName name="dsildl580">#REF!</definedName>
    <definedName name="dsildl5a100">#REF!</definedName>
    <definedName name="dsildl5a120">#REF!</definedName>
    <definedName name="dsildl5a50">#REF!</definedName>
    <definedName name="dsildl5a60">#REF!</definedName>
    <definedName name="dsildl5a80">#REF!</definedName>
    <definedName name="dsildl6a100">#REF!</definedName>
    <definedName name="dsildl6a120">#REF!</definedName>
    <definedName name="dsildl6a50">#REF!</definedName>
    <definedName name="dsildl6a60">#REF!</definedName>
    <definedName name="dsildl6a80">#REF!</definedName>
    <definedName name="dsildlug100">#REF!</definedName>
    <definedName name="dsildlug120">#REF!</definedName>
    <definedName name="dsildlug50">#REF!</definedName>
    <definedName name="dsildlug60">#REF!</definedName>
    <definedName name="dsildlug80">#REF!</definedName>
    <definedName name="dsill1100">#REF!</definedName>
    <definedName name="dsill1120">#REF!</definedName>
    <definedName name="dsill150">#REF!</definedName>
    <definedName name="dsill160">#REF!</definedName>
    <definedName name="dsill180">#REF!</definedName>
    <definedName name="dsill3100">#REF!</definedName>
    <definedName name="dsill3120">#REF!</definedName>
    <definedName name="dsill350">#REF!</definedName>
    <definedName name="dsill360">#REF!</definedName>
    <definedName name="dsill380">#REF!</definedName>
    <definedName name="dsill3a100">#REF!</definedName>
    <definedName name="dsill3a120">#REF!</definedName>
    <definedName name="dsill3a50">#REF!</definedName>
    <definedName name="dsill3a60">#REF!</definedName>
    <definedName name="dsill3a80">#REF!</definedName>
    <definedName name="dsill5100">#REF!</definedName>
    <definedName name="dsill5120">#REF!</definedName>
    <definedName name="dsill550">#REF!</definedName>
    <definedName name="dsill560">#REF!</definedName>
    <definedName name="dsill580">#REF!</definedName>
    <definedName name="dsill5a100">#REF!</definedName>
    <definedName name="dsill5a120">#REF!</definedName>
    <definedName name="dsill5a50">#REF!</definedName>
    <definedName name="dsill5a60">#REF!</definedName>
    <definedName name="dsill5a80">#REF!</definedName>
    <definedName name="dsill6a100">#REF!</definedName>
    <definedName name="dsill6a120">#REF!</definedName>
    <definedName name="dsill6a50">#REF!</definedName>
    <definedName name="dsill6a60">#REF!</definedName>
    <definedName name="dsill6a80">#REF!</definedName>
    <definedName name="dsillug100">#REF!</definedName>
    <definedName name="dsillug120">#REF!</definedName>
    <definedName name="dsillug50">#REF!</definedName>
    <definedName name="dsillug60">#REF!</definedName>
    <definedName name="dsillug80">#REF!</definedName>
    <definedName name="dstib2100">#REF!</definedName>
    <definedName name="dstib2120">#REF!</definedName>
    <definedName name="dstib250">#REF!</definedName>
    <definedName name="dstib260">#REF!</definedName>
    <definedName name="dstib280">#REF!</definedName>
    <definedName name="DSW">'[73]div-8'!#REF!</definedName>
    <definedName name="dt_3">[68]BASIC!$F$58</definedName>
    <definedName name="dt_3.5">#REF!</definedName>
    <definedName name="dt_5">[68]BASIC!$F$59</definedName>
    <definedName name="dt_5T">#REF!</definedName>
    <definedName name="DT_6">#REF!</definedName>
    <definedName name="DT_8">#REF!</definedName>
    <definedName name="DT_AC">[56]ANALIS!#REF!</definedName>
    <definedName name="DT_angkut_keluar">'[67]ANALISA HARGA SAT.'!$J$79</definedName>
    <definedName name="dt_angkut_pembersihan">'[67]ANALISA HARGA SAT.'!$J$113</definedName>
    <definedName name="dt_gali_alat_B">'[67]ANALISA HARGA SAT.'!$J$31</definedName>
    <definedName name="DT_PEMBUANGAN">[56]ANALIS!#REF!</definedName>
    <definedName name="DT4m3">#REF!</definedName>
    <definedName name="DT8m3">#REF!</definedName>
    <definedName name="Dump_truck__gorong2_sd45">#REF!</definedName>
    <definedName name="DUMP_TRUCK__URUG_TANAH_BIASA">#REF!</definedName>
    <definedName name="dump_truck_AC">#REF!</definedName>
    <definedName name="dump_truck_ACL">#REF!</definedName>
    <definedName name="dump_truck_agregat_A_pelebaran">#REF!</definedName>
    <definedName name="dump_truck_agregat_A_peninggian">#REF!</definedName>
    <definedName name="dump_truck_agregat_B_pelebaran">#REF!</definedName>
    <definedName name="dump_truck_agregat_B_peninggian">#REF!</definedName>
    <definedName name="dump_truck_aspal_minor">#REF!</definedName>
    <definedName name="dump_truck_ATB">#REF!</definedName>
    <definedName name="dump_truck_ATBL">#REF!</definedName>
    <definedName name="dump_truck_bahu_jalan">#REF!</definedName>
    <definedName name="Dump_truck_galian_biasa">#REF!</definedName>
    <definedName name="dump_truck_galian_padas">#REF!</definedName>
    <definedName name="dump_truck_gorong2_45sd75">#REF!</definedName>
    <definedName name="dump_truck_gorong2_75sd120">#REF!</definedName>
    <definedName name="dump_truck_lapen">#REF!</definedName>
    <definedName name="dump_truck_macadam">#REF!</definedName>
    <definedName name="dump_truck_patok_hektometer">#REF!</definedName>
    <definedName name="dump_truck_patok_kilometer">#REF!</definedName>
    <definedName name="dump_truck_patok_pengarah">#REF!</definedName>
    <definedName name="Dump_truck_pembersihan_pembongkaran">#REF!</definedName>
    <definedName name="dump_truck_Pembongkaran_bangunan">#REF!</definedName>
    <definedName name="dump_truck_penebangan_pohon_dia_3_0">#REF!</definedName>
    <definedName name="dump_truck_penebangan_pohon_dia_5_0">#REF!</definedName>
    <definedName name="dump_truck_telford">#REF!</definedName>
    <definedName name="dump_truck_URUGAN_TANAH_PILIHAN">#REF!</definedName>
    <definedName name="dumptruck">#REF!</definedName>
    <definedName name="dvdxvb">'[59]div-7'!#REF!</definedName>
    <definedName name="dvzs">'[59]div-7'!#REF!</definedName>
    <definedName name="dynabolt">#REF!</definedName>
    <definedName name="e">#REF!</definedName>
    <definedName name="E.1">[112]ANALISA!$R$955</definedName>
    <definedName name="e.10">#REF!</definedName>
    <definedName name="e.11">#REF!</definedName>
    <definedName name="e.12">#REF!</definedName>
    <definedName name="e.13">#REF!</definedName>
    <definedName name="e.14">#REF!</definedName>
    <definedName name="e.15">#REF!</definedName>
    <definedName name="e.16">#REF!</definedName>
    <definedName name="e.17">#REF!</definedName>
    <definedName name="e.18">#REF!</definedName>
    <definedName name="e.2">#REF!</definedName>
    <definedName name="E.211">[113]Analisa_E!$J$1005</definedName>
    <definedName name="e.3">#REF!</definedName>
    <definedName name="e.4">#REF!</definedName>
    <definedName name="e.5">#REF!</definedName>
    <definedName name="e.6">#REF!</definedName>
    <definedName name="e.7">#REF!</definedName>
    <definedName name="e.8">#REF!</definedName>
    <definedName name="e.9">#REF!</definedName>
    <definedName name="E_1">#REF!</definedName>
    <definedName name="E_221">#REF!</definedName>
    <definedName name="E01_">'[114]Alat-3'!$I$8</definedName>
    <definedName name="E02_">'[114]Alat-3'!$I$9</definedName>
    <definedName name="E03_">'[114]Alat-3'!$I$10</definedName>
    <definedName name="E04_">'[114]Alat-3'!$I$11</definedName>
    <definedName name="E05_">'[114]Alat-3'!$I$12</definedName>
    <definedName name="E06_">'[114]Alat-3'!$I$13</definedName>
    <definedName name="E07_">'[114]Alat-3'!$I$14</definedName>
    <definedName name="E08_">'[114]Alat-3'!$I$15</definedName>
    <definedName name="E09_">'[114]Alat-3'!$I$16</definedName>
    <definedName name="E10_">'[114]Alat-3'!$I$17</definedName>
    <definedName name="E11_">'[114]Alat-3'!$I$18</definedName>
    <definedName name="E12_">'[114]Alat-3'!$I$19</definedName>
    <definedName name="E13_">'[114]Alat-3'!$I$20</definedName>
    <definedName name="E14_">'[114]Alat-3'!$I$21</definedName>
    <definedName name="E15_">'[114]Alat-3'!$I$22</definedName>
    <definedName name="E16_">'[114]Alat-3'!$I$23</definedName>
    <definedName name="E17_">'[114]Alat-3'!$I$24</definedName>
    <definedName name="E18_">'[114]Alat-3'!$I$25</definedName>
    <definedName name="E19_">'[114]Alat-3'!$I$26</definedName>
    <definedName name="E20_">'[114]Alat-3'!$I$27</definedName>
    <definedName name="E21_">'[114]Alat-3'!$I$28</definedName>
    <definedName name="E22_">'[114]Alat-3'!$I$29</definedName>
    <definedName name="E23_">'[114]Alat-3'!$I$30</definedName>
    <definedName name="E24_">'[114]Alat-3'!$I$31</definedName>
    <definedName name="E25_">'[114]Alat-3'!$I$32</definedName>
    <definedName name="E26_">'[114]Alat-3'!$I$33</definedName>
    <definedName name="E27_">'[114]Alat-3'!$I$34</definedName>
    <definedName name="E28_">'[114]Alat-3'!$I$35</definedName>
    <definedName name="E29_">'[114]Alat-3'!$I$36</definedName>
    <definedName name="E30_">'[114]Alat-3'!$I$37</definedName>
    <definedName name="E351.">#REF!</definedName>
    <definedName name="ea">[114]data!$B$10</definedName>
    <definedName name="EA1.1">#REF!</definedName>
    <definedName name="EA1.2">#REF!</definedName>
    <definedName name="EA1.3">#REF!</definedName>
    <definedName name="EA2.1">#REF!</definedName>
    <definedName name="EA2.2">#REF!</definedName>
    <definedName name="EA2.3">#REF!</definedName>
    <definedName name="EA2.5">#REF!</definedName>
    <definedName name="EA2.6">#REF!</definedName>
    <definedName name="EA2.7">#REF!</definedName>
    <definedName name="EA2.8">#REF!</definedName>
    <definedName name="EA21.1">#REF!</definedName>
    <definedName name="EA21.2">#REF!</definedName>
    <definedName name="EA21.3">#REF!</definedName>
    <definedName name="EA21.4">#REF!</definedName>
    <definedName name="EA21.5">#REF!</definedName>
    <definedName name="EA3.1">#REF!</definedName>
    <definedName name="EA3.2">#REF!</definedName>
    <definedName name="EA3.3">#REF!</definedName>
    <definedName name="EA3.4">#REF!</definedName>
    <definedName name="EB">#REF!</definedName>
    <definedName name="EB1.1">#REF!</definedName>
    <definedName name="EC1.1">#REF!</definedName>
    <definedName name="ED1.1">#REF!</definedName>
    <definedName name="edi">#REF!</definedName>
    <definedName name="EEE">[59]Rutin!#REF!</definedName>
    <definedName name="EEE06REV">'[115]5-Peralatan'!$AW$13</definedName>
    <definedName name="EEE09REV1">'[115]5-Peralatan'!$AW$16</definedName>
    <definedName name="EEE17REV">'[115]5-Peralatan'!$AW$24</definedName>
    <definedName name="EEE17REV1">'[115]5-Peralatan'!$AW$24</definedName>
    <definedName name="EEEEWW">'[59]div-2'!#REF!</definedName>
    <definedName name="eer">'[59]div-7'!#REF!</definedName>
    <definedName name="EEX">#REF!</definedName>
    <definedName name="EFX">#REF!</definedName>
    <definedName name="EGSPANOLET">#REF!</definedName>
    <definedName name="EGX">#REF!</definedName>
    <definedName name="EHX">#REF!</definedName>
    <definedName name="EJ">#REF!</definedName>
    <definedName name="EJX">#REF!</definedName>
    <definedName name="EKX">#REF!</definedName>
    <definedName name="ELASTOM">#REF!</definedName>
    <definedName name="elba">#REF!</definedName>
    <definedName name="elek">#REF!</definedName>
    <definedName name="ELEKTRIKAL">#REF!</definedName>
    <definedName name="elektroda">#REF!</definedName>
    <definedName name="elektroda_pintu1">#REF!</definedName>
    <definedName name="elektroda_pintu2">#REF!</definedName>
    <definedName name="Elektronik">#REF!</definedName>
    <definedName name="ELX">#REF!</definedName>
    <definedName name="End_Cap_PE_1">'[20]Daftar Harga'!$G$315</definedName>
    <definedName name="End_Cap_PE_2">'[20]Daftar Harga'!$G$313</definedName>
    <definedName name="engsel">#REF!</definedName>
    <definedName name="engsel_arch">#REF!</definedName>
    <definedName name="engsel_H">#REF!</definedName>
    <definedName name="ENGSEL_JENDELA">#REF!</definedName>
    <definedName name="Engsel_jendela_ARCH">'[81]RANGE BAHAN'!$B$83:$C$83</definedName>
    <definedName name="ENGSEL_PINTU">#REF!</definedName>
    <definedName name="Engsel_pintu_ARCH">'[81]RANGE BAHAN'!$B$84:$C$84</definedName>
    <definedName name="engselh">'[61]HB '!$F$176</definedName>
    <definedName name="EngselJendela">'[18]ANALISA SNI''13 '!$I$2177</definedName>
    <definedName name="engselkun">'[5]HB '!$F$177</definedName>
    <definedName name="EngselPintu">'[18]ANALISA SNI''13 '!$I$2170</definedName>
    <definedName name="eol">#REF!</definedName>
    <definedName name="EP">#REF!</definedName>
    <definedName name="EQE">'[59]div-2'!#REF!</definedName>
    <definedName name="eqeff">'[116]Basic Price'!$F$12</definedName>
    <definedName name="er">#REF!</definedName>
    <definedName name="erd">[117]BAHAN!$F$49</definedName>
    <definedName name="ERECT_1">#REF!</definedName>
    <definedName name="ERECT_2">#REF!</definedName>
    <definedName name="ERFE">'[59]div-7'!#REF!</definedName>
    <definedName name="erqwre">'[116]Basic Price'!$F$10</definedName>
    <definedName name="ERR">'[59]div-2'!#REF!</definedName>
    <definedName name="errt">'[107]Basic Price'!$F$8</definedName>
    <definedName name="errtwe">'[72]Basic Price'!$F$8</definedName>
    <definedName name="ERTR">'[118]Basic Price'!$F$12</definedName>
    <definedName name="ERWE">'[118]Basic Price'!$F$8</definedName>
    <definedName name="erwer">'[116]Basic Price'!$F$8</definedName>
    <definedName name="ESPAGNOLETH">#REF!</definedName>
    <definedName name="eternit">[71]harsat!$G$8</definedName>
    <definedName name="eternit__1x1">#REF!</definedName>
    <definedName name="Eternite_4_mm">'[20]Daftar Harga'!$G$122</definedName>
    <definedName name="EW">[59]Rutin!#REF!</definedName>
    <definedName name="ewd">[119]BAHAN!$F$215</definedName>
    <definedName name="EWEFTR">'[72]Basic Price'!$F$48</definedName>
    <definedName name="eweqw">'[116]Basic Price'!$F$8</definedName>
    <definedName name="EWEW">'[59]div-2'!#REF!</definedName>
    <definedName name="exc_gali_alat_b">'[67]ANALISA HARGA SAT.'!$J$32</definedName>
    <definedName name="exc_gali_ponton">'[67]ANALISA HARGA SAT.'!$J$39</definedName>
    <definedName name="exc_per_hr">#REF!</definedName>
    <definedName name="EXCAV">#REF!</definedName>
    <definedName name="Excavator">#REF!</definedName>
    <definedName name="excavator_ctsb">#REF!</definedName>
    <definedName name="excavator_galian_biasa">#REF!</definedName>
    <definedName name="excavator_pembersihan_pembongkaran">#REF!</definedName>
    <definedName name="excavator_Pembongkaran_bangunan">#REF!</definedName>
    <definedName name="Excel_BuiltIn__FilterDatabase_2">#REF!</definedName>
    <definedName name="Excel_BuiltIn_Print_Area_2">#REF!</definedName>
    <definedName name="Excel_BuiltIn_Print_Area_2_1">#REF!</definedName>
    <definedName name="Excel_BuiltIn_Print_Area_3">#REF!</definedName>
    <definedName name="Excel_BuiltIn_Print_Area_6">#REF!</definedName>
    <definedName name="Excel_BuiltIn_Print_Area_7">#REF!</definedName>
    <definedName name="Excel_BuiltIn_Print_Titles_1">#REF!</definedName>
    <definedName name="Excel_BuiltIn_Print_Titles_14">#REF!</definedName>
    <definedName name="Excel_BuiltIn_Print_Titles_2">#REF!</definedName>
    <definedName name="Excel_BuiltIn_Print_Titles_2_1">#REF!</definedName>
    <definedName name="Excel_BuiltIn_Print_Titles_3">#REF!</definedName>
    <definedName name="Excel_BuiltIn_Print_Titles_5">#REF!</definedName>
    <definedName name="Excel_BuiltIn_Print_Titles_7">#REF!</definedName>
    <definedName name="EXHASUT_CEILING_FAN">#REF!</definedName>
    <definedName name="Exhause_Fan_National_30_x_30">'[20]Daftar Harga'!$G$416</definedName>
    <definedName name="EXHAUST_WALL_FAN">#REF!</definedName>
    <definedName name="Expenditure" localSheetId="2">#REF!</definedName>
    <definedName name="Expenditure" localSheetId="0">#REF!</definedName>
    <definedName name="Expenditure">#REF!</definedName>
    <definedName name="EXTRA">#REF!</definedName>
    <definedName name="eyyujert">[120]alat!$AW$33</definedName>
    <definedName name="F">#REF!</definedName>
    <definedName name="f.1">#REF!</definedName>
    <definedName name="f.2">#REF!</definedName>
    <definedName name="f.3">#REF!</definedName>
    <definedName name="f.4">#REF!</definedName>
    <definedName name="f.5">#REF!</definedName>
    <definedName name="f.6">#REF!</definedName>
    <definedName name="f.7">#REF!</definedName>
    <definedName name="F_S">#REF!</definedName>
    <definedName name="F_SL">FST:(FSB)</definedName>
    <definedName name="faab">#REF!</definedName>
    <definedName name="fabrikasi_baja">#REF!</definedName>
    <definedName name="facm">#REF!</definedName>
    <definedName name="facp">#REF!</definedName>
    <definedName name="FADA" hidden="1">[72]Aggr!$G$12:$G$20</definedName>
    <definedName name="faeol">#REF!</definedName>
    <definedName name="fahd">#REF!</definedName>
    <definedName name="fahdt">#REF!</definedName>
    <definedName name="fahs">#REF!</definedName>
    <definedName name="fail">#REF!</definedName>
    <definedName name="faitc">#REF!</definedName>
    <definedName name="faki">#REF!</definedName>
    <definedName name="faktd">#REF!</definedName>
    <definedName name="Faktor">'[121]bhn FINAL'!$F$3</definedName>
    <definedName name="faktor_harsat">#REF!</definedName>
    <definedName name="faktor_keSALAHAN">#REF!</definedName>
    <definedName name="fall" hidden="1">#REF!</definedName>
    <definedName name="fam">#REF!</definedName>
    <definedName name="famcp">#REF!</definedName>
    <definedName name="faoi">#REF!</definedName>
    <definedName name="far">#REF!</definedName>
    <definedName name="fas">'[59]div-7'!#REF!</definedName>
    <definedName name="fasd">#REF!</definedName>
    <definedName name="fasdt">#REF!</definedName>
    <definedName name="fat">#REF!</definedName>
    <definedName name="fb">#REF!</definedName>
    <definedName name="fbsds">'[59]div-7'!#REF!</definedName>
    <definedName name="FBT">#REF!</definedName>
    <definedName name="FC">#REF!</definedName>
    <definedName name="FD">#REF!</definedName>
    <definedName name="FDF">'[59]div-3'!#REF!</definedName>
    <definedName name="FDFAS">'[73]div-8'!#REF!</definedName>
    <definedName name="FDG">[118]alat!$AW$17</definedName>
    <definedName name="FDrain">'[18]ANALISA SNI''13 '!$I$2327</definedName>
    <definedName name="FDS">'[118]Basic Price'!$F$60</definedName>
    <definedName name="fdv">'[59]div-2'!#REF!</definedName>
    <definedName name="Fe100Bbs">'[58]ANALISA  (BARU)'!$G$383</definedName>
    <definedName name="Fe100Jpt">'[58]ANALISA  (BARU)'!$G$393</definedName>
    <definedName name="Fe120Jpt">'[58]ANALISA  (BARU)'!$G$394</definedName>
    <definedName name="Fe150Bbs">'[58]ANALISA  (BARU)'!$G$385</definedName>
    <definedName name="Fe150Jpt">'[58]ANALISA  (BARU)'!$G$395</definedName>
    <definedName name="Fe175Bbs">'[58]ANALISA  (BARU)'!$G$386</definedName>
    <definedName name="Fe175Jpt">'[58]ANALISA  (BARU)'!$G$396</definedName>
    <definedName name="Fe175prak">#REF!</definedName>
    <definedName name="Fe175struk">#REF!</definedName>
    <definedName name="Fe200Bbs">'[58]ANALISA  (BARU)'!$G$387</definedName>
    <definedName name="Fe200Jpt">'[58]ANALISA  (BARU)'!$G$397</definedName>
    <definedName name="Fe250Bbs">'[58]ANALISA  (BARU)'!$G$388</definedName>
    <definedName name="Fe275Bbs">'[58]ANALISA  (BARU)'!$G$389</definedName>
    <definedName name="Fe275prak">#REF!</definedName>
    <definedName name="Fe275struk">#REF!</definedName>
    <definedName name="Fe80Bbs">'[58]ANALISA  (BARU)'!$G$382</definedName>
    <definedName name="feco25">#REF!</definedName>
    <definedName name="fedc2">#REF!</definedName>
    <definedName name="fedc35">#REF!</definedName>
    <definedName name="FEX">#REF!</definedName>
    <definedName name="FF">'[23]Harga Sat.'!#REF!</definedName>
    <definedName name="ffds">'[73]div-8'!#REF!</definedName>
    <definedName name="FFF">'[23]Harga Sat.'!#REF!</definedName>
    <definedName name="fffff">#REF!</definedName>
    <definedName name="FFX">#REF!</definedName>
    <definedName name="fgbc">'[59]div-8'!#REF!</definedName>
    <definedName name="FGDAS">[118]alat!$AW$15</definedName>
    <definedName name="FGDSS">'[122]Kuantitas &amp; Harga'!$B$130:$J$166</definedName>
    <definedName name="fgfh">'[73]div-8'!#REF!</definedName>
    <definedName name="fghnedd">'[59]div-8'!#REF!</definedName>
    <definedName name="fgrfg">'[73]div-8'!#REF!</definedName>
    <definedName name="FGSAA">[72]alat!$AW$22</definedName>
    <definedName name="FGSD">'[59]div-7'!#REF!</definedName>
    <definedName name="fgvdrefg">'[73]div-8'!#REF!</definedName>
    <definedName name="fgwse">'[73]div-8'!#REF!</definedName>
    <definedName name="FGX">#REF!</definedName>
    <definedName name="fgyhf">'[59]div-7'!#REF!</definedName>
    <definedName name="Fharderner">#REF!</definedName>
    <definedName name="fhgj">'[73]div-8'!$L$1:$V$61</definedName>
    <definedName name="fhth">'[73]div-8'!$A$1:$J$188</definedName>
    <definedName name="FHX">#REF!</definedName>
    <definedName name="fiber">[71]harsat!$G$9</definedName>
    <definedName name="fiber_glass">#REF!</definedName>
    <definedName name="fill2" hidden="1">#REF!</definedName>
    <definedName name="fill9" hidden="1">#REF!</definedName>
    <definedName name="Filler">#REF!</definedName>
    <definedName name="filler_aspal_minor">#REF!</definedName>
    <definedName name="filler_kayu">#REF!</definedName>
    <definedName name="FILLL" hidden="1">#REF!</definedName>
    <definedName name="Film_cuci_cetak">#REF!</definedName>
    <definedName name="finance" localSheetId="2">#REF!</definedName>
    <definedName name="finance" localSheetId="0">#REF!</definedName>
    <definedName name="finance">#REF!</definedName>
    <definedName name="financial" localSheetId="2">#REF!</definedName>
    <definedName name="financial" localSheetId="0">#REF!</definedName>
    <definedName name="financial">#REF!</definedName>
    <definedName name="finisher">[68]BASIC!$F$50</definedName>
    <definedName name="finisher_aspal_minor">#REF!</definedName>
    <definedName name="FINISHER_HAMPAR_AC">[56]ANALIS!#REF!</definedName>
    <definedName name="firkan">#REF!</definedName>
    <definedName name="FIRST_FLOOR">#REF!</definedName>
    <definedName name="FIT">#REF!</definedName>
    <definedName name="FITFS">#REF!</definedName>
    <definedName name="FITT">#REF!</definedName>
    <definedName name="fitting_paralon">#REF!</definedName>
    <definedName name="FJX">#REF!</definedName>
    <definedName name="fkieifi" hidden="1">[123]H.Satuan!$C$106:$P$132</definedName>
    <definedName name="fkx">#REF!</definedName>
    <definedName name="Flat_bad_truck">#REF!</definedName>
    <definedName name="Fleksibel_pipa_listril">'[20]Daftar Harga'!$G$375</definedName>
    <definedName name="flmh400">#REF!</definedName>
    <definedName name="Floor_Drain_TX_1B_TOTO">'[20]Daftar Harga'!#REF!</definedName>
    <definedName name="floordrain">'[83]bahan+upah'!$E$243</definedName>
    <definedName name="Flores_Hitam">'[20]Daftar Harga'!$G$190</definedName>
    <definedName name="flx">#REF!</definedName>
    <definedName name="fnd">'[59]div-8'!#REF!</definedName>
    <definedName name="FOLDINGDOOR_BESI">#REF!</definedName>
    <definedName name="FORM1011">#REF!</definedName>
    <definedName name="FORM1012">#REF!</definedName>
    <definedName name="FORM1013">#REF!</definedName>
    <definedName name="FORM1014">#REF!</definedName>
    <definedName name="FORM1015">#REF!</definedName>
    <definedName name="FORM21">#REF!</definedName>
    <definedName name="FORM22E">#REF!</definedName>
    <definedName name="FORM22L">[14]D2!#REF!</definedName>
    <definedName name="FORM231">#REF!</definedName>
    <definedName name="FORM232">#REF!</definedName>
    <definedName name="FORM233">#REF!</definedName>
    <definedName name="FORM234">#REF!</definedName>
    <definedName name="Form236">[14]D2!#REF!</definedName>
    <definedName name="FORM241">#REF!</definedName>
    <definedName name="FORM242">#REF!</definedName>
    <definedName name="FORM243">#REF!</definedName>
    <definedName name="FORM311">#REF!</definedName>
    <definedName name="FORM312">#REF!</definedName>
    <definedName name="FORM313">#REF!</definedName>
    <definedName name="FORM314">#REF!</definedName>
    <definedName name="FORM315">#REF!</definedName>
    <definedName name="FORM319">[14]D3!#REF!</definedName>
    <definedName name="FORM321">#REF!</definedName>
    <definedName name="FORM322">#REF!</definedName>
    <definedName name="FORM323">#REF!</definedName>
    <definedName name="FORM323L">#REF!</definedName>
    <definedName name="FORM33">#REF!</definedName>
    <definedName name="FORM331">[14]D3!#REF!</definedName>
    <definedName name="FORM346">[14]D3!#REF!</definedName>
    <definedName name="FORM421">#REF!</definedName>
    <definedName name="FORM422">#REF!</definedName>
    <definedName name="FORM423">#REF!</definedName>
    <definedName name="FORM424">#REF!</definedName>
    <definedName name="FORM425">#REF!</definedName>
    <definedName name="FORM426">#REF!</definedName>
    <definedName name="FORM427">#REF!</definedName>
    <definedName name="FORM511">#REF!</definedName>
    <definedName name="FORM512">#REF!</definedName>
    <definedName name="FORM521">#REF!</definedName>
    <definedName name="FORM522">[14]D5!#REF!</definedName>
    <definedName name="FORM541">[14]D5!#REF!</definedName>
    <definedName name="FORM542">[14]D5!#REF!</definedName>
    <definedName name="FORM611">#REF!</definedName>
    <definedName name="FORM612">#REF!</definedName>
    <definedName name="FORM621">#REF!</definedName>
    <definedName name="FORM622">#REF!</definedName>
    <definedName name="FORM623">#REF!</definedName>
    <definedName name="FORM631">#REF!</definedName>
    <definedName name="FORM632">#REF!</definedName>
    <definedName name="FORM633">#REF!</definedName>
    <definedName name="FORM634">#REF!</definedName>
    <definedName name="FORM635">#REF!</definedName>
    <definedName name="FORM635A">#REF!</definedName>
    <definedName name="FORM636">#REF!</definedName>
    <definedName name="FORM641L">#REF!</definedName>
    <definedName name="FORM642">#REF!</definedName>
    <definedName name="FORM651">#REF!</definedName>
    <definedName name="FORM66">#REF!</definedName>
    <definedName name="FORM7101">#REF!</definedName>
    <definedName name="FORM7102">'[14]D7(1)'!#REF!</definedName>
    <definedName name="FORM7103">'[14]D7(1)'!#REF!</definedName>
    <definedName name="FORM711">#REF!</definedName>
    <definedName name="FORM712">'[14]D7(1)'!#REF!</definedName>
    <definedName name="FORM713">'[14]D7(1)'!#REF!</definedName>
    <definedName name="FORM714">#REF!</definedName>
    <definedName name="FORM715">'[14]D7(1)'!#REF!</definedName>
    <definedName name="FORM716">'[14]D7(1)'!#REF!</definedName>
    <definedName name="FORM717">'[14]D7(1)'!#REF!</definedName>
    <definedName name="FORM718">'[14]D7(1)'!#REF!</definedName>
    <definedName name="FORM721">#REF!</definedName>
    <definedName name="FORM731">#REF!</definedName>
    <definedName name="FORM732">#REF!</definedName>
    <definedName name="FORM733">#REF!</definedName>
    <definedName name="FORM734">#REF!</definedName>
    <definedName name="FORM735">#REF!</definedName>
    <definedName name="FORM73PL">#REF!</definedName>
    <definedName name="FORM73UL">#REF!</definedName>
    <definedName name="FORM744">'[14]D7(1)'!#REF!</definedName>
    <definedName name="FORM745">'[14]D7(1)'!#REF!</definedName>
    <definedName name="FORM751">#REF!</definedName>
    <definedName name="FORM752">#REF!</definedName>
    <definedName name="FORM7610">'[14]D7(1)'!#REF!</definedName>
    <definedName name="FORM7611">#REF!</definedName>
    <definedName name="FORM7612">#REF!</definedName>
    <definedName name="FORM7612a">'[14]D7(1)'!#REF!</definedName>
    <definedName name="FORM7613">#REF!</definedName>
    <definedName name="FORM7613a">'[14]D7(1)'!#REF!</definedName>
    <definedName name="FORM7614">#REF!</definedName>
    <definedName name="FORM7614a">'[14]D7(1)'!#REF!</definedName>
    <definedName name="FORM7614b">'[14]D7(1)'!#REF!</definedName>
    <definedName name="FORM7614c">'[14]D7(1)'!#REF!</definedName>
    <definedName name="FORM7614d">'[14]D7(1)'!#REF!</definedName>
    <definedName name="FORM7614e">'[14]D7(1)'!#REF!</definedName>
    <definedName name="FORM7615">#REF!</definedName>
    <definedName name="FORM7616">#REF!</definedName>
    <definedName name="FORM7617">#REF!</definedName>
    <definedName name="FORM7618">'[14]D7(1)'!#REF!</definedName>
    <definedName name="FORM7619">'[14]D7(1)'!#REF!</definedName>
    <definedName name="FORM7620">#REF!</definedName>
    <definedName name="FORM7621">#REF!</definedName>
    <definedName name="FORM7625">#REF!</definedName>
    <definedName name="FORM7626">#REF!</definedName>
    <definedName name="FORM767">#REF!</definedName>
    <definedName name="FORM768">'[14]D7(1)'!#REF!</definedName>
    <definedName name="FORM769">'[14]D7(1)'!#REF!</definedName>
    <definedName name="FORM76X">'[14]D7(1)'!#REF!</definedName>
    <definedName name="FORM771">#REF!</definedName>
    <definedName name="FORM771a">#REF!</definedName>
    <definedName name="FORM771b">#REF!</definedName>
    <definedName name="FORM771c">#REF!</definedName>
    <definedName name="FORM771d">#REF!</definedName>
    <definedName name="FORM772a">#REF!</definedName>
    <definedName name="FORM772b">#REF!</definedName>
    <definedName name="FORM772c">#REF!</definedName>
    <definedName name="FORM772d">#REF!</definedName>
    <definedName name="FORM775">#REF!</definedName>
    <definedName name="FORM79">#REF!</definedName>
    <definedName name="FORM79L">#REF!</definedName>
    <definedName name="FORM79mekanis">'[14]D7(1)'!#REF!</definedName>
    <definedName name="FORM811">#REF!</definedName>
    <definedName name="FORM812">#REF!</definedName>
    <definedName name="FORM813">#REF!</definedName>
    <definedName name="FORM814">#REF!</definedName>
    <definedName name="FORM815">#REF!</definedName>
    <definedName name="FORM817">#REF!</definedName>
    <definedName name="FORM818">#REF!</definedName>
    <definedName name="FORM819">#REF!</definedName>
    <definedName name="FORM82">#REF!</definedName>
    <definedName name="FORM83">#REF!</definedName>
    <definedName name="FORM841">'[14]D8(1)'!#REF!</definedName>
    <definedName name="FORM8410">'[14]D8(1)'!#REF!</definedName>
    <definedName name="FORM842">'[14]D8(1)'!#REF!</definedName>
    <definedName name="FORM843">#REF!</definedName>
    <definedName name="FORM844">'[14]D8(1)'!#REF!</definedName>
    <definedName name="FORM845">'[14]D8(1)'!#REF!</definedName>
    <definedName name="FORM846">'[14]D8(1)'!#REF!</definedName>
    <definedName name="FORM847">'[14]D8(1)'!#REF!</definedName>
    <definedName name="FORM910">#REF!</definedName>
    <definedName name="FORM911">#REF!</definedName>
    <definedName name="FORM912">#REF!</definedName>
    <definedName name="FORM913">#REF!</definedName>
    <definedName name="FORM914">#REF!</definedName>
    <definedName name="FORM915">#REF!</definedName>
    <definedName name="FORM916">#REF!</definedName>
    <definedName name="FORM917">#REF!</definedName>
    <definedName name="FORM918">#REF!</definedName>
    <definedName name="FORM919">#REF!</definedName>
    <definedName name="FORM94">#REF!</definedName>
    <definedName name="FORM95">#REF!</definedName>
    <definedName name="FORM96">#REF!</definedName>
    <definedName name="FORM97">#REF!</definedName>
    <definedName name="FORM98">#REF!</definedName>
    <definedName name="FORM99">#REF!</definedName>
    <definedName name="FORMGEOTEKSTIL">#REF!</definedName>
    <definedName name="Formika">'[20]Daftar Harga'!$G$118</definedName>
    <definedName name="FORMLatasirK">#REF!</definedName>
    <definedName name="FORMLatasirKL">#REF!</definedName>
    <definedName name="fqwedf">'[116]Basic Price'!$F$10</definedName>
    <definedName name="frc4x10">#REF!</definedName>
    <definedName name="frc4x1x400">#REF!</definedName>
    <definedName name="frc4x25">#REF!</definedName>
    <definedName name="frc4x300">#REF!</definedName>
    <definedName name="frc4x35">#REF!</definedName>
    <definedName name="frc4x95">#REF!</definedName>
    <definedName name="frc5x4">#REF!</definedName>
    <definedName name="frc5x6">#REF!</definedName>
    <definedName name="FRRDS">#REF!</definedName>
    <definedName name="fs">#REF!</definedName>
    <definedName name="FSAD">'[73]div-8'!#REF!</definedName>
    <definedName name="FSB">#REF!</definedName>
    <definedName name="FSD">'[59]div-3'!#REF!</definedName>
    <definedName name="FSDATA">#REF!</definedName>
    <definedName name="fsdv">'[59]Basic Price'!#REF!</definedName>
    <definedName name="FST">#REF!</definedName>
    <definedName name="fsvd100">#REF!</definedName>
    <definedName name="fsvd150">#REF!</definedName>
    <definedName name="fsvd65">#REF!</definedName>
    <definedName name="FURNITURE__FURNISHING">#REF!</definedName>
    <definedName name="FVD">'[59]div-7'!#REF!</definedName>
    <definedName name="fvdsgfsdf">'[9]AN-SNI'!#REF!</definedName>
    <definedName name="FVSD">'[59]div-7'!#REF!</definedName>
    <definedName name="FVSDV">'[59]div-7'!#REF!</definedName>
    <definedName name="G">#REF!</definedName>
    <definedName name="g.1">#REF!</definedName>
    <definedName name="g.10">#REF!</definedName>
    <definedName name="g.11">#REF!</definedName>
    <definedName name="g.12">#REF!</definedName>
    <definedName name="g.13">#REF!</definedName>
    <definedName name="g.2">#REF!</definedName>
    <definedName name="g.3">#REF!</definedName>
    <definedName name="g.4">#REF!</definedName>
    <definedName name="g.5">#REF!</definedName>
    <definedName name="G.50Q">[112]ANALISA!$R$900</definedName>
    <definedName name="g.6">#REF!</definedName>
    <definedName name="g.7">#REF!</definedName>
    <definedName name="g.8">#REF!</definedName>
    <definedName name="g.9">#REF!</definedName>
    <definedName name="gadsa">'[73]div-8'!#REF!</definedName>
    <definedName name="Gal_Tanah_Biasa">#REF!</definedName>
    <definedName name="Gal_Tanah_CAdas">#REF!</definedName>
    <definedName name="Gal_Tanh_Krs">#REF!</definedName>
    <definedName name="GALBIS_1">#REF!</definedName>
    <definedName name="GALBIS_2">#REF!</definedName>
    <definedName name="gali">#REF!</definedName>
    <definedName name="gali_tanah_alat_berat">[57]analisa!#REF!</definedName>
    <definedName name="galia.padas">'[76]ANALISA-1'!#REF!</definedName>
    <definedName name="galian.tnhbiasa">'[77]ANALISA-1'!#REF!</definedName>
    <definedName name="galian_perkerasan">[57]analisa!#REF!</definedName>
    <definedName name="GALIAN_TANAH">#REF!</definedName>
    <definedName name="Galian_Tanah_Biasa">'[58]ANALISA  (BARU)'!$G$240</definedName>
    <definedName name="GALIAN_TANAH_BIASA_1M">[18]ANALISA1!$J$37</definedName>
    <definedName name="GALIAN_TANAH_BIASA_2M">#REF!</definedName>
    <definedName name="GALIAN_TANAH_KERAS_1M">#REF!</definedName>
    <definedName name="galian_tanah_konstruksi">[57]analisa!#REF!</definedName>
    <definedName name="galian_tanah_lumpur">[57]analisa!#REF!</definedName>
    <definedName name="GALIANTANAH">#REF!</definedName>
    <definedName name="GalianTanahCadas">#REF!</definedName>
    <definedName name="GalianTanahKeras">#REF!</definedName>
    <definedName name="GalianTanahPasirDlmAir">#REF!</definedName>
    <definedName name="galibasa">#REF!</definedName>
    <definedName name="galiker">#REF!</definedName>
    <definedName name="galmandor">#REF!</definedName>
    <definedName name="GALSEL_1">#REF!</definedName>
    <definedName name="GALSEL_2">#REF!</definedName>
    <definedName name="GalStripping1m">'[18]ANALISA SNI''13 '!$I$527</definedName>
    <definedName name="GalTanah1m">'[18]ANALISA SNI''13 '!$I$503</definedName>
    <definedName name="GalTanah2m">'[18]ANALISA SNI''13 '!$I$507</definedName>
    <definedName name="GalTanah3m">'[18]ANALISA SNI''13 '!$I$511</definedName>
    <definedName name="GalTanahPasirBiasa">#REF!</definedName>
    <definedName name="galtk">[124]anal!$H$19</definedName>
    <definedName name="GalTnhCadas1m">'[18]ANALISA SNI''13 '!$I$519</definedName>
    <definedName name="GalTnhKeras1m">'[18]ANALISA SNI''13 '!$I$515</definedName>
    <definedName name="GalTnhLumpur1m">'[18]ANALISA SNI''13 '!$I$523</definedName>
    <definedName name="galv25">#REF!</definedName>
    <definedName name="galv4">#REF!</definedName>
    <definedName name="galvalum">#REF!</definedName>
    <definedName name="galvanis3">#REF!</definedName>
    <definedName name="gamping">#REF!</definedName>
    <definedName name="GANCO">'[91]H Satuan'!$F$34</definedName>
    <definedName name="Gantungan_baju_setara_TOTO_TX_704_AC">'[20]Daftar Harga'!$G$338</definedName>
    <definedName name="Gantungan_Handuk_Ring_Setara_TOTO_TX_702_AC">'[20]Daftar Harga'!$G$337</definedName>
    <definedName name="garu">#REF!</definedName>
    <definedName name="Gate_Valve_1">'[20]Daftar Harga'!$G$316</definedName>
    <definedName name="gbdxfb">'[59]div-7'!#REF!</definedName>
    <definedName name="GD">[118]alat!$AW$30</definedName>
    <definedName name="gdfbhd">'[59]div-3'!#REF!</definedName>
    <definedName name="gds">'[73]div-8'!#REF!</definedName>
    <definedName name="gedeg">#REF!</definedName>
    <definedName name="GEDUNG">'[9]EE-SNI'!#REF!</definedName>
    <definedName name="gelam_8_12">'[57]Harga Satuan Dasar'!#REF!</definedName>
    <definedName name="Gelembung_atlas_30____Bohlam_SL_E_20W">'[20]Daftar Harga'!#REF!</definedName>
    <definedName name="gembok">'[61]HB '!$F$172</definedName>
    <definedName name="Genset">#REF!</definedName>
    <definedName name="genteng">#REF!</definedName>
    <definedName name="Genteng_karang_pilang_bambe">'[81]RANGE BAHAN'!$B$20:$C$20</definedName>
    <definedName name="Genteng_Plentong">'[20]Daftar Harga'!#REF!</definedName>
    <definedName name="Genteng_Rainbow">'[20]Daftar Harga'!#REF!</definedName>
    <definedName name="gentengbtn">'[53]HB '!#REF!</definedName>
    <definedName name="gentenggs">#REF!</definedName>
    <definedName name="gentingflam">[71]harsat!#REF!</definedName>
    <definedName name="gentingkaca">[71]harsat!#REF!</definedName>
    <definedName name="gentingkarang">[71]harsat!$G$11</definedName>
    <definedName name="gentingkodokbam">[71]harsat!#REF!</definedName>
    <definedName name="gentingkodokwis">[71]harsat!#REF!</definedName>
    <definedName name="gentingwuwungjawa">[71]harsat!#REF!</definedName>
    <definedName name="gentingwuwungwisma">[71]harsat!$G$12</definedName>
    <definedName name="geotextile">[45]HARSAT!#REF!</definedName>
    <definedName name="ger">{"Book1","4.09 FLORA DAN FAUNA.xls","4.22 PERLENGKAPAN SEKOLAH.xls"}</definedName>
    <definedName name="gevel_kaca">#REF!</definedName>
    <definedName name="gf" hidden="1">[125]H.Satuan!$CF$82</definedName>
    <definedName name="gf.10">#REF!</definedName>
    <definedName name="gf.11">#REF!</definedName>
    <definedName name="gf.12">#REF!</definedName>
    <definedName name="gf.4">#REF!</definedName>
    <definedName name="gf.5">#REF!</definedName>
    <definedName name="gf.6">#REF!</definedName>
    <definedName name="gf.7">#REF!</definedName>
    <definedName name="gf.8">#REF!</definedName>
    <definedName name="gf.9">#REF!</definedName>
    <definedName name="GFASDF">[118]alat!$AW$22</definedName>
    <definedName name="gfds">'[73]div-8'!#REF!</definedName>
    <definedName name="GFF" hidden="1">[126]SEX!$P$7:$P$7</definedName>
    <definedName name="gfhnd">'[59]div-3'!#REF!</definedName>
    <definedName name="GFMHG">'[127]HB '!#REF!</definedName>
    <definedName name="ghdf">'[59]Basic Price'!#REF!</definedName>
    <definedName name="ghdfhfc">'[59]div-2'!#REF!</definedName>
    <definedName name="ghdhx">'[59]div-3'!#REF!</definedName>
    <definedName name="GHEE">'[122]Rekap Biaya'!$A$1:$K$40</definedName>
    <definedName name="GIPM2">#REF!</definedName>
    <definedName name="gipm3">#REF!</definedName>
    <definedName name="gipm4">#REF!</definedName>
    <definedName name="GIU">#REF!</definedName>
    <definedName name="GJ">#REF!</definedName>
    <definedName name="glass_bed">#REF!</definedName>
    <definedName name="Glass_bit">#REF!</definedName>
    <definedName name="glass_bit_marka_jalan">#REF!</definedName>
    <definedName name="Glass_block">#REF!</definedName>
    <definedName name="goal_seek">#REF!</definedName>
    <definedName name="goalseek1">#REF!</definedName>
    <definedName name="GOALSEEK2">#REF!</definedName>
    <definedName name="goalseek3">'[46]dayvol adibarat'!#REF!</definedName>
    <definedName name="golek1">'[46]dayvol adibarat'!$AJ$4</definedName>
    <definedName name="GOLEK2">'[46]dayvol adibarat'!#REF!</definedName>
    <definedName name="GONDOLA">#REF!</definedName>
    <definedName name="GONDOLA_A">#REF!</definedName>
    <definedName name="GONDOLA_B">#REF!</definedName>
    <definedName name="GONDOLA_C">#REF!</definedName>
    <definedName name="gorbos">#REF!</definedName>
    <definedName name="gording">#REF!</definedName>
    <definedName name="gordingC100sd150">#REF!</definedName>
    <definedName name="GORONG120_1">#REF!</definedName>
    <definedName name="GORONG120_2">#REF!</definedName>
    <definedName name="GORONG75_1">#REF!</definedName>
    <definedName name="GORONG75_2">#REF!</definedName>
    <definedName name="govpd15">#REF!</definedName>
    <definedName name="GRADER">#REF!</definedName>
    <definedName name="GRAND_PALEMBANG_HOTEL___PALEMBANG">#REF!</definedName>
    <definedName name="GRAND_TOTAL">#REF!</definedName>
    <definedName name="Granit_Hitam">'[20]Daftar Harga'!$G$193</definedName>
    <definedName name="Granito1030">#REF!</definedName>
    <definedName name="Granito1040">#REF!</definedName>
    <definedName name="Granito30">#REF!</definedName>
    <definedName name="Granito40">#REF!</definedName>
    <definedName name="grass">#REF!</definedName>
    <definedName name="grass2020">'[53]HB '!#REF!</definedName>
    <definedName name="GRAVEL">#REF!</definedName>
    <definedName name="grblok">[48]harga!$F$86</definedName>
    <definedName name="GRC">#REF!</definedName>
    <definedName name="grendalfa">'[53]HB '!#REF!</definedName>
    <definedName name="grendbiasa">'[5]HB '!$F$178</definedName>
    <definedName name="grendel">#REF!</definedName>
    <definedName name="GRENDEL_JENDELA">#REF!</definedName>
    <definedName name="grendel_panjang">#REF!</definedName>
    <definedName name="GRENDEL_PINTU">#REF!</definedName>
    <definedName name="grendel_tanamALFA">#REF!</definedName>
    <definedName name="GrendelJendela">'[18]ANALISA SNI''13 '!$I$2191</definedName>
    <definedName name="GrendelPintu">'[18]ANALISA SNI''13 '!$I$2184</definedName>
    <definedName name="GROBAK">'[128]2.Harga Satuan'!#REF!</definedName>
    <definedName name="ground">#REF!</definedName>
    <definedName name="GROUND_FLOOR">#REF!</definedName>
    <definedName name="gs">'[73]div-8'!#REF!</definedName>
    <definedName name="gs110g">#REF!</definedName>
    <definedName name="gs14g">#REF!</definedName>
    <definedName name="gs55g">#REF!</definedName>
    <definedName name="gs6g">#REF!</definedName>
    <definedName name="gs80g">#REF!</definedName>
    <definedName name="GSDF">[118]alat!$AW$20</definedName>
    <definedName name="gsdfgv">'[59]div-7'!#REF!</definedName>
    <definedName name="gsekring">#REF!</definedName>
    <definedName name="GT">#REF!</definedName>
    <definedName name="gtrf">[129]BAHAN!$F$211</definedName>
    <definedName name="gypsum">#REF!</definedName>
    <definedName name="Gypsum_12_mm_JayaBoard">'[20]Daftar Harga'!$G$126</definedName>
    <definedName name="Gypsum_9_mm_JayaBoard">'[20]Daftar Harga'!$G$125</definedName>
    <definedName name="gypsum12">[71]harsat!#REF!</definedName>
    <definedName name="gypsum9">#REF!</definedName>
    <definedName name="H">#REF!</definedName>
    <definedName name="h.1">#REF!</definedName>
    <definedName name="h.2">#REF!</definedName>
    <definedName name="h.3">#REF!</definedName>
    <definedName name="h.4">#REF!</definedName>
    <definedName name="h.5">#REF!</definedName>
    <definedName name="HA">#REF!</definedName>
    <definedName name="HABE">#REF!</definedName>
    <definedName name="HAJIME">#REF!</definedName>
    <definedName name="hak_angin">#REF!</definedName>
    <definedName name="Hak_angin_rendah">#REF!</definedName>
    <definedName name="hakangin">#REF!</definedName>
    <definedName name="hampar_AC_5cm">[57]analisa!#REF!</definedName>
    <definedName name="hampar_atb_4cm">[57]analisa!#REF!</definedName>
    <definedName name="handel_antik">#REF!</definedName>
    <definedName name="handle">'[61]HB '!$F$175</definedName>
    <definedName name="HANDLE_PINTU_ALUMINIUM_COMB">#REF!</definedName>
    <definedName name="HANDLE_PINTU_STAINLESS_BULAT">#REF!</definedName>
    <definedName name="HANDLE_PINTU_STAINLESS_KOTAK">[18]ANALISA1!$J$971</definedName>
    <definedName name="HANDRAILING_PIPA_GIP">#REF!</definedName>
    <definedName name="Hardflex_5_mm_120_x_240">'[20]Daftar Harga'!$G$123</definedName>
    <definedName name="Harendog_Gunung">'[20]Daftar Harga'!$G$436</definedName>
    <definedName name="HARGA">#REF!</definedName>
    <definedName name="harmonika">'[5]HB '!$F$68</definedName>
    <definedName name="Harplex__0_6x2">#REF!</definedName>
    <definedName name="hdljend">#REF!</definedName>
    <definedName name="hdw">#REF!</definedName>
    <definedName name="Head_Shower_Setara_TOTO_Type_THX_19_N">'[20]Daftar Harga'!#REF!</definedName>
    <definedName name="HEKTO_1">#REF!</definedName>
    <definedName name="HEKTO_2">#REF!</definedName>
    <definedName name="Heliconia">'[20]Daftar Harga'!$G$430</definedName>
    <definedName name="Hello">#N/A</definedName>
    <definedName name="hERO">[130]Pipe!$A$12:$I$34</definedName>
    <definedName name="hERO_aNADUCT">[130]Pipe!$A$1:$IV$10</definedName>
    <definedName name="HH_02">'[2]LAL - PASAR PAGI '!$G$281</definedName>
    <definedName name="HIJ">'[2]LAL - PASAR PAGI '!$G$13</definedName>
    <definedName name="hil">#REF!</definedName>
    <definedName name="hjgth">'[73]div-8'!#REF!</definedName>
    <definedName name="Hk">#REF!</definedName>
    <definedName name="Hollow2x4">#REF!</definedName>
    <definedName name="Hollow4x4">#REF!</definedName>
    <definedName name="HP">#REF!</definedName>
    <definedName name="HRAILLTBN">#REF!</definedName>
    <definedName name="hreefws">'[73]div-8'!#REF!</definedName>
    <definedName name="HRG">#REF!</definedName>
    <definedName name="hrs">#REF!</definedName>
    <definedName name="hspk2009">'[131]Upah _ Harga'!$B$4:$E$142</definedName>
    <definedName name="hspt">#REF!</definedName>
    <definedName name="hsut">#REF!</definedName>
    <definedName name="hswt">#REF!</definedName>
    <definedName name="I">#REF!</definedName>
    <definedName name="I.">#REF!</definedName>
    <definedName name="I..">#REF!</definedName>
    <definedName name="I...">#REF!</definedName>
    <definedName name="I....">#REF!</definedName>
    <definedName name="I.....">#REF!</definedName>
    <definedName name="i.1">#REF!</definedName>
    <definedName name="i.10">#REF!</definedName>
    <definedName name="i.11">#REF!</definedName>
    <definedName name="i.12">#REF!</definedName>
    <definedName name="i.13">#REF!</definedName>
    <definedName name="i.14">#REF!</definedName>
    <definedName name="i.15">#REF!</definedName>
    <definedName name="i.16">#REF!</definedName>
    <definedName name="i.17">#REF!</definedName>
    <definedName name="i.18">#REF!</definedName>
    <definedName name="i.19">#REF!</definedName>
    <definedName name="i.2">#REF!</definedName>
    <definedName name="i.3">#REF!</definedName>
    <definedName name="i.4">#REF!</definedName>
    <definedName name="i.5">#REF!</definedName>
    <definedName name="i.6">#REF!</definedName>
    <definedName name="i.7">#REF!</definedName>
    <definedName name="i.8">#REF!</definedName>
    <definedName name="i.9">#REF!</definedName>
    <definedName name="Ibahan">'[132]Harga bahan &amp; upah'!$C$8:$C$135</definedName>
    <definedName name="IG">[133]HARGA!$B$62</definedName>
    <definedName name="Iharga2">'[132]Harga bahan &amp; upah'!$D$8:$D$135</definedName>
    <definedName name="ihb">#REF!</definedName>
    <definedName name="ihbl">#REF!</definedName>
    <definedName name="ii">'[134]RAB RIIL kayu'!#REF!</definedName>
    <definedName name="II....">#REF!</definedName>
    <definedName name="iii">'[134]RAB RIIL kayu'!#REF!</definedName>
    <definedName name="IJUK">[85]HARGA!#REF!</definedName>
    <definedName name="IKUT_CELEDU_FIBER">#REF!</definedName>
    <definedName name="IKUT_CELEDU_PARAS">[18]ANALISA1!$J$634</definedName>
    <definedName name="IkutCeledu">'[18]ANALISA SNI''13 '!$I$1716</definedName>
    <definedName name="income" localSheetId="2">#REF!</definedName>
    <definedName name="income" localSheetId="0">#REF!</definedName>
    <definedName name="income">#REF!</definedName>
    <definedName name="indek">#REF!</definedName>
    <definedName name="INST_LAMPU">#REF!</definedName>
    <definedName name="INSU">#REF!</definedName>
    <definedName name="Iron_Cutter">#REF!</definedName>
    <definedName name="isolasi_listrik">'[20]Daftar Harga'!$G$376</definedName>
    <definedName name="ITEM">#REF!</definedName>
    <definedName name="iv">'[134]RAB RIIL kayu'!#REF!</definedName>
    <definedName name="ix">'[134]RAB RIIL kayu'!#REF!</definedName>
    <definedName name="j">[135]BHN1!$F$171</definedName>
    <definedName name="j.1">#REF!</definedName>
    <definedName name="j.10">#REF!</definedName>
    <definedName name="j.11">#REF!</definedName>
    <definedName name="j.12">#REF!</definedName>
    <definedName name="j.13">#REF!</definedName>
    <definedName name="j.14">#REF!</definedName>
    <definedName name="j.15">#REF!</definedName>
    <definedName name="j.16">#REF!</definedName>
    <definedName name="j.17">#REF!</definedName>
    <definedName name="j.2">#REF!</definedName>
    <definedName name="j.3">#REF!</definedName>
    <definedName name="j.4">#REF!</definedName>
    <definedName name="j.5">#REF!</definedName>
    <definedName name="j.6">#REF!</definedName>
    <definedName name="j.7">#REF!</definedName>
    <definedName name="j.8">#REF!</definedName>
    <definedName name="j.9">#REF!</definedName>
    <definedName name="JAB">'[63]LAM-22'!$F$60</definedName>
    <definedName name="jabatan">[114]data!$B$5</definedName>
    <definedName name="Jack_Hammer">#REF!</definedName>
    <definedName name="jack_hammer_galian_padas">#REF!</definedName>
    <definedName name="jadwal">'[108]Kuantitas &amp; Harga'!#REF!</definedName>
    <definedName name="jaga">'[53]HB '!#REF!</definedName>
    <definedName name="JAGAAN">#REF!</definedName>
    <definedName name="JAK">[75]VOLUME!#REF!</definedName>
    <definedName name="JalanSementara">'[18]ANALISA SNI''13 '!$I$433</definedName>
    <definedName name="JALUSI_KAYU_KRUING">#REF!</definedName>
    <definedName name="jangan" hidden="1">[136]H.Satuan!#REF!</definedName>
    <definedName name="jarak">[137]URAIAN!$M$2</definedName>
    <definedName name="jarak_amp">#REF!</definedName>
    <definedName name="Jarak_sirtu">#REF!</definedName>
    <definedName name="jarak_tanah_urug">#REF!</definedName>
    <definedName name="JASA">#REF!</definedName>
    <definedName name="jatibjn.1">#REF!</definedName>
    <definedName name="jatibjn.2">#REF!</definedName>
    <definedName name="jatiblk">#REF!</definedName>
    <definedName name="jatimdn.1">#REF!</definedName>
    <definedName name="jatimdn.2">#REF!</definedName>
    <definedName name="jatimlg.1">#REF!</definedName>
    <definedName name="jatimlg.2">#REF!</definedName>
    <definedName name="jatippn">#REF!</definedName>
    <definedName name="JdlNako">'[18]ANALISA SNI''13 '!$I$2475</definedName>
    <definedName name="JEFTA">#REF!</definedName>
    <definedName name="JENDELA1">#REF!</definedName>
    <definedName name="JENDELA2">#REF!</definedName>
    <definedName name="JENDELA3">#REF!</definedName>
    <definedName name="jendela4">#REF!</definedName>
    <definedName name="jendela5">#REF!</definedName>
    <definedName name="JENIS_BAHAN">#REF!</definedName>
    <definedName name="JenisPengeluaran" localSheetId="2">#REF!</definedName>
    <definedName name="JenisPengeluaran" localSheetId="0">#REF!</definedName>
    <definedName name="JenisPengeluaran">#REF!</definedName>
    <definedName name="JETWASHER">#REF!</definedName>
    <definedName name="jhfgd">'[73]div-8'!#REF!</definedName>
    <definedName name="jhk">'[67]SCHEDULE TENAGA'!$F$39</definedName>
    <definedName name="jik">#REF!</definedName>
    <definedName name="JIT">'[138]Analisa BOW 07'!$G$541</definedName>
    <definedName name="JJ">'[139]DAF-1'!#REF!</definedName>
    <definedName name="JJ_12">'[2]LAL - PASAR PAGI '!$G$327</definedName>
    <definedName name="JJ_19">'[2]LAL - PASAR PAGI '!$G$337</definedName>
    <definedName name="JJ_34">'[140]HRG BHN'!$G$358</definedName>
    <definedName name="JJ_37">'[140]HRG BHN'!$G$360</definedName>
    <definedName name="join">#REF!</definedName>
    <definedName name="JP">[141]BAHAN!$F$57</definedName>
    <definedName name="JPEMBA">#REF!</definedName>
    <definedName name="JPENING">#REF!</definedName>
    <definedName name="JREHAB">#REF!</definedName>
    <definedName name="ju">{"Book1","4.09 FLORA DAN FAUNA.xls","4.22 PERLENGKAPAN SEKOLAH.xls"}</definedName>
    <definedName name="juk">#REF!</definedName>
    <definedName name="JUMLAH_TOTAL">#REF!</definedName>
    <definedName name="jurai">#REF!</definedName>
    <definedName name="JURU_UKUR">#REF!</definedName>
    <definedName name="K">#REF!</definedName>
    <definedName name="k.026">#REF!</definedName>
    <definedName name="k.1">#REF!</definedName>
    <definedName name="k.10">#REF!</definedName>
    <definedName name="K.127">[112]ANALISA!$R$845</definedName>
    <definedName name="k.2">#REF!</definedName>
    <definedName name="K.220A">[112]ANALISA!$R$313</definedName>
    <definedName name="K.224">[112]ANALISA!$R$468</definedName>
    <definedName name="k.3">#REF!</definedName>
    <definedName name="K.311A">[112]ANALISA!$R$519</definedName>
    <definedName name="k.4">#REF!</definedName>
    <definedName name="k.5">#REF!</definedName>
    <definedName name="K.514">[112]ANALISA!$R$571</definedName>
    <definedName name="k.6">#REF!</definedName>
    <definedName name="k.641">#REF!</definedName>
    <definedName name="k.641a">#REF!</definedName>
    <definedName name="k.641b">#REF!</definedName>
    <definedName name="k.7">#REF!</definedName>
    <definedName name="K.715">[112]ANALISA!$R$789</definedName>
    <definedName name="k.8">#REF!</definedName>
    <definedName name="K.810">[112]ANALISA!$R$679</definedName>
    <definedName name="k.9">#REF!</definedName>
    <definedName name="K_035">#REF!</definedName>
    <definedName name="K_125_1">#REF!</definedName>
    <definedName name="K_125_2">#REF!</definedName>
    <definedName name="K_175_1">#REF!</definedName>
    <definedName name="K_175_2">#REF!</definedName>
    <definedName name="K_175_3">#REF!</definedName>
    <definedName name="K_175_4">#REF!</definedName>
    <definedName name="k_2_1_1_23">[86]ANALIS!#REF!</definedName>
    <definedName name="k_2_1_11_27_2">[86]ANALIS!#REF!</definedName>
    <definedName name="k_2_1_11_7">[86]ANALIS!#REF!</definedName>
    <definedName name="k_2_1_16_3">[86]ANALIS!#REF!</definedName>
    <definedName name="k_2_1_2_15">[86]ANALIS!#REF!</definedName>
    <definedName name="k_2_1_8_16">[86]ANALIS!#REF!</definedName>
    <definedName name="k_21111">[56]ANALIS!#REF!</definedName>
    <definedName name="k_211111">[56]ANALIS!#REF!</definedName>
    <definedName name="k_211112">[56]ANALIS!#REF!</definedName>
    <definedName name="k_211117">[56]ANALIS!#REF!</definedName>
    <definedName name="k_211119">[56]ANALIS!#REF!</definedName>
    <definedName name="k_211121">[56]ANALIS!#REF!</definedName>
    <definedName name="k_211123">[56]ANALIS!#REF!</definedName>
    <definedName name="k_2111272">[56]ANALIS!#REF!</definedName>
    <definedName name="k_21118">[56]ANALIS!#REF!</definedName>
    <definedName name="k_21123">[56]ANALIS!#REF!</definedName>
    <definedName name="k_21135">[56]ANALIS!#REF!</definedName>
    <definedName name="k_21138">[56]ANALIS!#REF!</definedName>
    <definedName name="k_21139">[56]ANALIS!#REF!</definedName>
    <definedName name="k_211623">[56]ANALIS!#REF!</definedName>
    <definedName name="k_21163">[56]ANALIS!#REF!</definedName>
    <definedName name="k_211647">[56]ANALIS!#REF!</definedName>
    <definedName name="k_211654">[56]ANALIS!#REF!</definedName>
    <definedName name="k_211657">[56]ANALIS!#REF!</definedName>
    <definedName name="k_211660">[56]ANALIS!#REF!</definedName>
    <definedName name="k_211661">[56]ANALIS!#REF!</definedName>
    <definedName name="k_211662">[56]ANALIS!#REF!</definedName>
    <definedName name="k_211663">[56]ANALIS!#REF!</definedName>
    <definedName name="k_21167">[56]ANALIS!#REF!</definedName>
    <definedName name="k_21215">[56]ANALIS!#REF!</definedName>
    <definedName name="k_21221">[56]ANALIS!#REF!</definedName>
    <definedName name="k_21222">[56]ANALIS!#REF!</definedName>
    <definedName name="k_21223">[56]ANALIS!#REF!</definedName>
    <definedName name="k_21224">[56]ANALIS!#REF!</definedName>
    <definedName name="k_21316">[56]ANALIS!#REF!</definedName>
    <definedName name="K_225_1">#REF!</definedName>
    <definedName name="K_225_2">#REF!</definedName>
    <definedName name="K_275_1">#REF!</definedName>
    <definedName name="K_275_2">#REF!</definedName>
    <definedName name="K_350_1">#REF!</definedName>
    <definedName name="K_350_2">#REF!</definedName>
    <definedName name="K_705">'[142]K-2007'!$V$1134</definedName>
    <definedName name="K_710">'[142]K-2007'!$V$1191</definedName>
    <definedName name="K_715">'[142]K-2007'!$V$1252</definedName>
    <definedName name="K_725">'[142]K-2007'!$V$1314</definedName>
    <definedName name="K_Ass_Surveyor">'[67]ANALISA HARGA SAT.'!$J$13</definedName>
    <definedName name="K_SARINGAN">[85]HARGA!#REF!</definedName>
    <definedName name="K_Surveyor">'[67]ANALISA HARGA SAT.'!$J$14</definedName>
    <definedName name="K_tk_batu">#REF!</definedName>
    <definedName name="k_tk_batu_aanstamping">[57]analisa!#REF!</definedName>
    <definedName name="k_tk_batu_beton_rabat">[57]analisa!#REF!</definedName>
    <definedName name="k_tk_batu_bongkar_gorong2">#REF!</definedName>
    <definedName name="k_tk_batu_ps_batu_merah">[57]analisa!#REF!</definedName>
    <definedName name="K_tk_besi">#REF!</definedName>
    <definedName name="k_tk_besi_pintu1">#REF!</definedName>
    <definedName name="k_tk_besi_pintu2">#REF!</definedName>
    <definedName name="K_tk_cat">#REF!</definedName>
    <definedName name="K_tk_gali">#REF!</definedName>
    <definedName name="k_tk_kayu">#REF!</definedName>
    <definedName name="k_tk_kayu_acuan_beton">[57]analisa!#REF!</definedName>
    <definedName name="k_tk_listrik">#REF!</definedName>
    <definedName name="k_tk_pipa">#REF!</definedName>
    <definedName name="K110A">[112]ANALISA!$R$52</definedName>
    <definedName name="K1P">#REF!</definedName>
    <definedName name="ka_ikat_bet">#REF!</definedName>
    <definedName name="kab">#REF!</definedName>
    <definedName name="Kabel_Bawah_Tanah_KT._4_x_10_mm">'[21]Daftar Harga Material'!$G$55</definedName>
    <definedName name="Kabel_BC_10_mm2">'[20]Daftar Harga'!$G$365</definedName>
    <definedName name="Kabel_NYFGBY_4_x_10_mm2">'[20]Daftar Harga'!$G$368</definedName>
    <definedName name="Kabel_NYFGBY_4_x_6_mm2_Supreme">'[20]Daftar Harga'!$G$369</definedName>
    <definedName name="Kabel_NYFGBY_4_x_70_mm2">'[20]Daftar Harga'!$G$366</definedName>
    <definedName name="Kabel_NYM_2_x_1.5_mm_50_m_Supreme">'[20]Daftar Harga'!$G$364</definedName>
    <definedName name="Kabel_NYM_3x2_5mm_50_m_GOLD">'[20]Daftar Harga'!#REF!</definedName>
    <definedName name="Kabel_NYM_3x2_5mm_50_m_Supreme">'[20]Daftar Harga'!$G$363</definedName>
    <definedName name="Kabel_telepon___1_roll___40_m">'[20]Daftar Harga'!$G$371</definedName>
    <definedName name="Kabel_Telepon_KT_0.6">'[20]Daftar Harga'!$G$370</definedName>
    <definedName name="Kabel_TV____1_roll___40_m">'[20]Daftar Harga'!$G$372</definedName>
    <definedName name="Kaca_5_mm">'[81]RANGE BAHAN'!$B$81:$C$81</definedName>
    <definedName name="KACA_A">#REF!</definedName>
    <definedName name="KACA_B">#REF!</definedName>
    <definedName name="KACA_BASE">#REF!</definedName>
    <definedName name="KACA_BENING_3MM">#REF!</definedName>
    <definedName name="KACA_BENING_5MM">[18]ANALISA1!$J$950</definedName>
    <definedName name="KACA_C">#REF!</definedName>
    <definedName name="KACA_CERMIN_5MM">#REF!</definedName>
    <definedName name="KACA_ES">#REF!</definedName>
    <definedName name="KACA_ES_3MM">#REF!</definedName>
    <definedName name="Kaca_es_5_mm">'[81]RANGE BAHAN'!$B$82:$C$82</definedName>
    <definedName name="KACA_ES_5MM">#REF!</definedName>
    <definedName name="Kaca_Patri_import___bevel_BV4">'[20]Daftar Harga'!#REF!</definedName>
    <definedName name="Kaca_Patri_import___bevel_J2">'[20]Daftar Harga'!#REF!</definedName>
    <definedName name="Kaca_Patri_import___bevel_J3">'[20]Daftar Harga'!#REF!</definedName>
    <definedName name="Kaca_Patri_import___bevel_PJ1">'[20]Daftar Harga'!#REF!</definedName>
    <definedName name="Kaca_Patri_lokal">'[20]Daftar Harga'!$G$212</definedName>
    <definedName name="KACA_POLOS">#REF!</definedName>
    <definedName name="Kaca_Polos_3_mm">'[20]Daftar Harga'!$G$208</definedName>
    <definedName name="Kaca_polos_5_mm">'[20]Daftar Harga'!$G$207</definedName>
    <definedName name="KACA_POLOS_8mm">#REF!</definedName>
    <definedName name="Kaca_polos5mm">'[143]UNIT PRICE'!$D$97</definedName>
    <definedName name="KACA_RAYBAND">#REF!</definedName>
    <definedName name="KACA_TEMPERED_12MM">#REF!</definedName>
    <definedName name="KacaEskapur">'[18]ANALISA SNI''13 '!$I$1450</definedName>
    <definedName name="KacaMati">'[58]ANALISA  (BARU)'!$G$518</definedName>
    <definedName name="kAcianMil">'[18]ANALISA SNI''13 '!$A$1375</definedName>
    <definedName name="kAcianPepalihan">'[18]ANALISA SNI''13 '!$A$1368</definedName>
    <definedName name="kAcianSemen">'[18]ANALISA SNI''13 '!$A$1361</definedName>
    <definedName name="kaga">[71]harsat!#REF!</definedName>
    <definedName name="KAIT_ANGIN">[18]ANALISA1!$J$1014</definedName>
    <definedName name="KaitAngin">'[18]ANALISA SNI''13 '!$I$2198</definedName>
    <definedName name="KALI">#REF!</definedName>
    <definedName name="kalm">[40]ANALISA!#REF!</definedName>
    <definedName name="kAlumFoil">'[18]ANALISA SNI''13 '!$A$1699</definedName>
    <definedName name="Kamboja_t._200_cm">'[20]Daftar Harga'!$G$427</definedName>
    <definedName name="kamper">[144]bahan!$D$23</definedName>
    <definedName name="kamper.1">#REF!</definedName>
    <definedName name="kamper.2">#REF!</definedName>
    <definedName name="kamper.3">#REF!</definedName>
    <definedName name="kamper.4">#REF!</definedName>
    <definedName name="kanik">#REF!</definedName>
    <definedName name="kansteen">'[5]HB '!$F$56</definedName>
    <definedName name="Kansteen__15x24x60__cm">'[74]Daftar Harga Material'!$G$58</definedName>
    <definedName name="Kansteen__18x15x40__cm">'[74]Daftar Harga Material'!$G$59</definedName>
    <definedName name="KANSTEEN_15x20x50_SEGILIMA">[18]ANALISA1!$J$1278</definedName>
    <definedName name="Kansteen_Taman__9x19x39">'[74]Daftar Harga Material'!$G$60</definedName>
    <definedName name="Kanstein_K.03_Cisangkan">'[20]Daftar Harga'!$G$29</definedName>
    <definedName name="Kanstenpracetak">#REF!</definedName>
    <definedName name="kanstin">#REF!</definedName>
    <definedName name="kap_alat_B">[67]CAPACITY!$J$68</definedName>
    <definedName name="kap_angkut_keluar">[67]CAPACITY!$J$152</definedName>
    <definedName name="kap_angukut_30">[67]CAPACITY!$J$135</definedName>
    <definedName name="kap_gali_manual">[67]CAPACITY!$J$48</definedName>
    <definedName name="kap_gali_ponton">[67]CAPACITY!$J$92</definedName>
    <definedName name="kap_gali_sulit">[67]CAPACITY!$J$116</definedName>
    <definedName name="kap_pengukuran">[67]CAPACITY!$J$31</definedName>
    <definedName name="kapa">[71]harsat!#REF!</definedName>
    <definedName name="KAPASITAS_AC">#REF!</definedName>
    <definedName name="KAPASITAS_ACL">#REF!</definedName>
    <definedName name="KAPASITAS_AGREGAT_A_PENINGGIAN">#REF!</definedName>
    <definedName name="KAPASITAS_AGREGAT_B_PENINGGIAN">#REF!</definedName>
    <definedName name="KAPASITAS_ATB">#REF!</definedName>
    <definedName name="KAPASITAS_ATBL">#REF!</definedName>
    <definedName name="KAPASITAS_BAHU_JALAN_DENGAN_TANAH_PILIHAN">#REF!</definedName>
    <definedName name="KAPASITAS_BAJA_TULANGAN">#REF!</definedName>
    <definedName name="KAPASITAS_BESI_SANDARAN">#REF!</definedName>
    <definedName name="KAPASITAS_BETON_B0">#REF!</definedName>
    <definedName name="KAPASITAS_BETON_K125">#REF!</definedName>
    <definedName name="KAPASITAS_BETON_K225">#REF!</definedName>
    <definedName name="KAPASITAS_CTSB">#REF!</definedName>
    <definedName name="KAPASITAS_GALIAN_DRAINASE">#REF!</definedName>
    <definedName name="kAPASITAS_GALIAN_MANUAL">#REF!</definedName>
    <definedName name="kAPASITAS_GALIAN_TANAH_KERAS">#REF!</definedName>
    <definedName name="kAPASITAS_GORONG_45SD75">#REF!</definedName>
    <definedName name="kAPASITAS_GORONG_75SD120">#REF!</definedName>
    <definedName name="kAPASITAS_GORONG_LEBIH_KECIL_45">#REF!</definedName>
    <definedName name="Kapasitas_hot_mix_minor">#REF!</definedName>
    <definedName name="KAPASITAS_LAPEN">#REF!</definedName>
    <definedName name="KAPASITAS_LAPIS_PONDASI_AGREGAT_A">#REF!</definedName>
    <definedName name="KAPASITAS_LAPIS_PONDASI_AGREGAT_B">#REF!</definedName>
    <definedName name="KAPASITAS_MARKA_JALAN">#REF!</definedName>
    <definedName name="KAPASITAS_PASANGAN_BATU">#REF!</definedName>
    <definedName name="KAPASITAS_Pasangan_batu_dengan_mortar">#REF!</definedName>
    <definedName name="KAPASITAS_PATOK_HEKTOMETER">#REF!</definedName>
    <definedName name="KAPASITAS_PATOK_KILOMETER">#REF!</definedName>
    <definedName name="KAPASITAS_PATOK_PENGARAH">#REF!</definedName>
    <definedName name="Kapasitas_pembersihan_pembongkaran">#REF!</definedName>
    <definedName name="Kapasitas_pembongkaran_bangunan">#REF!</definedName>
    <definedName name="kAPASITAS_PENTIAPAN_BADAN_JALAN">#REF!</definedName>
    <definedName name="kAPASITAS_PENYIAPAN_BADAN_JALAN">#REF!</definedName>
    <definedName name="KAPASITAS_PRIMECOAT">#REF!</definedName>
    <definedName name="KAPASITAS_TANAM_POHON">#REF!</definedName>
    <definedName name="KAPASITAS_TEBANG_POHON_30_50">#REF!</definedName>
    <definedName name="KAPASITAS_TEBANG_POHON_50_75">#REF!</definedName>
    <definedName name="KAPASITAS_TELFORD">#REF!</definedName>
    <definedName name="KAPASITAS_URUGAN_BIASA">#REF!</definedName>
    <definedName name="kAPASITAS_URUGAN_PILIHAN">#REF!</definedName>
    <definedName name="KAPBaja">'[18]ANALISA SNI''13 '!$I$2466</definedName>
    <definedName name="KAPSITAS_TEAK_COAT">#REF!</definedName>
    <definedName name="kapur">#REF!</definedName>
    <definedName name="kapur_gamp">#REF!</definedName>
    <definedName name="Kapur_Gamping">#REF!</definedName>
    <definedName name="kapur_pasang">'[57]Harga Satuan Dasar'!#REF!</definedName>
    <definedName name="kapur_ps">[45]HARSAT!#REF!</definedName>
    <definedName name="kArdePancang">'[18]ANALISA SNI''13 '!$A$2387</definedName>
    <definedName name="KaretDelatasi">#REF!</definedName>
    <definedName name="karung">#REF!</definedName>
    <definedName name="kasa">#REF!</definedName>
    <definedName name="KASARHALUS">'[14]Agg A'!#REF!</definedName>
    <definedName name="KASBUN">{"Book1","RAB PASAR 30 AUG SCRAB.xls"}</definedName>
    <definedName name="Kasia_Golden_t._100_cm">'[20]Daftar Harga'!$G$425</definedName>
    <definedName name="Kaso_5_7_Kamper_Banjar">'[20]Daftar Harga'!$G$104</definedName>
    <definedName name="kAtapAlang">'[18]ANALISA SNI''13 '!$A$1684</definedName>
    <definedName name="kAtapIjuk">'[18]ANALISA SNI''13 '!$A$2456</definedName>
    <definedName name="kAtapPlentongBiasa">'[18]ANALISA SNI''13 '!$A$1635</definedName>
    <definedName name="kAtapSeng">'[18]ANALISA SNI''13 '!$A$1692</definedName>
    <definedName name="kAtapSirap">'[18]ANALISA SNI''13 '!$A$1668</definedName>
    <definedName name="KAWAT">[84]HARGA!#REF!</definedName>
    <definedName name="Kawat_bendrat">'[81]RANGE BAHAN'!$B$36:$C$36</definedName>
    <definedName name="Kawat_beton">#REF!</definedName>
    <definedName name="kawat_harmonika">#REF!</definedName>
    <definedName name="kawat_las">#REF!</definedName>
    <definedName name="kawat_tulangan">#REF!</definedName>
    <definedName name="kawel">'[81]RANGE BAHAN'!$B$34:$C$34</definedName>
    <definedName name="Kayu">'[9]AN-SNI'!#REF!</definedName>
    <definedName name="Kayu_Bakar">'[74]Daftar Harga Material'!$G$64</definedName>
    <definedName name="Kayu_Borneo_Kelas_II">'[20]Daftar Harga'!$G$107</definedName>
    <definedName name="kayu_gelam">#REF!</definedName>
    <definedName name="kayu_jati">#REF!</definedName>
    <definedName name="Kayu_Jati_balok_ex_Malang">'[81]RANGE BAHAN'!$B$56:$C$56</definedName>
    <definedName name="Kayu_Jati_Jabar">'[20]Daftar Harga'!$G$96</definedName>
    <definedName name="Kayu_Jati_Jateng">'[20]Daftar Harga'!$G$95</definedName>
    <definedName name="Kayu_Jati_papan_ex_Malang">#REF!</definedName>
    <definedName name="Kayu_kamper">'[81]RANGE BAHAN'!$B$54:$C$54</definedName>
    <definedName name="Kayu_kamper_balok_papan">#REF!</definedName>
    <definedName name="Kayu_kamper_PAPAN">'[81]RANGE BAHAN'!$B$55:$C$55</definedName>
    <definedName name="KAYU_KLSIII">[85]HARGA!$G$29</definedName>
    <definedName name="Kayu_kruing_balok">'[81]RANGE BAHAN'!$B$53:$C$53</definedName>
    <definedName name="Kayu_meranti_balok">'[81]RANGE BAHAN'!$B$51:$C$51</definedName>
    <definedName name="Kayu_meranti_papan">'[81]RANGE BAHAN'!$B$52:$C$52</definedName>
    <definedName name="Kayu_Papan_borneo_Super">'[20]Daftar Harga'!$G$101</definedName>
    <definedName name="Kayu_Reng_Borneo_2_3">'[20]Daftar Harga'!$G$103</definedName>
    <definedName name="Kayu_terentang">'[20]Daftar Harga'!$G$89</definedName>
    <definedName name="kayumer">#REF!</definedName>
    <definedName name="kb">#REF!</definedName>
    <definedName name="kBakAdukan">'[18]ANALISA SNI''13 '!$A$418</definedName>
    <definedName name="kBakKOntrol">'[18]ANALISA SNI''13 '!$A$2264</definedName>
    <definedName name="kBakMandiFibre">'[18]ANALISA SNI''13 '!$A$2252</definedName>
    <definedName name="kBalokFe100">'[18]ANALISA SNI''13 '!$A$1021</definedName>
    <definedName name="kBalokFe110">'[18]ANALISA SNI''13 '!$A$1024</definedName>
    <definedName name="kBalokFe120">'[18]ANALISA SNI''13 '!$A$1025</definedName>
    <definedName name="kBalokFe125">'[82]ANALISA SNI''07(ubh bgsting)'!$A$1173</definedName>
    <definedName name="kBalokFe130">'[18]ANALISA SNI''13 '!$A$1026</definedName>
    <definedName name="kBalokFe140">'[18]ANALISA SNI''13 '!$A$1027</definedName>
    <definedName name="kBalokFe150">'[18]ANALISA SNI''13 '!$A$996</definedName>
    <definedName name="kBalokFe160">'[18]ANALISA SNI''13 '!$A$1028</definedName>
    <definedName name="kBalokFe170">'[18]ANALISA SNI''13 '!$A$1029</definedName>
    <definedName name="kBalokFe175">'[82]ANALISA SNI''07(ubh bgsting)'!$A$1174</definedName>
    <definedName name="kBalokFe180">'[18]ANALISA SNI''13 '!$A$1030</definedName>
    <definedName name="kBalokFe190">'[18]ANALISA SNI''13 '!$A$1031</definedName>
    <definedName name="kBalokFe200">'[18]ANALISA SNI''13 '!$A$1015</definedName>
    <definedName name="kBalokFe210">'[18]ANALISA SNI''13 '!$A$1032</definedName>
    <definedName name="kBalokFe220">'[18]ANALISA SNI''13 '!$A$1033</definedName>
    <definedName name="kBalokFe230">'[18]ANALISA SNI''13 '!$A$1034</definedName>
    <definedName name="kBalokFe240">'[18]ANALISA SNI''13 '!$A$1035</definedName>
    <definedName name="kBalokFe250">'[18]ANALISA SNI''13 '!$A$1036</definedName>
    <definedName name="kBalokFe260">'[18]ANALISA SNI''13 '!$A$1037</definedName>
    <definedName name="kBalokFe270">'[18]ANALISA SNI''13 '!$A$1038</definedName>
    <definedName name="kBalokFe280">'[18]ANALISA SNI''13 '!$A$1039</definedName>
    <definedName name="kBalokFe300">'[18]ANALISA SNI''13 '!$A$1060</definedName>
    <definedName name="kBalokFe80">'[18]ANALISA SNI''13 '!$A$1022</definedName>
    <definedName name="kBalokFe90">'[18]ANALISA SNI''13 '!$A$1023</definedName>
    <definedName name="kBangkubelajar">'[18]ANALISA SNI''13 '!$A$2513</definedName>
    <definedName name="kBatacoBesi">'[18]ANALISA SNI''13 '!$A$1270</definedName>
    <definedName name="kBatacononbesi">'[18]ANALISA SNI''13 '!$A$1279</definedName>
    <definedName name="KBC">#REF!</definedName>
    <definedName name="kbdelapan">[48]harga!$F$93</definedName>
    <definedName name="kbduabelas">[48]harga!$F$94</definedName>
    <definedName name="kBekestingBalok">'[18]ANALISA SNI''13 '!$A$756</definedName>
    <definedName name="kBekestingDinding">'[18]ANALISA SNI''13 '!$A$781</definedName>
    <definedName name="kBekestingKolom">'[18]ANALISA SNI''13 '!$A$744</definedName>
    <definedName name="kBekestingLantai">'[18]ANALISA SNI''13 '!$A$768</definedName>
    <definedName name="kBekestingPondasi">'[18]ANALISA SNI''13 '!$A$723</definedName>
    <definedName name="kBekestingSloof">'[18]ANALISA SNI''13 '!$A$732</definedName>
    <definedName name="kBekestingTangga">'[18]ANALISA SNI''13 '!$A$793</definedName>
    <definedName name="kBeton123">'[18]ANALISA SNI''13 '!$A$679</definedName>
    <definedName name="kBeton124">'[18]ANALISA SNI''13 '!$A$688</definedName>
    <definedName name="kBeton135">'[18]ANALISA SNI''13 '!$A$670</definedName>
    <definedName name="kBetonCorPepalihan">'[18]ANALISA SNI''13 '!$A$1221</definedName>
    <definedName name="kBetonK225">'[18]ANALISA SNI''13 '!$A$697</definedName>
    <definedName name="kBetonK275">'[18]ANALISA SNI''13 '!$A$706</definedName>
    <definedName name="kBkud2">'[18]ANALISA SNI''13 '!$A$477</definedName>
    <definedName name="kblima">[48]harga!$F$92</definedName>
    <definedName name="kblnym">#REF!</definedName>
    <definedName name="kBongkarBeton">'[18]ANALISA SNI''13 '!$A$437</definedName>
    <definedName name="kBongkarDinding">'[18]ANALISA SNI''13 '!$A$441</definedName>
    <definedName name="kBongkarGenteng">'[18]ANALISA SNI''13 '!$A$453</definedName>
    <definedName name="kBongkarKuda2">'[18]ANALISA SNI''13 '!$A$476</definedName>
    <definedName name="kBongkarKusen">'[18]ANALISA SNI''13 '!$A$481</definedName>
    <definedName name="kBongkarLantai">'[18]ANALISA SNI''13 '!$A$493</definedName>
    <definedName name="kBongkarPlafond">'[18]ANALISA SNI''13 '!$A$468</definedName>
    <definedName name="kBongkarRangkaAtap">'[18]ANALISA SNI''13 '!$A$460</definedName>
    <definedName name="kBongkarSeng">'[18]ANALISA SNI''13 '!$A$449</definedName>
    <definedName name="kBongkarTembok">'[92]ANALISA SNI''13 '!#REF!</definedName>
    <definedName name="kBongkarTotal">'[18]ANALISA SNI''13 '!$A$445</definedName>
    <definedName name="kBongpasDaunJ">'[18]ANALISA SNI''13 '!$A$489</definedName>
    <definedName name="kBPlaf2">'[18]ANALISA SNI''13 '!$A$469</definedName>
    <definedName name="kBRA2">'[18]ANALISA SNI''13 '!$A$461</definedName>
    <definedName name="kBtHitamKrasem">'[13]ANALISA SNI''13 '!#REF!</definedName>
    <definedName name="kBtKali11">'[18]ANALISA SNI''13 '!$A$570</definedName>
    <definedName name="kBtKali12">'[18]ANALISA SNI''13 '!$A$579</definedName>
    <definedName name="kBtKali13">'[18]ANALISA SNI''13 '!$A$588</definedName>
    <definedName name="kBtKali15">'[18]ANALISA SNI''13 '!$A$597</definedName>
    <definedName name="kBtKOsong">'[18]ANALISA SNI''13 '!$A$643</definedName>
    <definedName name="kBtMerah12">'[18]ANALISA SNI''13 '!$A$1232</definedName>
    <definedName name="kBtMerah13">'[18]ANALISA SNI''13 '!$A$1241</definedName>
    <definedName name="kBtMerah15">'[18]ANALISA SNI''13 '!$A$1250</definedName>
    <definedName name="kBtMerah15Pepalihan">'[18]ANALISA SNI''13 '!$A$1260</definedName>
    <definedName name="kBuangTanah150m">'[18]ANALISA SNI''13 '!$A$531</definedName>
    <definedName name="kBubungan">'[18]ANALISA SNI''13 '!$A$1628</definedName>
    <definedName name="kBubunganPlentBiasa">'[18]ANALISA SNI''13 '!$A$1644</definedName>
    <definedName name="kBubunganStelGlb">'[18]ANALISA SNI''13 '!$A$1660</definedName>
    <definedName name="kCatBaja">'[18]ANALISA SNI''13 '!$A$2154</definedName>
    <definedName name="kCatKayubaru">'[18]ANALISA SNI''13 '!$A$2093</definedName>
    <definedName name="kCatKayuLama">'[18]ANALISA SNI''13 '!$A$2139</definedName>
    <definedName name="kCatTembokBaru">#REF!</definedName>
    <definedName name="kCatTembokBaruJarum">'[18]ANALISA SNI''13 '!$A$2082</definedName>
    <definedName name="kCatTembokBaruVinileks">'[18]ANALISA SNI''13 '!$A$2072</definedName>
    <definedName name="kCatTembokUlang">#REF!</definedName>
    <definedName name="kCatTembokUlangJarum">'[18]ANALISA SNI''13 '!$A$2130</definedName>
    <definedName name="kCatTembokUlangV">#REF!</definedName>
    <definedName name="kCatTembokUlangVinileks">'[18]ANALISA SNI''13 '!$A$2121</definedName>
    <definedName name="kccermin3">#REF!</definedName>
    <definedName name="Kcmati">#REF!</definedName>
    <definedName name="kcpolos3">#REF!</definedName>
    <definedName name="kcpolos5">#REF!</definedName>
    <definedName name="kCycloop">'[18]ANALISA SNI''13 '!$A$609</definedName>
    <definedName name="KD">#REF!</definedName>
    <definedName name="kDindingBedeg">'[18]ANALISA SNI''13 '!$A$1298</definedName>
    <definedName name="kDindingFe100">'[18]ANALISA SNI''13 '!$A$1085</definedName>
    <definedName name="kDindingFe125">'[18]ANALISA SNI''13 '!$A$1087</definedName>
    <definedName name="kDindingFe150">'[18]ANALISA SNI''13 '!$A$1079</definedName>
    <definedName name="kDindingFe175">'[18]ANALISA SNI''13 '!$A$1088</definedName>
    <definedName name="kDindingFe80">'[18]ANALISA SNI''13 '!$A$1086</definedName>
    <definedName name="kDindingRoster">'[18]ANALISA SNI''13 '!$A$1288</definedName>
    <definedName name="Ke_tu_batu">#REF!</definedName>
    <definedName name="ke_tu_besi">#REF!</definedName>
    <definedName name="ke_tu_cat">#REF!</definedName>
    <definedName name="Ke_Tu_Kayu">#REF!</definedName>
    <definedName name="ke_tu_lis">#REF!</definedName>
    <definedName name="kelima">[48]harga!$F$95</definedName>
    <definedName name="KENEK_TRUK">#REF!</definedName>
    <definedName name="kEngselJendela">'[18]ANALISA SNI''13 '!$A$2177</definedName>
    <definedName name="kEngselPintu">'[18]ANALISA SNI''13 '!$A$2170</definedName>
    <definedName name="kep_tuk">'[145]Daf-Har-Pening'!$H$17</definedName>
    <definedName name="KEPALA">[84]HARGA!$G$17</definedName>
    <definedName name="kepala_tukang">'[143]UNIT PRICE'!$D$133</definedName>
    <definedName name="KEPALA_TUKANG__CAT">'[20]Daftar Upah'!$D$30</definedName>
    <definedName name="Kepala_Tukang_Batu">'[81]RANGE BAHAN'!$B$127:$C$127</definedName>
    <definedName name="kepala_tukang_besi">[68]BASIC!$F$18</definedName>
    <definedName name="KEPALA_TUKANG_BESI_BETON">#REF!</definedName>
    <definedName name="KEPALA_TUKANG_BESI_PROFIL">#REF!</definedName>
    <definedName name="Kepala_Tukang_Cat">'[81]RANGE BAHAN'!$B$129:$C$129</definedName>
    <definedName name="KEPALA_TUKANG_CAT___PELITUR">#REF!</definedName>
    <definedName name="KEPALA_TUKANG_GALI">'[20]Daftar Upah'!$D$32</definedName>
    <definedName name="Kepala_Tukang_Kayu">'[81]RANGE BAHAN'!$B$128:$C$128</definedName>
    <definedName name="KEPALA_TUKANG_LISTRIK">'[20]Daftar Upah'!$D$33</definedName>
    <definedName name="Kepala_Tukang_Plitur">#REF!</definedName>
    <definedName name="kepbatu">#REF!</definedName>
    <definedName name="kepbesi">#REF!</definedName>
    <definedName name="kepcat">#REF!</definedName>
    <definedName name="kepgali">#REF!</definedName>
    <definedName name="kepkayu">#REF!</definedName>
    <definedName name="keplist">#REF!</definedName>
    <definedName name="keppipa">#REF!</definedName>
    <definedName name="KEPTE">#REF!</definedName>
    <definedName name="keptkbatu">'[61]HB '!$F$199</definedName>
    <definedName name="keptkbesi">'[61]HB '!$F$200</definedName>
    <definedName name="keptkkayu">'[5]HB '!$F$198</definedName>
    <definedName name="ker3030es">#REF!</definedName>
    <definedName name="Keramik__Lantai_40_x_40_Campari_Roman">'[20]Daftar Harga'!#REF!</definedName>
    <definedName name="Keramik__Lantai_40_x_40_Marmer_PLATINUM">'[20]Daftar Harga'!#REF!</definedName>
    <definedName name="Keramik_10x20_dan_20x20_KW_I_DN_Putih___polos">'[20]Daftar Harga'!#REF!</definedName>
    <definedName name="Keramik_10x20_dan_20x20_KW_I_DN_Warna_anti_slip">'[20]Daftar Harga'!#REF!</definedName>
    <definedName name="Keramik_20_x_20_Wafel_Roman">'[20]Daftar Harga'!#REF!</definedName>
    <definedName name="KERAMIK_20x20_ANTISLIP">[18]ANALISA1!$J$769</definedName>
    <definedName name="KERAMIK_20x20_POLOS">#REF!</definedName>
    <definedName name="KERAMIK_20x25_POLOS">[18]ANALISA1!$J$795</definedName>
    <definedName name="Keramik_30x30__KW_I_DN_Putih___Polos">'[20]Daftar Harga'!#REF!</definedName>
    <definedName name="KERAMIK_30x30_ANTISLIP">#REF!</definedName>
    <definedName name="KERAMIK_30x30_POLOS">[18]ANALISA1!$J$757</definedName>
    <definedName name="KERAMIK_40x40_ANTISLIP">#REF!</definedName>
    <definedName name="KERAMIK_40X40_POLOS">[18]ANALISA1!$J$745</definedName>
    <definedName name="Keramik_dinding_20_x_33_Campari_Brown_Roman">'[20]Daftar Harga'!$G$165</definedName>
    <definedName name="Keramik_dinding_20_x_33_Campari_White_Roman">'[20]Daftar Harga'!$G$164</definedName>
    <definedName name="Keramik20">#REF!</definedName>
    <definedName name="keramik20.20">'[83]bahan+upah'!$E$149</definedName>
    <definedName name="Keramik2020">'[18]ANALISA SNI''13 '!$I$2033</definedName>
    <definedName name="keramik20x20">#REF!</definedName>
    <definedName name="keramik20x25">#REF!</definedName>
    <definedName name="Keramik30">#REF!</definedName>
    <definedName name="Keramik3030">'[18]ANALISA SNI''13 '!$I$1973</definedName>
    <definedName name="Keramik3030AntiSlip">'[18]ANALISA SNI''13 '!$I$1983</definedName>
    <definedName name="keramik30x30">#REF!</definedName>
    <definedName name="keramik40">#REF!</definedName>
    <definedName name="Keramikdinding20">#REF!</definedName>
    <definedName name="KeramikDinding2020">'[18]ANALISA SNI''13 '!$I$2043</definedName>
    <definedName name="KeramikDinding2025">#REF!</definedName>
    <definedName name="kerb_A">#REF!</definedName>
    <definedName name="kerb_B">#REF!</definedName>
    <definedName name="Kerikil">#REF!</definedName>
    <definedName name="kerikil_B_0">#REF!</definedName>
    <definedName name="kerikil_bet">#REF!</definedName>
    <definedName name="kerikil_beton">[68]BASIC!$F$104</definedName>
    <definedName name="kerikil_beton_LPB_B">[56]ANALIS!#REF!</definedName>
    <definedName name="kerikil_ctsb">#REF!</definedName>
    <definedName name="kerikil_K_1_2_5">#REF!</definedName>
    <definedName name="kerikil_K_2_2_5">#REF!</definedName>
    <definedName name="KERNET_AC">[56]ANALIS!#REF!</definedName>
    <definedName name="kernet_LPB_A">[56]ANALIS!#REF!</definedName>
    <definedName name="kernet_LPB_B">[56]ANALIS!#REF!</definedName>
    <definedName name="KEROSEN">[84]HARGA!#REF!</definedName>
    <definedName name="kerosine_prime_coat">#REF!</definedName>
    <definedName name="kerosine_tack_coat">#REF!</definedName>
    <definedName name="kertas_gosok">#REF!</definedName>
    <definedName name="kertgosok">[146]harga!$E$117</definedName>
    <definedName name="kertile">'[53]HB '!#REF!</definedName>
    <definedName name="kesen_p2">[45]ANALISA!#REF!</definedName>
    <definedName name="ketugaltan">#REF!</definedName>
    <definedName name="keuntungan">#REF!</definedName>
    <definedName name="KF">#REF!</definedName>
    <definedName name="kFDrain">'[18]ANALISA SNI''13 '!$A$2327</definedName>
    <definedName name="kfs">#REF!</definedName>
    <definedName name="kGalStripping1m">'[18]ANALISA SNI''13 '!$A$527</definedName>
    <definedName name="kGalTanah1m">'[18]ANALISA SNI''13 '!$A$503</definedName>
    <definedName name="kGalTanah2m">'[18]ANALISA SNI''13 '!$A$507</definedName>
    <definedName name="kGalTanah3m">'[18]ANALISA SNI''13 '!$A$511</definedName>
    <definedName name="kGalTanahKeras1m">'[18]ANALISA SNI''13 '!$A$515</definedName>
    <definedName name="kGalTnhCadas1m">'[18]ANALISA SNI''13 '!$A$519</definedName>
    <definedName name="kGalTnhLumpur1m">'[18]ANALISA SNI''13 '!$A$523</definedName>
    <definedName name="kgelam">[71]harsat!#REF!</definedName>
    <definedName name="kgfdf">'[73]div-8'!$L$189:$V$249</definedName>
    <definedName name="kGrendelJendela">'[18]ANALISA SNI''13 '!$A$2191</definedName>
    <definedName name="kGrendelPintu">'[18]ANALISA SNI''13 '!$A$2184</definedName>
    <definedName name="kgs">#REF!</definedName>
    <definedName name="KH">[147]HARGA!$G$62</definedName>
    <definedName name="kharmonika">[48]harga!$F$103</definedName>
    <definedName name="kIkutCeledu">'[18]ANALISA SNI''13 '!$A$1716</definedName>
    <definedName name="KILO_1">#REF!</definedName>
    <definedName name="KILO_2">#REF!</definedName>
    <definedName name="kInstalasiStopKontak">'[18]ANALISA SNI''13 '!$A$2369</definedName>
    <definedName name="kInstalasiTitikLampu">'[18]ANALISA SNI''13 '!$A$2366</definedName>
    <definedName name="kisdam_150">#REF!</definedName>
    <definedName name="kisdam_200">#REF!</definedName>
    <definedName name="Kistdam">#REF!</definedName>
    <definedName name="kitc100x2x0.6">#REF!</definedName>
    <definedName name="kitc2x100x2x0.6">#REF!</definedName>
    <definedName name="kiutg">'[73]div-8'!#REF!</definedName>
    <definedName name="KJ">#REF!</definedName>
    <definedName name="kJalanSementara">'[18]ANALISA SNI''13 '!$A$433</definedName>
    <definedName name="kjatiba">#REF!</definedName>
    <definedName name="kjatipa">#REF!</definedName>
    <definedName name="kjatireng">#REF!</definedName>
    <definedName name="kjatius">[71]harsat!#REF!</definedName>
    <definedName name="kJdlNako">'[18]ANALISA SNI''13 '!$A$2475</definedName>
    <definedName name="kjf">'[73]div-8'!#REF!</definedName>
    <definedName name="kjfjhk">'[73]div-8'!$L$377:$V$437</definedName>
    <definedName name="kjgd">'[73]div-8'!#REF!</definedName>
    <definedName name="kji">#REF!</definedName>
    <definedName name="kk10a">#REF!</definedName>
    <definedName name="kk16a">#REF!</definedName>
    <definedName name="kKaitAngin">'[18]ANALISA SNI''13 '!$A$2198</definedName>
    <definedName name="kkamba">[71]harsat!$G$18</definedName>
    <definedName name="kkampa">[71]harsat!#REF!</definedName>
    <definedName name="kkamreng">[71]harsat!#REF!</definedName>
    <definedName name="kkamus">[71]harsat!$G$20</definedName>
    <definedName name="kKAPBaja">'[18]ANALISA SNI''13 '!$A$2466</definedName>
    <definedName name="kKeramik2020">'[18]ANALISA SNI''13 '!$A$2033</definedName>
    <definedName name="kKeramik3030">'[18]ANALISA SNI''13 '!$A$1973</definedName>
    <definedName name="kKeramik3030AntiSlip">'[18]ANALISA SNI''13 '!$A$1983</definedName>
    <definedName name="kKeramik4040">'[18]ANALISA SNI''13 '!$A$2003</definedName>
    <definedName name="kKeramik4040AntiSlip">'[18]ANALISA SNI''13 '!$A$2013</definedName>
    <definedName name="kKeramikDinding2020">'[18]ANALISA SNI''13 '!$A$2043</definedName>
    <definedName name="kKlampKamper">'[18]ANALISA SNI''13 '!$A$1402</definedName>
    <definedName name="kKlosetDuduk">'[18]ANALISA SNI''13 '!$A$2215</definedName>
    <definedName name="kKlosetJongkok">'[18]ANALISA SNI''13 '!$A$2224</definedName>
    <definedName name="kkm">#REF!</definedName>
    <definedName name="kknymhy">#REF!</definedName>
    <definedName name="kKolom1015">'[18]ANALISA SNI''13 '!$A$1207</definedName>
    <definedName name="kKolom1111">'[18]ANALISA SNI''13 '!$A$1192</definedName>
    <definedName name="kKolomFe110">'[18]ANALISA SNI''13 '!$A$939</definedName>
    <definedName name="kKolomFe120">'[18]ANALISA SNI''13 '!$A$940</definedName>
    <definedName name="kKolomFe125">'[82]ANALISA SNI''07(ubh bgsting)'!$A$1076</definedName>
    <definedName name="kKolomFe130">'[18]ANALISA SNI''13 '!$A$941</definedName>
    <definedName name="kKolomFe140">'[18]ANALISA SNI''13 '!$A$942</definedName>
    <definedName name="kKolomFe150">'[18]ANALISA SNI''13 '!$A$943</definedName>
    <definedName name="kKolomFe160">'[18]ANALISA SNI''13 '!$A$944</definedName>
    <definedName name="kKolomFe170">'[18]ANALISA SNI''13 '!$A$945</definedName>
    <definedName name="kKolomFe175">'[82]ANALISA SNI''07(ubh bgsting)'!$A$1078</definedName>
    <definedName name="kKolomFe180">'[18]ANALISA SNI''13 '!$A$946</definedName>
    <definedName name="kKolomFe190">'[18]ANALISA SNI''13 '!$A$947</definedName>
    <definedName name="kKolomFe200">'[18]ANALISA SNI''13 '!$A$948</definedName>
    <definedName name="kKolomFe210">'[18]ANALISA SNI''13 '!$A$949</definedName>
    <definedName name="kKolomFe220">'[18]ANALISA SNI''13 '!$A$950</definedName>
    <definedName name="kKolomFe230">'[18]ANALISA SNI''13 '!$A$951</definedName>
    <definedName name="kKolomFe240">'[18]ANALISA SNI''13 '!$A$952</definedName>
    <definedName name="kKolomFe250">'[18]ANALISA SNI''13 '!$A$953</definedName>
    <definedName name="kKolomFe260">'[18]ANALISA SNI''13 '!$A$954</definedName>
    <definedName name="kKolomFe270">'[18]ANALISA SNI''13 '!$A$955</definedName>
    <definedName name="kKolomFe275">'[82]ANALISA SNI''07(ubh bgsting)'!$A$1081</definedName>
    <definedName name="kKolomFe280">'[18]ANALISA SNI''13 '!$A$956</definedName>
    <definedName name="kKolomFe310">'[18]ANALISA SNI''13 '!$A$977</definedName>
    <definedName name="kKolomFe80">'[18]ANALISA SNI''13 '!$A$937</definedName>
    <definedName name="kKolomFe90">'[18]ANALISA SNI''13 '!$A$938</definedName>
    <definedName name="kKRAN">'[18]ANALISA SNI''13 '!$A$2320</definedName>
    <definedName name="kkruba">[71]harsat!#REF!</definedName>
    <definedName name="kkrupa">[71]harsat!#REF!</definedName>
    <definedName name="kkruus">[71]harsat!#REF!</definedName>
    <definedName name="kkts">#REF!</definedName>
    <definedName name="kKuda2Kamper">'[18]ANALISA SNI''13 '!$A$1497</definedName>
    <definedName name="kKuda2Kruing">'[18]ANALISA SNI''13 '!$A$1506</definedName>
    <definedName name="kKuda2lama">'[18]ANALISA SNI''13 '!$A$1523</definedName>
    <definedName name="kkUDA2mERANTI">'[18]ANALISA SNI''13 '!$A$1515</definedName>
    <definedName name="kKunciSlot">'[18]ANALISA SNI''13 '!$A$2205</definedName>
    <definedName name="kKunciTanam">'[18]ANALISA SNI''13 '!$A$2163</definedName>
    <definedName name="kKupasPles">'[18]ANALISA SNI''13 '!$A$497</definedName>
    <definedName name="kKursiguru">'[18]ANALISA SNI''13 '!$A$2536</definedName>
    <definedName name="kKursiSiswa">'[18]ANALISA SNI''13 '!$A$2502</definedName>
    <definedName name="kKusenKmper">'[18]ANALISA SNI''13 '!$A$1394</definedName>
    <definedName name="kl">[148]BAHAN!$F$197</definedName>
    <definedName name="kLaburmowileks">'[18]ANALISA SNI''13 '!$A$2571</definedName>
    <definedName name="KlampKamper">'[18]ANALISA SNI''13 '!$I$1402</definedName>
    <definedName name="kLampuPijar25Watt">'[18]ANALISA SNI''13 '!$A$2381</definedName>
    <definedName name="kLampuTL25Watt">'[18]ANALISA SNI''13 '!$A$2384</definedName>
    <definedName name="kLapIjuk">'[18]ANALISA SNI''13 '!$A$554</definedName>
    <definedName name="KLAS_A1">#REF!</definedName>
    <definedName name="KLAS_A2">#REF!</definedName>
    <definedName name="KLAS_A3">#REF!</definedName>
    <definedName name="KLAS_B1">#REF!</definedName>
    <definedName name="KLAS_B2">#REF!</definedName>
    <definedName name="KLAS_B3">#REF!</definedName>
    <definedName name="klem_pipa">#REF!</definedName>
    <definedName name="klem_pvc">#REF!</definedName>
    <definedName name="kLemari">'[18]ANALISA SNI''13 '!$A$2550</definedName>
    <definedName name="kList34">'[18]ANALISA SNI''13 '!$A$1900</definedName>
    <definedName name="kList4">'[18]ANALISA SNI''13 '!$A$1908</definedName>
    <definedName name="kListPlaf">'[18]ANALISA SNI''13 '!$A$1892</definedName>
    <definedName name="kListplank20">'[18]ANALISA SNI''13 '!$A$1588</definedName>
    <definedName name="kListplank2x20">'[18]ANALISA SNI''13 '!$A$1612</definedName>
    <definedName name="kListProfil">'[13]ANALISA SNI''13 '!#REF!</definedName>
    <definedName name="kListTatab">'[18]ANALISA SNI''13 '!$A$1596</definedName>
    <definedName name="kloset">'[5]HB '!$F$156</definedName>
    <definedName name="KLOSET_DUDUK">#REF!</definedName>
    <definedName name="Kloset_Duduk_TOTO_C_436">'[20]Daftar Harga'!#REF!</definedName>
    <definedName name="Kloset_Duduk_TOTO_CW_420">'[20]Daftar Harga'!#REF!</definedName>
    <definedName name="kloset_jongkok">#REF!</definedName>
    <definedName name="Kloset_Jongkok_Poslin_Warna_Ex.INA">'[20]Daftar Harga'!#REF!</definedName>
    <definedName name="klosetduduk">'[83]bahan+upah'!$E$239</definedName>
    <definedName name="KlosetJongkok">'[18]ANALISA SNI''13 '!$I$2224</definedName>
    <definedName name="klosjong">#REF!</definedName>
    <definedName name="klp">#REF!</definedName>
    <definedName name="km">#REF!</definedName>
    <definedName name="kMCB">'[18]ANALISA SNI''13 '!$A$2390</definedName>
    <definedName name="kMejabelajar">'[13]ANALISA SNI''13 '!#REF!</definedName>
    <definedName name="kMejaguru">'[18]ANALISA SNI''13 '!$A$2525</definedName>
    <definedName name="kMeniBaja">'[18]ANALISA SNI''13 '!$A$2147</definedName>
    <definedName name="kmerba">[71]harsat!#REF!</definedName>
    <definedName name="kmerbe">[71]harsat!#REF!</definedName>
    <definedName name="kmerpa">[71]harsat!#REF!</definedName>
    <definedName name="kmerus">[71]harsat!#REF!</definedName>
    <definedName name="kmm">#REF!</definedName>
    <definedName name="kMurda">'[18]ANALISA SNI''13 '!$A$1710</definedName>
    <definedName name="knee">#REF!</definedName>
    <definedName name="Knee_PE_2">'[20]Daftar Harga'!$G$311</definedName>
    <definedName name="KNF">'[149]B - Norelec'!#REF!</definedName>
    <definedName name="kNokSeng">'[18]ANALISA SNI''13 '!$A$1707</definedName>
    <definedName name="kNokSirap">'[18]ANALISA SNI''13 '!$A$1678</definedName>
    <definedName name="ko">[150]HB!#REF!</definedName>
    <definedName name="kode">'[132]Harga bahan &amp; upah'!$B$8:$B$135</definedName>
    <definedName name="KODE2">#REF!</definedName>
    <definedName name="kode21816">[86]ANALIS!#REF!</definedName>
    <definedName name="KODE3">#REF!</definedName>
    <definedName name="koef">#REF!</definedName>
    <definedName name="koef.">'[151]harga bahan'!$G$1</definedName>
    <definedName name="koef.Rad">#REF!</definedName>
    <definedName name="koef1">#REF!</definedName>
    <definedName name="koeflingg">#REF!</definedName>
    <definedName name="koeflingk">#REF!</definedName>
    <definedName name="kof">#REF!</definedName>
    <definedName name="KOL">[152]Bahan!$K$7</definedName>
    <definedName name="koling">#REF!</definedName>
    <definedName name="KOLOM_100KG">[18]ANALISA1!$J$251</definedName>
    <definedName name="KOLOM_110KG">#REF!</definedName>
    <definedName name="KOLOM_120KG">#REF!</definedName>
    <definedName name="KOLOM_130KG">[18]ANALISA1!$J$254</definedName>
    <definedName name="KOLOM_140KG">#REF!</definedName>
    <definedName name="KOLOM_150KG">#REF!</definedName>
    <definedName name="KOLOM_160KG">#REF!</definedName>
    <definedName name="KOLOM_170KG">#REF!</definedName>
    <definedName name="KOLOM_180KG">#REF!</definedName>
    <definedName name="KOLOM_190KG">#REF!</definedName>
    <definedName name="KOLOM_200KG">#REF!</definedName>
    <definedName name="KOLOM_210KG">#REF!</definedName>
    <definedName name="KOLOM_220KG">#REF!</definedName>
    <definedName name="KOLOM_230KG">#REF!</definedName>
    <definedName name="KOLOM_240KG">#REF!</definedName>
    <definedName name="KOLOM_250KG">#REF!</definedName>
    <definedName name="KOLOM_260KG">#REF!</definedName>
    <definedName name="KOLOM_270KG">#REF!</definedName>
    <definedName name="KOLOM_280KG">#REF!</definedName>
    <definedName name="KOLOM_290KG">#REF!</definedName>
    <definedName name="KOLOM_300KG">#REF!</definedName>
    <definedName name="KOLOM_310KG">#REF!</definedName>
    <definedName name="KOLOM_320KG">#REF!</definedName>
    <definedName name="KOLOM_330KG">#REF!</definedName>
    <definedName name="KOLOM_340KG">#REF!</definedName>
    <definedName name="KOLOM_350KG">#REF!</definedName>
    <definedName name="kolom_p">#REF!</definedName>
    <definedName name="kolom_pds">#REF!</definedName>
    <definedName name="KOLOM_PRAKTIS">#REF!</definedName>
    <definedName name="Kolom1015">'[18]ANALISA SNI''13 '!$I$1207</definedName>
    <definedName name="Kolom1111">'[18]ANALISA SNI''13 '!$I$1192</definedName>
    <definedName name="KOLOM20X30">'[153]UNIT PRICE'!#REF!</definedName>
    <definedName name="KOLOM30X30">#REF!</definedName>
    <definedName name="KOLOM30X40">[45]ANALISA!#REF!</definedName>
    <definedName name="KOLOM40X40">'[153]UNIT PRICE'!#REF!</definedName>
    <definedName name="kolomf30">#REF!</definedName>
    <definedName name="KolomFe100">'[18]ANALISA SNI''13 '!$I$936</definedName>
    <definedName name="KolomFe110">'[18]ANALISA SNI''13 '!$I$939</definedName>
    <definedName name="KolomFe120">'[18]ANALISA SNI''13 '!$I$940</definedName>
    <definedName name="KolomFe125">#REF!</definedName>
    <definedName name="KolomFe130">'[18]ANALISA SNI''13 '!$I$941</definedName>
    <definedName name="KolomFe140">'[18]ANALISA SNI''13 '!$I$942</definedName>
    <definedName name="KolomFe150">'[18]ANALISA SNI''13 '!$I$943</definedName>
    <definedName name="KolomFe160">'[18]ANALISA SNI''13 '!$I$944</definedName>
    <definedName name="KolomFe170">'[18]ANALISA SNI''13 '!$I$945</definedName>
    <definedName name="KolomFe175">#REF!</definedName>
    <definedName name="KolomFe180">'[18]ANALISA SNI''13 '!$I$946</definedName>
    <definedName name="KolomFe190">'[18]ANALISA SNI''13 '!$I$947</definedName>
    <definedName name="KolomFe200">'[18]ANALISA SNI''13 '!$I$948</definedName>
    <definedName name="KolomFe210">'[18]ANALISA SNI''13 '!$I$949</definedName>
    <definedName name="KolomFe220">'[18]ANALISA SNI''13 '!$I$950</definedName>
    <definedName name="KolomFe230">'[18]ANALISA SNI''13 '!$I$951</definedName>
    <definedName name="KolomFe240">'[18]ANALISA SNI''13 '!$I$952</definedName>
    <definedName name="KolomFe250">'[18]ANALISA SNI''13 '!$I$953</definedName>
    <definedName name="KolomFe260">'[18]ANALISA SNI''13 '!$I$954</definedName>
    <definedName name="KolomFe270">'[18]ANALISA SNI''13 '!$I$955</definedName>
    <definedName name="KolomFe275">#REF!</definedName>
    <definedName name="KolomFe280">'[18]ANALISA SNI''13 '!$I$956</definedName>
    <definedName name="KolomFe300">'[18]ANALISA SNI''13 '!$I$930</definedName>
    <definedName name="KolomFe310">'[18]ANALISA SNI''13 '!$I$977</definedName>
    <definedName name="KolomFe80">'[18]ANALISA SNI''13 '!$I$937</definedName>
    <definedName name="KolomFe90">'[18]ANALISA SNI''13 '!$I$938</definedName>
    <definedName name="KOLOMKAYU">#REF!</definedName>
    <definedName name="kolter">#REF!</definedName>
    <definedName name="KOM">[152]HB!$H$5</definedName>
    <definedName name="kome">'[154]RAB ME'!$L$13</definedName>
    <definedName name="kon">#REF!</definedName>
    <definedName name="KONKU1">#REF!</definedName>
    <definedName name="KONKU2">#REF!</definedName>
    <definedName name="konstbaja">#REF!</definedName>
    <definedName name="kontrak">#REF!</definedName>
    <definedName name="KONTRAKTOR">#REF!</definedName>
    <definedName name="KOP">#REF!</definedName>
    <definedName name="koral">#REF!</definedName>
    <definedName name="koral_1_2">#REF!</definedName>
    <definedName name="koral_2_3">#REF!</definedName>
    <definedName name="koral_beton_K225">[57]analisa!#REF!</definedName>
    <definedName name="KORAL_beton_k350">[57]analisa!#REF!</definedName>
    <definedName name="koral_beton_rabat">[57]analisa!#REF!</definedName>
    <definedName name="KORAL_SIKAT">#REF!</definedName>
    <definedName name="koral0.5_1">[45]HARSAT!#REF!</definedName>
    <definedName name="koral1_2">[45]HARSAT!#REF!</definedName>
    <definedName name="koral2_3">[45]HARSAT!#REF!</definedName>
    <definedName name="korpeng">#REF!</definedName>
    <definedName name="kPagarSementara">'[18]ANALISA SNI''13 '!$A$340</definedName>
    <definedName name="kPanilKamper">'[18]ANALISA SNI''13 '!$A$1410</definedName>
    <definedName name="kparasbtgosokkerobk">'[18]ANALISA SNI''13 '!$A$2417</definedName>
    <definedName name="kparasbtgosokukir">'[18]ANALISA SNI''13 '!$A$2408</definedName>
    <definedName name="kParasBtgsk">'[13]ANALISA SNI''13 '!#REF!</definedName>
    <definedName name="kParaskerobk">'[18]ANALISA SNI''13 '!$A$2441</definedName>
    <definedName name="kParaspalimanan">'[18]ANALISA SNI''13 '!$A$2425</definedName>
    <definedName name="kPartisiPly">'[18]ANALISA SNI''13 '!$A$1314</definedName>
    <definedName name="kPas.Kaca">'[18]ANALISA SNI''13 '!$A$1436</definedName>
    <definedName name="kPas.Kaca5">'[18]ANALISA SNI''13 '!$A$1443</definedName>
    <definedName name="kPasAtapAsbes">'[18]ANALISA SNI''13 '!$A$1652</definedName>
    <definedName name="kPasAtapGenteng">'[18]ANALISA SNI''13 '!$A$1619</definedName>
    <definedName name="kPasKacaMati">'[18]ANALISA SNI''13 '!$A$1429</definedName>
    <definedName name="kPasKemKusen">'[18]ANALISA SNI''13 '!$A$485</definedName>
    <definedName name="kPaving6cm">'[18]ANALISA SNI''13 '!$A$2052</definedName>
    <definedName name="kPaving8">#REF!</definedName>
    <definedName name="kPaving8cm">'[18]ANALISA SNI''13 '!$A$2051</definedName>
    <definedName name="kPDoublePly">'[18]ANALISA SNI''13 '!$A$1460</definedName>
    <definedName name="kPekWatrProff">'[18]ANALISA SNI''13 '!$A$1383</definedName>
    <definedName name="kPelatFe100">'[18]ANALISA SNI''13 '!$A$1151</definedName>
    <definedName name="kPelatFe110">'[18]ANALISA SNI''13 '!$A$1155</definedName>
    <definedName name="kPelatFe120">'[18]ANALISA SNI''13 '!$A$1156</definedName>
    <definedName name="kPelatFe125">'[82]ANALISA SNI''07(ubh bgsting)'!$A$1343</definedName>
    <definedName name="kPelatFe130">'[18]ANALISA SNI''13 '!$A$1177</definedName>
    <definedName name="kPelatFe150">'[82]ANALISA SNI''07(ubh bgsting)'!$A$1344</definedName>
    <definedName name="kPelatFe60">'[18]ANALISA SNI''13 '!$A$1152</definedName>
    <definedName name="kPelatFe70">'[18]ANALISA SNI''13 '!$A$1153</definedName>
    <definedName name="kPelatFe80">'[18]ANALISA SNI''13 '!$A$1154</definedName>
    <definedName name="kPemadtTanah">'[18]ANALISA SNI''13 '!$A$539</definedName>
    <definedName name="kPembBedeng">'[18]ANALISA SNI''13 '!$A$411</definedName>
    <definedName name="kPembersihanLap">'[18]ANALISA SNI''13 '!$A$397</definedName>
    <definedName name="kPembesian">'[18]ANALISA SNI''13 '!$A$714</definedName>
    <definedName name="kPembGudang">'[18]ANALISA SNI''13 '!$A$383</definedName>
    <definedName name="kPembKantor">'[18]ANALISA SNI''13 '!$A$370</definedName>
    <definedName name="kPembRmhJaga">'[18]ANALISA SNI''13 '!$A$393</definedName>
    <definedName name="kPemubugBentala">'[18]ANALISA SNI''13 '!$A$1713</definedName>
    <definedName name="kPepalihanBwhKusen">'[92]ANALISA SNI''13 '!#REF!</definedName>
    <definedName name="kPepalihanPintu">'[92]ANALISA SNI''13 '!#REF!</definedName>
    <definedName name="kPepalihanPlin">'[92]ANALISA SNI''13 '!#REF!</definedName>
    <definedName name="kPeplihanKOlom">'[92]ANALISA SNI''13 '!#REF!</definedName>
    <definedName name="kPipaGalv">'[18]ANALISA SNI''13 '!$A$2272</definedName>
    <definedName name="kPipaGalv153">'[18]ANALISA SNI''13 '!$A$2280</definedName>
    <definedName name="kPJJalusiKamper">'[18]ANALISA SNI''13 '!$A$1479</definedName>
    <definedName name="kPJKacaKamper">'[18]ANALISA SNI''13 '!$A$1420</definedName>
    <definedName name="kPJKrepyak">'[18]ANALISA SNI''13 '!$A$1486</definedName>
    <definedName name="kpl_tkkayu">#REF!</definedName>
    <definedName name="KPL_TUKANG">'[155]Upah Bahan'!$G$12</definedName>
    <definedName name="kPlafAsbes">'[18]ANALISA SNI''13 '!$A$1860</definedName>
    <definedName name="kPlafEternit">'[18]ANALISA SNI''13 '!$A$1868</definedName>
    <definedName name="kPlafGedeg">'[18]ANALISA SNI''13 '!$A$1925</definedName>
    <definedName name="kPlafGedegExpose">'[18]ANALISA SNI''13 '!$A$1933</definedName>
    <definedName name="kPlafGypsum">'[18]ANALISA SNI''13 '!$A$1916</definedName>
    <definedName name="kPlafKalsiboard">'[18]ANALISA SNI''13 '!$A$1876</definedName>
    <definedName name="kPlafPly">'[18]ANALISA SNI''13 '!$A$1884</definedName>
    <definedName name="kPlafPlyRangka">'[92]ANALISA SNI''13 '!#REF!</definedName>
    <definedName name="kPles12">'[18]ANALISA SNI''13 '!$A$1322</definedName>
    <definedName name="kPles15">'[18]ANALISA SNI''13 '!$A$1330</definedName>
    <definedName name="kPles15pepalihan">'[18]ANALISA SNI''13 '!$A$1338</definedName>
    <definedName name="kPles16">'[18]ANALISA SNI''13 '!$A$1346</definedName>
    <definedName name="kPlint1030">'[18]ANALISA SNI''13 '!$A$1993</definedName>
    <definedName name="kPlint1040">'[18]ANALISA SNI''13 '!$A$2023</definedName>
    <definedName name="kPlintkayu">'[18]ANALISA SNI''13 '!$A$2060</definedName>
    <definedName name="kpltukang">[156]bahan!$D$170</definedName>
    <definedName name="kpltukangb">#REF!</definedName>
    <definedName name="kpltukangky">[157]bahan!$D$128</definedName>
    <definedName name="kpltukangl">#REF!</definedName>
    <definedName name="kpltukangp">#REF!</definedName>
    <definedName name="kPlyAlum">'[18]ANALISA SNI''13 '!$A$1471</definedName>
    <definedName name="kPolituranKayu">'[18]ANALISA SNI''13 '!$A$2102</definedName>
    <definedName name="kPondasiFe100">'[18]ANALISA SNI''13 '!$A$815</definedName>
    <definedName name="kPondasiFe110">'[18]ANALISA SNI''13 '!$A$818</definedName>
    <definedName name="kPondasiFe120">'[18]ANALISA SNI''13 '!$A$819</definedName>
    <definedName name="kPondasiFe125">'[82]ANALISA SNI''07(ubh bgsting)'!$A$966</definedName>
    <definedName name="kPondasiFe130">'[18]ANALISA SNI''13 '!$A$820</definedName>
    <definedName name="kPondasiFe140">'[18]ANALISA SNI''13 '!$A$821</definedName>
    <definedName name="kPondasiFe150">'[18]ANALISA SNI''13 '!$A$809</definedName>
    <definedName name="kPondasiFe160">'[18]ANALISA SNI''13 '!$A$822</definedName>
    <definedName name="kPondasiFe170">'[18]ANALISA SNI''13 '!$A$823</definedName>
    <definedName name="kPondasiFe175">'[82]ANALISA SNI''07(ubh bgsting)'!$A$967</definedName>
    <definedName name="kPondasiFe180">'[18]ANALISA SNI''13 '!$A$824</definedName>
    <definedName name="kPondasiFe190">'[18]ANALISA SNI''13 '!$A$825</definedName>
    <definedName name="kPondasiFe200">'[18]ANALISA SNI''13 '!$A$826</definedName>
    <definedName name="kPondasiFe210">'[18]ANALISA SNI''13 '!$A$827</definedName>
    <definedName name="kPondasiFe220">'[18]ANALISA SNI''13 '!$A$828</definedName>
    <definedName name="kPondasiFe230">'[18]ANALISA SNI''13 '!$A$829</definedName>
    <definedName name="kPondasiFe240">'[18]ANALISA SNI''13 '!$A$830</definedName>
    <definedName name="kPondasiFe250">'[18]ANALISA SNI''13 '!$A$831</definedName>
    <definedName name="kPondasiFe260">'[18]ANALISA SNI''13 '!$A$832</definedName>
    <definedName name="kPondasiFe270">'[18]ANALISA SNI''13 '!$A$833</definedName>
    <definedName name="kPondasiFe280">'[18]ANALISA SNI''13 '!$A$834</definedName>
    <definedName name="kPondasiFe300">'[18]ANALISA SNI''13 '!$A$852</definedName>
    <definedName name="kPondasiFe80">'[18]ANALISA SNI''13 '!$A$816</definedName>
    <definedName name="kPondasiFe90">'[18]ANALISA SNI''13 '!$A$817</definedName>
    <definedName name="kPondSumuran">'[18]ANALISA SNI''13 '!$A$619</definedName>
    <definedName name="kpr">#REF!</definedName>
    <definedName name="kprblk">#REF!</definedName>
    <definedName name="kprppn">#REF!</definedName>
    <definedName name="kprreng">#REF!</definedName>
    <definedName name="kprusuk">#REF!</definedName>
    <definedName name="kPsBouwplank">'[18]ANALISA SNI''13 '!$A$349</definedName>
    <definedName name="kPVC05">'[18]ANALISA SNI''13 '!$A$2288</definedName>
    <definedName name="kPVC153">'[13]ANALISA SNI''13 '!#REF!</definedName>
    <definedName name="kPVC2">'[18]ANALISA SNI''13 '!$A$2296</definedName>
    <definedName name="kPVC3">'[18]ANALISA SNI''13 '!$A$2304</definedName>
    <definedName name="kPVC34">'[13]ANALISA SNI''13 '!#REF!</definedName>
    <definedName name="kPVC4">'[18]ANALISA SNI''13 '!$A$2312</definedName>
    <definedName name="KR">#REF!</definedName>
    <definedName name="kRam">'[18]ANALISA SNI''13 '!$A$1604</definedName>
    <definedName name="KramikLnt2020">'[58]ANALISA  (BARU)'!$G$654</definedName>
    <definedName name="kran">'[5]HB '!$F$157</definedName>
    <definedName name="KRAN_AIR_PANAS_DINGIN">#REF!</definedName>
    <definedName name="Kran_Air_Setara_TOTO_TB860_R">'[20]Daftar Harga'!#REF!</definedName>
    <definedName name="KRAN_BIASA">#REF!</definedName>
    <definedName name="Kran_Cabang_1_2__Setara_TOTO_Type_TX401SBV2">'[20]Daftar Harga'!#REF!</definedName>
    <definedName name="Kran_Cabang_1_2__TOTO_TX401SAV1">'[20]Daftar Harga'!#REF!</definedName>
    <definedName name="kran_kuningan">#REF!</definedName>
    <definedName name="KRAN_LEHER_ANGSA">#REF!</definedName>
    <definedName name="KRAN_WASTAFEL">#REF!</definedName>
    <definedName name="kRangkaPartisi">'[18]ANALISA SNI''13 '!$A$1307</definedName>
    <definedName name="kRangkaPlf105">#REF!</definedName>
    <definedName name="kRangkaPlf105Kruing">'[18]ANALISA SNI''13 '!$A$1760</definedName>
    <definedName name="kRangkaPlf105Meranti">'[18]ANALISA SNI''13 '!$A$1798</definedName>
    <definedName name="kRangkaPlf105Mranti">#REF!</definedName>
    <definedName name="kRangkaPlf11">'[18]ANALISA SNI''13 '!$A$1744</definedName>
    <definedName name="kRangkaPlf11Kruing">'[18]ANALISA SNI''13 '!$A$1752</definedName>
    <definedName name="kRangkaPlf3030">'[18]ANALISA SNI''13 '!$A$1852</definedName>
    <definedName name="kRangkaPlf3060">'[18]ANALISA SNI''13 '!$A$1836</definedName>
    <definedName name="kRangkPlf25Bks">#REF!</definedName>
    <definedName name="kRangkPlf25BksKruing">'[18]ANALISA SNI''13 '!$A$1769</definedName>
    <definedName name="kRangkPlf25BksMeranti">'[18]ANALISA SNI''13 '!$A$1807</definedName>
    <definedName name="kRangkPlf25BksMranti">#REF!</definedName>
    <definedName name="kRangkPlf50Bks">#REF!</definedName>
    <definedName name="kRangkPlf50BksKruing">'[18]ANALISA SNI''13 '!$A$1779</definedName>
    <definedName name="kRangkPlf50BksMeranti">'[18]ANALISA SNI''13 '!$A$1817</definedName>
    <definedName name="kRangkPlf50BksMranti">#REF!</definedName>
    <definedName name="kRangkPlf70BksKruing">'[18]ANALISA SNI''13 '!$A$1789</definedName>
    <definedName name="KRANJANG">'[91]H Satuan'!$F$38</definedName>
    <definedName name="kranshow">#REF!</definedName>
    <definedName name="kranwas">#REF!</definedName>
    <definedName name="kRengkamper">'[18]ANALISA SNI''13 '!$A$1580</definedName>
    <definedName name="KRKM">#REF!</definedName>
    <definedName name="kruing">#REF!</definedName>
    <definedName name="kruing.1">#REF!</definedName>
    <definedName name="kruing.2">#REF!</definedName>
    <definedName name="kruing.3">#REF!</definedName>
    <definedName name="krung">#REF!</definedName>
    <definedName name="kSaklarGanda">'[18]ANALISA SNI''13 '!$A$2378</definedName>
    <definedName name="kSaklarTunggal">'[18]ANALISA SNI''13 '!$A$2375</definedName>
    <definedName name="kSepticL100">'[18]ANALISA SNI''13 '!$A$2363</definedName>
    <definedName name="kSepticL150">'[18]ANALISA SNI''13 '!$A$2345</definedName>
    <definedName name="kSiar15">'[18]ANALISA SNI''13 '!$A$1354</definedName>
    <definedName name="ksk">#REF!</definedName>
    <definedName name="kSloofFe100">'[18]ANALISA SNI''13 '!$A$874</definedName>
    <definedName name="kSloofFe110">'[18]ANALISA SNI''13 '!$A$877</definedName>
    <definedName name="kSloofFe120">'[18]ANALISA SNI''13 '!$A$878</definedName>
    <definedName name="kSloofFe125">'[13]ANALISA SNI''13 '!#REF!</definedName>
    <definedName name="kSloofFe130">'[18]ANALISA SNI''13 '!$A$879</definedName>
    <definedName name="kSloofFe140">'[18]ANALISA SNI''13 '!$A$880</definedName>
    <definedName name="kSloofFe150">'[18]ANALISA SNI''13 '!$A$881</definedName>
    <definedName name="kSloofFe160">'[18]ANALISA SNI''13 '!$A$882</definedName>
    <definedName name="kSloofFe170">'[18]ANALISA SNI''13 '!$A$883</definedName>
    <definedName name="kSloofFe175">'[13]ANALISA SNI''13 '!#REF!</definedName>
    <definedName name="kSloofFe180">'[18]ANALISA SNI''13 '!$A$884</definedName>
    <definedName name="kSloofFe190">'[18]ANALISA SNI''13 '!$A$885</definedName>
    <definedName name="kSloofFe200">'[18]ANALISA SNI''13 '!$A$868</definedName>
    <definedName name="kSloofFe210">'[18]ANALISA SNI''13 '!$A$886</definedName>
    <definedName name="kSloofFe220">'[18]ANALISA SNI''13 '!$A$887</definedName>
    <definedName name="kSloofFe230">'[18]ANALISA SNI''13 '!$A$888</definedName>
    <definedName name="kSloofFe240">'[18]ANALISA SNI''13 '!$A$889</definedName>
    <definedName name="kSloofFe250">'[18]ANALISA SNI''13 '!$A$890</definedName>
    <definedName name="kSloofFe260">'[18]ANALISA SNI''13 '!$A$891</definedName>
    <definedName name="kSloofFe270">'[18]ANALISA SNI''13 '!$A$892</definedName>
    <definedName name="kSloofFe280">'[18]ANALISA SNI''13 '!$A$893</definedName>
    <definedName name="kSloofFe80">'[18]ANALISA SNI''13 '!$A$875</definedName>
    <definedName name="kSloofFe90">'[18]ANALISA SNI''13 '!$A$876</definedName>
    <definedName name="kst">#REF!</definedName>
    <definedName name="kStegerBambu">'[18]ANALISA SNI''13 '!$A$426</definedName>
    <definedName name="kStopKontak">'[18]ANALISA SNI''13 '!$A$2372</definedName>
    <definedName name="kSukRengKamper">'[18]ANALISA SNI''13 '!$A$1532</definedName>
    <definedName name="KT">'[158]Bahan&amp; upah'!$F$168</definedName>
    <definedName name="kt_batu">#REF!</definedName>
    <definedName name="kt_besi">#REF!</definedName>
    <definedName name="kt_cat">#REF!</definedName>
    <definedName name="kt_kayu">#REF!</definedName>
    <definedName name="kTalangDatar">'[18]ANALISA SNI''13 '!$A$1725</definedName>
    <definedName name="kTalangMiring">'[18]ANALISA SNI''13 '!$A$1734</definedName>
    <definedName name="kTanggaFe100">'[18]ANALISA SNI''13 '!$A$1113</definedName>
    <definedName name="kTanggaFe110">'[18]ANALISA SNI''13 '!$A$1116</definedName>
    <definedName name="kTanggaFe120">'[18]ANALISA SNI''13 '!$A$1117</definedName>
    <definedName name="kTanggaFe125">'[82]ANALISA SNI''07(ubh bgsting)'!$A$1271</definedName>
    <definedName name="kTanggaFe130">'[18]ANALISA SNI''13 '!$A$1118</definedName>
    <definedName name="kTanggaFe140">'[18]ANALISA SNI''13 '!$A$1119</definedName>
    <definedName name="kTanggaFe150">'[18]ANALISA SNI''13 '!$A$1120</definedName>
    <definedName name="kTanggaFe160">'[18]ANALISA SNI''13 '!$A$1121</definedName>
    <definedName name="kTanggaFe170">'[18]ANALISA SNI''13 '!$A$1122</definedName>
    <definedName name="kTanggaFe175">'[82]ANALISA SNI''07(ubh bgsting)'!$A$1273</definedName>
    <definedName name="kTanggaFe180">'[18]ANALISA SNI''13 '!$A$1123</definedName>
    <definedName name="kTanggaFe190">'[18]ANALISA SNI''13 '!$A$1124</definedName>
    <definedName name="kTanggaFe200">'[18]ANALISA SNI''13 '!$A$1107</definedName>
    <definedName name="kTanggaFe210">'[18]ANALISA SNI''13 '!$A$1145</definedName>
    <definedName name="kTanggaFe80">'[18]ANALISA SNI''13 '!$A$1114</definedName>
    <definedName name="kTanggaFe90">'[18]ANALISA SNI''13 '!$A$1115</definedName>
    <definedName name="ktb">#REF!</definedName>
    <definedName name="KTBAT">#REF!</definedName>
    <definedName name="ktbatu">[71]harsat!$G$115</definedName>
    <definedName name="KTBE">#REF!</definedName>
    <definedName name="ktbesi">[71]harsat!$G$117</definedName>
    <definedName name="ktbs">#REF!</definedName>
    <definedName name="ktc">#REF!</definedName>
    <definedName name="ktcat">[71]harsat!$G$118</definedName>
    <definedName name="kTegelPCAbu1520">'[18]ANALISA SNI''13 '!$A$1963</definedName>
    <definedName name="kTegelPCAbu2020">'[18]ANALISA SNI''13 '!$A$1944</definedName>
    <definedName name="kTegelWarna2020">'[18]ANALISA SNI''13 '!$A$1954</definedName>
    <definedName name="ktgali">#REF!</definedName>
    <definedName name="kTiangPancang">'[18]ANALISA SNI''13 '!$A$635</definedName>
    <definedName name="kTiangpancang3535">'[18]ANALISA SNI''13 '!$A$659</definedName>
    <definedName name="kTiangsaka">'[18]ANALISA SNI''13 '!$A$2399</definedName>
    <definedName name="kTiangsakakayu">'[13]ANALISA SNI''13 '!#REF!</definedName>
    <definedName name="ktk">#REF!</definedName>
    <definedName name="ktk_besi_pembesian">[57]analisa!#REF!</definedName>
    <definedName name="ktkayu">[71]harsat!$G$116</definedName>
    <definedName name="ktlistrik">[71]harsat!$G$119</definedName>
    <definedName name="ktpipa">[71]harsat!$G$120</definedName>
    <definedName name="ktpm">#REF!</definedName>
    <definedName name="KUANTITAS">#REF!</definedName>
    <definedName name="kuas">#REF!</definedName>
    <definedName name="Kuas_2____3">'[20]Daftar Harga'!$G$78</definedName>
    <definedName name="kuda_kayu">#REF!</definedName>
    <definedName name="Kuda2Kamper">'[18]ANALISA SNI''13 '!$I$1497</definedName>
    <definedName name="Kuda2Kruing">'[18]ANALISA SNI''13 '!$I$1506</definedName>
    <definedName name="Kuda2lama">'[18]ANALISA SNI''13 '!$I$1523</definedName>
    <definedName name="kUDA2mERANTI">'[18]ANALISA SNI''13 '!$I$1515</definedName>
    <definedName name="Kudabajaringan">#REF!</definedName>
    <definedName name="Kudajati">#REF!</definedName>
    <definedName name="Kudajatiekspose">#REF!</definedName>
    <definedName name="Kudakamper">#REF!</definedName>
    <definedName name="Kudakamperekspose">#REF!</definedName>
    <definedName name="Kudakruing">#REF!</definedName>
    <definedName name="kudaWFlb200">#REF!</definedName>
    <definedName name="kudaWFlk200">#REF!</definedName>
    <definedName name="KULI">#REF!</definedName>
    <definedName name="kunci">#REF!</definedName>
    <definedName name="KUNCI_BULAT">#REF!</definedName>
    <definedName name="Kunci_Kaca">'[9]AN-SNI'!#REF!</definedName>
    <definedName name="kunci_pintu">#REF!</definedName>
    <definedName name="KUNCI_SELOT">[18]ANALISA1!$J$986</definedName>
    <definedName name="Kunci_tanam">'[81]RANGE BAHAN'!$B$86:$C$86</definedName>
    <definedName name="KUNCI_TANAM_2X_PUTAR">#REF!</definedName>
    <definedName name="Kunci_tanamSAS">#REF!</definedName>
    <definedName name="kuncipnt">#REF!</definedName>
    <definedName name="KunciSlot">'[18]ANALISA SNI''13 '!$I$2205</definedName>
    <definedName name="KunciTanam">'[18]ANALISA SNI''13 '!$I$2163</definedName>
    <definedName name="KupasPles">'[18]ANALISA SNI''13 '!$I$497</definedName>
    <definedName name="KupasPlesteran">#REF!</definedName>
    <definedName name="kUrgPasir">'[18]ANALISA SNI''13 '!$A$549</definedName>
    <definedName name="kUrgSirtu">'[18]ANALISA SNI''13 '!$A$559</definedName>
    <definedName name="kUrgTanahKembali">'[18]ANALISA SNI''13 '!$A$535</definedName>
    <definedName name="kUrgTnhDipdtkan">'[18]ANALISA SNI''13 '!$A$544</definedName>
    <definedName name="kUrinoir">'[18]ANALISA SNI''13 '!$A$2234</definedName>
    <definedName name="Kursiguru">'[18]ANALISA SNI''13 '!$I$2536</definedName>
    <definedName name="KursiSiswa">'[18]ANALISA SNI''13 '!$I$2502</definedName>
    <definedName name="KURUG">#REF!</definedName>
    <definedName name="kuse_pvc_warna">#REF!</definedName>
    <definedName name="KUSEN__PINTU__JENDELA__ALAT_ALAT_PENGGANTUNG_DAN_CURTAIN_WALL">#REF!</definedName>
    <definedName name="KUSEN_A">#REF!</definedName>
    <definedName name="KUSEN_ALUMINIUM_3">[18]ANALISA1!$J$375</definedName>
    <definedName name="KUSEN_ALUMINIUM_4">[18]ANALISA1!$J$374</definedName>
    <definedName name="KUSEN_B">#REF!</definedName>
    <definedName name="KUSEN_BASE">#REF!</definedName>
    <definedName name="KUSEN_C">#REF!</definedName>
    <definedName name="kusen_j1">[45]ANALISA!#REF!</definedName>
    <definedName name="kusen_p1">[45]ANALISA!#REF!</definedName>
    <definedName name="KUSEN_PINTU_JENDELA_KAYU_KLS_I">#REF!</definedName>
    <definedName name="KUSEN_PINTU_JENDELA_KAYU_KLS_II_III">#REF!</definedName>
    <definedName name="kusen_pvc_biasa">#REF!</definedName>
    <definedName name="Kusenjati">#REF!</definedName>
    <definedName name="Kusenkamper">#REF!</definedName>
    <definedName name="KusenKmper">'[18]ANALISA SNI''13 '!$I$1394</definedName>
    <definedName name="KusenKmpr">'[58]ANALISA  (BARU)'!$G$500</definedName>
    <definedName name="kUsukbekas">'[18]ANALISA SNI''13 '!$A$1572</definedName>
    <definedName name="kUsukkamper">'[18]ANALISA SNI''13 '!$A$1549</definedName>
    <definedName name="kUsukkmperketam">'[18]ANALISA SNI''13 '!$A$1557</definedName>
    <definedName name="kUsukkruing">'[18]ANALISA SNI''13 '!$A$1565</definedName>
    <definedName name="kUsukkruingrengkamper">'[18]ANALISA SNI''13 '!$A$1541</definedName>
    <definedName name="kVernisKayu">'[18]ANALISA SNI''13 '!$A$2112</definedName>
    <definedName name="kWastafel">'[18]ANALISA SNI''13 '!$A$2244</definedName>
    <definedName name="kwh1st">#REF!</definedName>
    <definedName name="kwh3st">#REF!</definedName>
    <definedName name="kwtb">'[40]DAFTAR UPAH DAN BAHAN'!$F$47</definedName>
    <definedName name="ky">#REF!</definedName>
    <definedName name="kygelam">#REF!</definedName>
    <definedName name="kykamper1215">#REF!</definedName>
    <definedName name="L">'[109]HARGA SAT.'!$E$6</definedName>
    <definedName name="L.061">[113]Bahan!$F$8</definedName>
    <definedName name="L.091">[113]Bahan!$F$16</definedName>
    <definedName name="L.099">[113]Bahan!$F$18</definedName>
    <definedName name="l.1">#REF!</definedName>
    <definedName name="l.10">#REF!</definedName>
    <definedName name="L.101">[113]Bahan!$F$19</definedName>
    <definedName name="l.11">#REF!</definedName>
    <definedName name="l.12">#REF!</definedName>
    <definedName name="l.2">#REF!</definedName>
    <definedName name="l.3">#REF!</definedName>
    <definedName name="l.4">#REF!</definedName>
    <definedName name="l.5">#REF!</definedName>
    <definedName name="l.6">#REF!</definedName>
    <definedName name="l.7">#REF!</definedName>
    <definedName name="l.8">#REF!</definedName>
    <definedName name="l.9">#REF!</definedName>
    <definedName name="L_10">[159]L_10!$A$1:$I$34</definedName>
    <definedName name="L_11">[159]L_11!$A$1:$F$36</definedName>
    <definedName name="L_13">[159]L_13!$A$1:$H$42</definedName>
    <definedName name="L_6a">[159]plant!$A$62:$S$121</definedName>
    <definedName name="L_6B">[159]plant!$A$1:$S$61</definedName>
    <definedName name="L_7">'[159]LAMP-7'!$A$1:$H$35</definedName>
    <definedName name="L_8">'[159]LAMP-5'!$A$1:$G$63</definedName>
    <definedName name="L_9">[159]L_9!$A$1:$I$45</definedName>
    <definedName name="L_A">#REF!</definedName>
    <definedName name="L_B">#REF!</definedName>
    <definedName name="L_BASE">#REF!</definedName>
    <definedName name="L_C">#REF!</definedName>
    <definedName name="L01_">[114]Basic!$F$7</definedName>
    <definedName name="L02_">[114]Basic!$F$8</definedName>
    <definedName name="L03_">[114]Basic!$F$9</definedName>
    <definedName name="L04_">[114]Basic!$F$10</definedName>
    <definedName name="L05_">[114]Basic!$F$11</definedName>
    <definedName name="L06_">[114]Basic!$F$12</definedName>
    <definedName name="L07_">[114]Basic!$F$13</definedName>
    <definedName name="L08_">[114]Basic!$F$14</definedName>
    <definedName name="L09_">[114]Basic!$F$15</definedName>
    <definedName name="l1ti50">#REF!</definedName>
    <definedName name="l1ti60">#REF!</definedName>
    <definedName name="l3l100">#REF!</definedName>
    <definedName name="l3l50">#REF!</definedName>
    <definedName name="l3l60">#REF!</definedName>
    <definedName name="l3l70">#REF!</definedName>
    <definedName name="l3l80">#REF!</definedName>
    <definedName name="l3ld100">#REF!</definedName>
    <definedName name="l3ld50">#REF!</definedName>
    <definedName name="l3ld60">#REF!</definedName>
    <definedName name="l3ld70">#REF!</definedName>
    <definedName name="l3ld80">#REF!</definedName>
    <definedName name="l3ti50">#REF!</definedName>
    <definedName name="l3ti60">#REF!</definedName>
    <definedName name="l3ti80">#REF!</definedName>
    <definedName name="l3tisf50">#REF!</definedName>
    <definedName name="l3tisf60">#REF!</definedName>
    <definedName name="LABO">#REF!</definedName>
    <definedName name="Laburmowileks">'[18]ANALISA SNI''13 '!$I$2571</definedName>
    <definedName name="LAINLAIN">#REF!</definedName>
    <definedName name="Lampu_Baret_CCB_20_acr___ring_lux">'[20]Daftar Harga'!#REF!</definedName>
    <definedName name="Lampu_Baret_CCB_32_acr___ring_Lux">'[20]Daftar Harga'!#REF!</definedName>
    <definedName name="Lampu_Baret_SCB_20_acr___ring_lux">'[20]Daftar Harga'!#REF!</definedName>
    <definedName name="Lampu_down_light">#REF!</definedName>
    <definedName name="Lampu_Gantung_hpl_Parabola_II_E14_Milk___Komponen">'[20]Daftar Harga'!#REF!</definedName>
    <definedName name="Lampu_hlg_E27_CAB_VII_KCT_5__Milk___Komponen">'[20]Daftar Harga'!#REF!</definedName>
    <definedName name="Lampu_Midestrip_acr_1x_18_watt___lampu_kuning">'[20]Daftar Harga'!#REF!</definedName>
    <definedName name="Lampu_Midestrip_acr_1x_18_watt___lampu_putih">'[20]Daftar Harga'!#REF!</definedName>
    <definedName name="Lampu_Midestrip_krs_1x_18_watt___lampu_kuning">'[20]Daftar Harga'!#REF!</definedName>
    <definedName name="Lampu_Midestrip_krs_1x_18_watt___lampu_putih">'[20]Daftar Harga'!#REF!</definedName>
    <definedName name="Lampu_Taman">'[20]Daftar Harga'!#REF!</definedName>
    <definedName name="Lampu_TL_20_watt_komplit">#REF!</definedName>
    <definedName name="Lampu_TL_40_watt_komplit">#REF!</definedName>
    <definedName name="Lampu_TL_RM_1_x_20_watt">#REF!</definedName>
    <definedName name="Lampu_TL_RM_2_x_20_watt">#REF!</definedName>
    <definedName name="Landep">'[20]Daftar Harga'!$G$429</definedName>
    <definedName name="Langit">'[9]AN-SNI'!#REF!</definedName>
    <definedName name="Lantai">'[9]AN-SNI'!#REF!</definedName>
    <definedName name="LANTAI_P3">#REF!</definedName>
    <definedName name="Lantana_campur">'[20]Daftar Harga'!$G$435</definedName>
    <definedName name="LapIjuk">'[18]ANALISA SNI''13 '!$I$554</definedName>
    <definedName name="lapis.agg.klasB">'[76]ANALISA-1'!#REF!</definedName>
    <definedName name="lapisaggr.klasA">'[76]ANALISA-1'!#REF!</definedName>
    <definedName name="lasdoof">#REF!</definedName>
    <definedName name="laston.3">'[76]ANALISA-1'!#REF!</definedName>
    <definedName name="laston.m2">'[76]ANALISA-1'!#REF!</definedName>
    <definedName name="lat_bantu">'[145]Daf-Har-Pening'!$H$58</definedName>
    <definedName name="lbowpvc4">#REF!</definedName>
    <definedName name="leb">#REF!</definedName>
    <definedName name="Lem_kayu">#REF!</definedName>
    <definedName name="Lem_kayu___Lem_Fox">'[20]Daftar Harga'!$G$75</definedName>
    <definedName name="Lem_Paralon___tb">'[20]Daftar Harga'!$G$307</definedName>
    <definedName name="lem_rajawali">#REF!</definedName>
    <definedName name="Lem_ribon">'[81]RANGE BAHAN'!$B$64:$C$64</definedName>
    <definedName name="Lemari">'[18]ANALISA SNI''13 '!$I$2550</definedName>
    <definedName name="lemfox">'[5]HB '!$F$101</definedName>
    <definedName name="lemkayu">#REF!</definedName>
    <definedName name="lempvc">#REF!</definedName>
    <definedName name="lgld100">#REF!</definedName>
    <definedName name="lgld70">#REF!</definedName>
    <definedName name="lgld80">#REF!</definedName>
    <definedName name="lgti50">#REF!</definedName>
    <definedName name="lgti60">#REF!</definedName>
    <definedName name="lgti70">#REF!</definedName>
    <definedName name="lgtisf50">#REF!</definedName>
    <definedName name="lgtisf60">#REF!</definedName>
    <definedName name="Lili_Alang_alang">'[20]Daftar Harga'!$G$433</definedName>
    <definedName name="lis_gypsum">#REF!</definedName>
    <definedName name="Lis_Gypsum_10_Siku_Jaya_Board">'[20]Daftar Harga'!$G$128</definedName>
    <definedName name="LIS_GYPSUM_2x5">#REF!</definedName>
    <definedName name="LIS_GYPSUM_5">#REF!</definedName>
    <definedName name="LIS_GYPSUM_9">#REF!</definedName>
    <definedName name="LIS_KAYU_PROFIL_2x5">[18]ANALISA1!$J$732</definedName>
    <definedName name="LIS_KAYU_PROFIL_7cm">#REF!</definedName>
    <definedName name="LIS_KERAMIK_7X20">#REF!</definedName>
    <definedName name="LIS_KERAMIK_DINDING_5X20">#REF!</definedName>
    <definedName name="liskrm">[48]harga!$F$130</definedName>
    <definedName name="lispla">'[53]HB '!#REF!</definedName>
    <definedName name="lisplang_kamper">#REF!</definedName>
    <definedName name="lisplank">#REF!</definedName>
    <definedName name="lisplank_kamper">#REF!</definedName>
    <definedName name="LISPLANK_KAYU_2x3x20">[18]ANALISA1!$J$651</definedName>
    <definedName name="LISPLANK_KAYU_3x20">#REF!</definedName>
    <definedName name="List15">'[58]ANALISA  (BARU)'!$G$582</definedName>
    <definedName name="List34">'[18]ANALISA SNI''13 '!$I$1900</definedName>
    <definedName name="List35">#REF!</definedName>
    <definedName name="List4">'[18]ANALISA SNI''13 '!$I$1908</definedName>
    <definedName name="listgypsum">'[5]HB '!$F$13</definedName>
    <definedName name="Listkalor15">#REF!</definedName>
    <definedName name="Listkalor35">#REF!</definedName>
    <definedName name="listpla">#REF!</definedName>
    <definedName name="ListPlaf15">'[18]ANALISA SNI''13 '!$I$1892</definedName>
    <definedName name="Listplank20">'[18]ANALISA SNI''13 '!$I$1588</definedName>
    <definedName name="Listplank2x20">'[18]ANALISA SNI''13 '!$I$1612</definedName>
    <definedName name="ListplankKmpr">'[58]ANALISA  (BARU)'!$G$491</definedName>
    <definedName name="ListProfil">'[13]ANALISA SNI''13 '!#REF!</definedName>
    <definedName name="ListTatab">'[18]ANALISA SNI''13 '!$I$1596</definedName>
    <definedName name="ListTrip34">#REF!</definedName>
    <definedName name="Listtrip4">#REF!</definedName>
    <definedName name="ListTrip4cm">#REF!</definedName>
    <definedName name="ListTripl4">'[58]ANALISA  (BARU)'!$G$598</definedName>
    <definedName name="Listtripleks34">#REF!</definedName>
    <definedName name="ljjj">[160]HB!$E$78</definedName>
    <definedName name="llfoeo" hidden="1">[123]H.Satuan!#REF!</definedName>
    <definedName name="LLL">#REF!</definedName>
    <definedName name="lmp25w">'[53]HB '!#REF!</definedName>
    <definedName name="LO">#REF!</definedName>
    <definedName name="LOAD">#REF!</definedName>
    <definedName name="LOBBY">#REF!</definedName>
    <definedName name="LOBY_A">#REF!</definedName>
    <definedName name="LOBY_B">#REF!</definedName>
    <definedName name="LOBY_BASE">#REF!</definedName>
    <definedName name="LOBY_C">#REF!</definedName>
    <definedName name="LOK">#REF!</definedName>
    <definedName name="lokasi">[114]data!$B$8</definedName>
    <definedName name="LPA_klas_A">[57]analisa!#REF!</definedName>
    <definedName name="lstEDates" localSheetId="2">#REF!</definedName>
    <definedName name="lstEDates" localSheetId="0">#REF!</definedName>
    <definedName name="lstEDates">#REF!</definedName>
    <definedName name="lstEmployees">[161]!tblEmployees[List of Employees]</definedName>
    <definedName name="lstEmpNames">[161]!tblLeave[Month]</definedName>
    <definedName name="lstHolidays">[161]!tblCompanyHolidays[Company Holidays]</definedName>
    <definedName name="lstHolidayTypes">[161]!tblLeaveTypes[Type of Leave]</definedName>
    <definedName name="lstHTypes">[161]!tblLeave[Type of Leave]</definedName>
    <definedName name="lstSdates" localSheetId="2">#REF!</definedName>
    <definedName name="lstSdates" localSheetId="0">#REF!</definedName>
    <definedName name="lstSdates">#REF!</definedName>
    <definedName name="Luas_Bangunan">#REF!</definedName>
    <definedName name="M">'[158]Bahan&amp; upah'!$F$167</definedName>
    <definedName name="m.1">#REF!</definedName>
    <definedName name="m.2">#REF!</definedName>
    <definedName name="m.3">#REF!</definedName>
    <definedName name="m.4">#REF!</definedName>
    <definedName name="m.5">#REF!</definedName>
    <definedName name="m.6">#REF!</definedName>
    <definedName name="m.7">#REF!</definedName>
    <definedName name="m.8">#REF!</definedName>
    <definedName name="m.9">#REF!</definedName>
    <definedName name="M_1">[46]ERET!$X$33</definedName>
    <definedName name="M_10">[46]ERET!$AG$33</definedName>
    <definedName name="M_11">[46]ERET!$AH$33</definedName>
    <definedName name="M_12">[46]ERET!$AI$33</definedName>
    <definedName name="M_13">[46]ERET!$AJ$33</definedName>
    <definedName name="M_14">[46]ERET!$AK$33</definedName>
    <definedName name="M_15">[46]ERET!$AL$33</definedName>
    <definedName name="m_16">[46]ERET!$AM$33</definedName>
    <definedName name="M_2">[46]ERET!$Y$33</definedName>
    <definedName name="M_3">[46]ERET!$Z$33</definedName>
    <definedName name="M_4">[46]ERET!$AA$33</definedName>
    <definedName name="M_5">[46]ERET!$AB$33</definedName>
    <definedName name="M_6">[46]ERET!$AC$33</definedName>
    <definedName name="M_7">[46]ERET!$AD$33</definedName>
    <definedName name="M_8">[46]ERET!$AE$33</definedName>
    <definedName name="M_9">[46]ERET!$AF$33</definedName>
    <definedName name="M001_">[114]Basic!$F$26</definedName>
    <definedName name="M01_">[114]Basic!$F$25</definedName>
    <definedName name="M02_">[114]Basic!$F$27</definedName>
    <definedName name="M03_">[114]Basic!$F$28</definedName>
    <definedName name="M04_">[114]Basic!$F$29</definedName>
    <definedName name="M05_">[114]Basic!$F$30</definedName>
    <definedName name="M06_">[114]Basic!$F$31</definedName>
    <definedName name="M07_">[114]Basic!$F$32</definedName>
    <definedName name="M08_">[114]Basic!$F$33</definedName>
    <definedName name="M09_">[114]Basic!$F$34</definedName>
    <definedName name="M10_">[114]Basic!$F$35</definedName>
    <definedName name="M11_">[114]Basic!$F$36</definedName>
    <definedName name="M12_">[114]Basic!$F$37</definedName>
    <definedName name="M13_">[114]Basic!$F$38</definedName>
    <definedName name="M14_">[114]Basic!$F$39</definedName>
    <definedName name="M15_">[114]Basic!$F$40</definedName>
    <definedName name="M16_">[114]Basic!$F$41</definedName>
    <definedName name="M17_">[114]Basic!$F$42</definedName>
    <definedName name="M18_">[114]Basic!$F$43</definedName>
    <definedName name="M19_">[114]Basic!$F$44</definedName>
    <definedName name="M1H1">#REF!</definedName>
    <definedName name="M20_">[114]Basic!$F$45</definedName>
    <definedName name="M21_">[114]Basic!$F$46</definedName>
    <definedName name="M22_">[114]Basic!$F$47</definedName>
    <definedName name="M23_">[114]Basic!$F$48</definedName>
    <definedName name="M24_">[114]Basic!$F$49</definedName>
    <definedName name="M25_">[114]Basic!$F$50</definedName>
    <definedName name="M26_">[114]Basic!$F$51</definedName>
    <definedName name="M27_">[114]Basic!$F$52</definedName>
    <definedName name="M28_">[114]Basic!$F$53</definedName>
    <definedName name="M29_">[114]Basic!$F$54</definedName>
    <definedName name="M30_">[114]Basic!$F$55</definedName>
    <definedName name="M31_">[114]Basic!$F$56</definedName>
    <definedName name="M32_">[114]Basic!$F$57</definedName>
    <definedName name="M33_">[114]Basic!$F$58</definedName>
    <definedName name="M34_">[114]Basic!$F$59</definedName>
    <definedName name="M35_">[114]Basic!$F$60</definedName>
    <definedName name="M36_">[114]Basic!$F$61</definedName>
    <definedName name="M37_">[114]Basic!$F$62</definedName>
    <definedName name="M38_">[114]Basic!$F$63</definedName>
    <definedName name="M39_">[114]Basic!$F$64</definedName>
    <definedName name="M40_">[114]Basic!$F$65</definedName>
    <definedName name="M41_">[114]Basic!$F$66</definedName>
    <definedName name="M42_">[114]Basic!$F$68</definedName>
    <definedName name="M43_">[114]Basic!$F$69</definedName>
    <definedName name="M44_">[114]Basic!$F$70</definedName>
    <definedName name="M45_">[114]Basic!$F$71</definedName>
    <definedName name="M46_">[114]Basic!$F$72</definedName>
    <definedName name="M47_">[114]Basic!$F$73</definedName>
    <definedName name="M48_">[114]Basic!$F$74</definedName>
    <definedName name="M49_">[114]Basic!$F$75</definedName>
    <definedName name="mamer40_60">#REF!</definedName>
    <definedName name="man">#REF!</definedName>
    <definedName name="mand">'[162]Harga Bahan &amp; Upah'!$I$9</definedName>
    <definedName name="mandor">[71]harsat!$G$114</definedName>
    <definedName name="mandor__angkut60">'[67]ANALISA HARGA SAT.'!$J$57</definedName>
    <definedName name="mandor__penebangan_pohon_dia_5_0">#REF!</definedName>
    <definedName name="mandor_aanstamping">[57]analisa!#REF!</definedName>
    <definedName name="mandor_AC">#REF!</definedName>
    <definedName name="mandor_ACL">#REF!</definedName>
    <definedName name="mandor_agregat_A_pelebaran">#REF!</definedName>
    <definedName name="mandor_agregat_A_peninggian">#REF!</definedName>
    <definedName name="mandor_agregat_B_pelebaran">#REF!</definedName>
    <definedName name="mandor_agregat_B_peninggian">#REF!</definedName>
    <definedName name="mandor_angkut_pembersihan">'[67]ANALISA HARGA SAT.'!$J$111</definedName>
    <definedName name="mandor_angkut_tanah_30">[57]analisa!#REF!</definedName>
    <definedName name="mandor_angkut30">'[67]ANALISA HARGA SAT.'!$J$51</definedName>
    <definedName name="mandor_aspal_minor">#REF!</definedName>
    <definedName name="mandor_ATB">#REF!</definedName>
    <definedName name="mandor_ATBL">#REF!</definedName>
    <definedName name="mandor_B_0">#REF!</definedName>
    <definedName name="mandor_bahu_jalan">#REF!</definedName>
    <definedName name="mandor_batu_belah_1_4">[56]ANALIS!#REF!</definedName>
    <definedName name="mandor_batu_kali">#REF!</definedName>
    <definedName name="mandor_begisting">#REF!</definedName>
    <definedName name="mandor_beton_k350">[57]analisa!#REF!</definedName>
    <definedName name="mandor_beton_rabat">[57]analisa!#REF!</definedName>
    <definedName name="mandor_ctsb">#REF!</definedName>
    <definedName name="mandor_drainase">[56]ANALIS!#REF!</definedName>
    <definedName name="Mandor_gali_alat_b">'[67]ANALISA HARGA SAT.'!$J$29</definedName>
    <definedName name="mandor_gali_lumpur">[56]ANALIS!#REF!</definedName>
    <definedName name="mandor_gali_manual">'[67]ANALISA HARGA SAT.'!$J$23</definedName>
    <definedName name="mandor_gali_ponton">'[67]ANALISA HARGA SAT.'!$J$37</definedName>
    <definedName name="mandor_gali_saluran">#REF!</definedName>
    <definedName name="mandor_gali_tanah_alat_berat">[57]analisa!#REF!</definedName>
    <definedName name="MANDOR_GALI_TANAH_KERAS">[56]ANALIS!#REF!</definedName>
    <definedName name="mandor_galian_biasa">#REF!</definedName>
    <definedName name="mandor_galian_padas">#REF!</definedName>
    <definedName name="mandor_galian_perkerasan">[57]analisa!#REF!</definedName>
    <definedName name="Mandor_gorong2_45sd75">#REF!</definedName>
    <definedName name="Mandor_gorong2_75sd120">#REF!</definedName>
    <definedName name="mandor_gorong2_sd45">#REF!</definedName>
    <definedName name="MANDOR_HAMPAR_AC">[56]ANALIS!#REF!</definedName>
    <definedName name="mandor_K_1_2_5">#REF!</definedName>
    <definedName name="mandor_K_2_2_5">#REF!</definedName>
    <definedName name="mandor_lapen">#REF!</definedName>
    <definedName name="mandor_LPB_A">[56]ANALIS!#REF!</definedName>
    <definedName name="mandor_LPB_B">[56]ANALIS!#REF!</definedName>
    <definedName name="mandor_macadam">#REF!</definedName>
    <definedName name="mandor_marka">#REF!</definedName>
    <definedName name="mandor_marka_jalan">#REF!</definedName>
    <definedName name="mandor_ngeruk_sulit">'[67]ANALISA HARGA SAT.'!$J$45</definedName>
    <definedName name="mandor_pancang">#REF!</definedName>
    <definedName name="mandor_pancang_beton">#REF!</definedName>
    <definedName name="Mandor_PAsang_batu_mortar">#REF!</definedName>
    <definedName name="mandor_pasir_padat">[86]ANALIS!#REF!</definedName>
    <definedName name="mandor_patok_hektometer">#REF!</definedName>
    <definedName name="mandor_patok_kilometer">#REF!</definedName>
    <definedName name="mandor_patok_pengarah">#REF!</definedName>
    <definedName name="Mandor_pembersihan">'[67]ANALISA HARGA SAT.'!$J$105</definedName>
    <definedName name="mandor_pembersihan_lapangan">[57]analisa!#REF!</definedName>
    <definedName name="mandor_pembersihan_pembongkaran">#REF!</definedName>
    <definedName name="mandor_pembesian">[57]analisa!#REF!</definedName>
    <definedName name="mandor_Pembongkaran_bangunan">#REF!</definedName>
    <definedName name="mandor_penanaman_pohon">#REF!</definedName>
    <definedName name="mandor_penebangan_pohon_dia_3_0">#REF!</definedName>
    <definedName name="mandor_penebangan_pohon_dia_5_0">#REF!</definedName>
    <definedName name="mandor_pengerukan_lumpur_lokasi_sulit">[57]analisa!#REF!</definedName>
    <definedName name="mandor_penyiapan_badan_jalan">#REF!</definedName>
    <definedName name="mandor_perataan">'[67]ANALISA HARGA SAT.'!$J$118</definedName>
    <definedName name="MANDOR_PERKERASAN">[56]ANALIS!#REF!</definedName>
    <definedName name="mandor_prime_coat">#REF!</definedName>
    <definedName name="mandor_ps_batu_merah">[57]analisa!#REF!</definedName>
    <definedName name="mandor_sandaran">#REF!</definedName>
    <definedName name="mandor_tack_coat">#REF!</definedName>
    <definedName name="mandor_telford">#REF!</definedName>
    <definedName name="mandor_tulangan">#REF!</definedName>
    <definedName name="MANDOR_URUG_TANAH_BIASA">#REF!</definedName>
    <definedName name="mandor_urugan_pasir_padat">[56]ANALIS!#REF!</definedName>
    <definedName name="mandor_urugan_tanah_padat">[56]ANALIS!#REF!</definedName>
    <definedName name="MANDOR_URUGAN_TANAH_PILIHAN">#REF!</definedName>
    <definedName name="Mangkok_Listrik">'[20]Daftar Harga'!$G$380</definedName>
    <definedName name="mark_up">#REF!</definedName>
    <definedName name="MARKA_1">#REF!</definedName>
    <definedName name="MARKA_2">#REF!</definedName>
    <definedName name="MARKUP">#REF!</definedName>
    <definedName name="mas">{"Book1","4.09 FLORA DAN FAUNA.xls","4.22 PERLENGKAPAN SEKOLAH.xls"}</definedName>
    <definedName name="MAS_AMIN">#REF!</definedName>
    <definedName name="mas0">{"Book1","4.09 FLORA DAN FAUNA.xls","4.22 PERLENGKAPAN SEKOLAH.xls"}</definedName>
    <definedName name="masd">{"Book1","4.09 FLORA DAN FAUNA.xls","4.22 PERLENGKAPAN SEKOLAH.xls"}</definedName>
    <definedName name="masf">{"Book1","4.09 FLORA DAN FAUNA.xls","4.22 PERLENGKAPAN SEKOLAH.xls"}</definedName>
    <definedName name="mast">{"Book1","4.09 FLORA DAN FAUNA.xls","4.22 PERLENGKAPAN SEKOLAH.xls"}</definedName>
    <definedName name="mat">#REF!</definedName>
    <definedName name="MATERIAL">#REF!</definedName>
    <definedName name="Material_Lose_Factor">#REF!</definedName>
    <definedName name="Material_pilihan">#REF!</definedName>
    <definedName name="material_timbunan_bahu_jalan">#REF!</definedName>
    <definedName name="may">{"Book1","4.09 FLORA DAN FAUNA.xls","4.22 PERLENGKAPAN SEKOLAH.xls"}</definedName>
    <definedName name="MCB">'[18]ANALISA SNI''13 '!$I$2390</definedName>
    <definedName name="MCB_1_Pase">'[20]Daftar Harga'!#REF!</definedName>
    <definedName name="mcb_100a">#REF!</definedName>
    <definedName name="MCB_25A_MG_NC45a">'[20]Daftar Harga'!$G$388</definedName>
    <definedName name="MCB_3_Pase">'[20]Daftar Harga'!#REF!</definedName>
    <definedName name="mdr">[163]UPAH!$J$9</definedName>
    <definedName name="Me">{"Book1","4.09 FLORA DAN FAUNA.xls","4.22 PERLENGKAPAN SEKOLAH.xls"}</definedName>
    <definedName name="mef">{"Book1","4.09 FLORA DAN FAUNA.xls","4.22 PERLENGKAPAN SEKOLAH.xls"}</definedName>
    <definedName name="Mejabelajar">'[13]ANALISA SNI''13 '!#REF!</definedName>
    <definedName name="Mejaguru">'[18]ANALISA SNI''13 '!$I$2525</definedName>
    <definedName name="MejaSiswaGanda">'[18]ANALISA SNI''13 '!$I$2491</definedName>
    <definedName name="mek">{"Book1","4.09 FLORA DAN FAUNA.xls","4.22 PERLENGKAPAN SEKOLAH.xls"}</definedName>
    <definedName name="meka">{"Book1","4.09 FLORA DAN FAUNA.xls","4.22 PERLENGKAPAN SEKOLAH.xls"}</definedName>
    <definedName name="Mekanik">#REF!</definedName>
    <definedName name="mekar">{"Book1","4.09 FLORA DAN FAUNA.xls","4.22 PERLENGKAPAN SEKOLAH.xls"}</definedName>
    <definedName name="mekd">{"Book1","4.09 FLORA DAN FAUNA.xls","4.22 PERLENGKAPAN SEKOLAH.xls"}</definedName>
    <definedName name="meke">{"Book1","4.09 FLORA DAN FAUNA.xls","4.22 PERLENGKAPAN SEKOLAH.xls"}</definedName>
    <definedName name="mekf">{"Book1","4.09 FLORA DAN FAUNA.xls","4.22 PERLENGKAPAN SEKOLAH.xls"}</definedName>
    <definedName name="meki">{"Book1","4.09 FLORA DAN FAUNA.xls","4.22 PERLENGKAPAN SEKOLAH.xls"}</definedName>
    <definedName name="mekl">{"Book1","4.09 FLORA DAN FAUNA.xls","4.22 PERLENGKAPAN SEKOLAH.xls"}</definedName>
    <definedName name="meko">{"Book1","4.09 FLORA DAN FAUNA.xls","4.22 PERLENGKAPAN SEKOLAH.xls"}</definedName>
    <definedName name="mekot">{"Book1","4.09 FLORA DAN FAUNA.xls","4.22 PERLENGKAPAN SEKOLAH.xls"}</definedName>
    <definedName name="mekp">{"Book1","4.09 FLORA DAN FAUNA.xls","4.22 PERLENGKAPAN SEKOLAH.xls"}</definedName>
    <definedName name="mekpli">{"Book1","4.09 FLORA DAN FAUNA.xls","4.22 PERLENGKAPAN SEKOLAH.xls"}</definedName>
    <definedName name="meku">{"Book1","4.09 FLORA DAN FAUNA.xls","4.22 PERLENGKAPAN SEKOLAH.xls"}</definedName>
    <definedName name="MENANAM_1_BATANG_POHON_CEMARA_PAPUA_T._200_CM">'[20]Rekap Analisa'!#REF!</definedName>
    <definedName name="MENANAM_1_BATANG_POHON_KAMBOJA_T._200_CM">'[20]Rekap Analisa'!#REF!</definedName>
    <definedName name="MENANAM_1_BATANG_POHON_KASIA_GOLDEN_T._100_CM">'[20]Rekap Analisa'!#REF!</definedName>
    <definedName name="MENANAM_1_BATANG_POHON_PINUS_DAMAR_T._2.50_3.00_M">'[20]Rekap Analisa'!#REF!</definedName>
    <definedName name="MENANAM_1_BATANG_POHON_SIKAT_BOTOL_T._200_CM">'[20]Rekap Analisa'!#REF!</definedName>
    <definedName name="MenempatkanBesiBeton">#REF!</definedName>
    <definedName name="meng">[147]HARGA!$B$56</definedName>
    <definedName name="Menggilas">[84]ANALISA!$J$63</definedName>
    <definedName name="meni_besi">#REF!</definedName>
    <definedName name="meni_kayu">#REF!</definedName>
    <definedName name="Meni_kayu_pedang">'[81]RANGE BAHAN'!$B$95:$C$95</definedName>
    <definedName name="MeniBaja">'[18]ANALISA SNI''13 '!$I$2147</definedName>
    <definedName name="menikayu">[48]harga!$F$176</definedName>
    <definedName name="MENUAL">#REF!</definedName>
    <definedName name="MENUBOQ">#REF!</definedName>
    <definedName name="MENUD2">[33]DIV2!#REF!</definedName>
    <definedName name="MENUD2F">[33]DIV2!#REF!</definedName>
    <definedName name="MENUD2F2">[33]DIV2!#REF!</definedName>
    <definedName name="MENUD2U">[33]DIV2!#REF!</definedName>
    <definedName name="MENUD2U2">[33]DIV2!#REF!</definedName>
    <definedName name="meq">{"Book1","4.09 FLORA DAN FAUNA.xls","4.22 PERLENGKAPAN SEKOLAH.xls"}</definedName>
    <definedName name="mer">{"Book1","4.09 FLORA DAN FAUNA.xls","4.22 PERLENGKAPAN SEKOLAH.xls"}</definedName>
    <definedName name="merah">{"Book1","4.09 FLORA DAN FAUNA.xls","4.22 PERLENGKAPAN SEKOLAH.xls"}</definedName>
    <definedName name="meranti">#REF!</definedName>
    <definedName name="meranti.1">#REF!</definedName>
    <definedName name="meranti.2">#REF!</definedName>
    <definedName name="meranti.3">#REF!</definedName>
    <definedName name="meranti_begisting">'[57]Harga Satuan Dasar'!#REF!</definedName>
    <definedName name="meranti_begisting_acuan_beton">[57]analisa!#REF!</definedName>
    <definedName name="meranti_usuk">'[57]Harga Satuan Dasar'!#REF!</definedName>
    <definedName name="mes">{"Book1","4.09 FLORA DAN FAUNA.xls","4.22 PERLENGKAPAN SEKOLAH.xls"}</definedName>
    <definedName name="met">{"Book1","4.09 FLORA DAN FAUNA.xls","4.22 PERLENGKAPAN SEKOLAH.xls"}</definedName>
    <definedName name="metal_furringC25x20x1">#REF!</definedName>
    <definedName name="metal_furringC35x15x.5">#REF!</definedName>
    <definedName name="metal_statC">#REF!</definedName>
    <definedName name="metal_statU">#REF!</definedName>
    <definedName name="Metal_Stud_C40x40x10x1">#REF!</definedName>
    <definedName name="Metal_Stud_U40x40x1">#REF!</definedName>
    <definedName name="meu">{"Book1","4.09 FLORA DAN FAUNA.xls","4.22 PERLENGKAPAN SEKOLAH.xls"}</definedName>
    <definedName name="mev">{"Book1","4.09 FLORA DAN FAUNA.xls","4.22 PERLENGKAPAN SEKOLAH.xls"}</definedName>
    <definedName name="mew">{"Book1","4.09 FLORA DAN FAUNA.xls","4.22 PERLENGKAPAN SEKOLAH.xls"}</definedName>
    <definedName name="mey">{"Book1","4.09 FLORA DAN FAUNA.xls","4.22 PERLENGKAPAN SEKOLAH.xls"}</definedName>
    <definedName name="meyi">{"Book1","4.09 FLORA DAN FAUNA.xls","4.22 PERLENGKAPAN SEKOLAH.xls"}</definedName>
    <definedName name="mibes">[68]BASIC!$F$133</definedName>
    <definedName name="miges">[56]BASIC!#REF!</definedName>
    <definedName name="MIIP">'[109]HARGA SAT.'!$E$5</definedName>
    <definedName name="MING1">'[164]LAP. MINGG'!$F$10</definedName>
    <definedName name="MING2">'[164]LAP. MINGG'!$F$67</definedName>
    <definedName name="MING3">'[164]LAP. MINGG'!$F$124</definedName>
    <definedName name="MING4">'[164]LAP. MINGG'!$F$181</definedName>
    <definedName name="MING5">'[164]LAP. MINGG'!$F$238</definedName>
    <definedName name="MING6">'[164]LAP. MINGG'!$F$295</definedName>
    <definedName name="MING7">'[164]LAP. MINGG'!$F$353</definedName>
    <definedName name="MINOR">'[14]%'!#REF!</definedName>
    <definedName name="minyak_aspal">[45]HARSAT!#REF!</definedName>
    <definedName name="MINYAK_ASPAL_HAMPAR_AC">[56]ANALIS!#REF!</definedName>
    <definedName name="minyak_bekas">'[57]Harga Satuan Dasar'!#REF!</definedName>
    <definedName name="minyakcat">[146]harga!$E$162</definedName>
    <definedName name="minyaktanah">#REF!</definedName>
    <definedName name="miring">#REF!</definedName>
    <definedName name="MISC">#REF!</definedName>
    <definedName name="mixer">#REF!</definedName>
    <definedName name="mlamir">#REF!</definedName>
    <definedName name="mlitur">#REF!</definedName>
    <definedName name="mm">#REF!</definedName>
    <definedName name="mmc" hidden="1">{#N/A,#N/A,TRUE,"Front";#N/A,#N/A,TRUE,"Simple Letter";#N/A,#N/A,TRUE,"Inside";#N/A,#N/A,TRUE,"Contents";#N/A,#N/A,TRUE,"Basis";#N/A,#N/A,TRUE,"Inclusions";#N/A,#N/A,TRUE,"Exclusions";#N/A,#N/A,TRUE,"Areas";#N/A,#N/A,TRUE,"Summary";#N/A,#N/A,TRUE,"Detail"}</definedName>
    <definedName name="MMM17A">#REF!</definedName>
    <definedName name="MMM35A">#REF!</definedName>
    <definedName name="mnador_beton_K225">[57]analisa!#REF!</definedName>
    <definedName name="mnyak_tanah">#REF!</definedName>
    <definedName name="mob_ex">#REF!</definedName>
    <definedName name="mob_exc">#REF!</definedName>
    <definedName name="MOBILISASI">#REF!</definedName>
    <definedName name="Molen">#REF!</definedName>
    <definedName name="molen_batu_belah_1_4">[56]ANALIS!#REF!</definedName>
    <definedName name="molen_beton_K225">[57]analisa!#REF!</definedName>
    <definedName name="MOLEN_beton_k350">[57]analisa!#REF!</definedName>
    <definedName name="mot_grad">#REF!</definedName>
    <definedName name="Motor_grader">#REF!</definedName>
    <definedName name="motor_grader__penyiapan_badan_jalan">#REF!</definedName>
    <definedName name="motor_grader__URUGAN_TANAH_PILIHAN">#REF!</definedName>
    <definedName name="motor_grader_agregat_A_pelebaran">#REF!</definedName>
    <definedName name="motor_grader_agregat_A_peninggian">#REF!</definedName>
    <definedName name="motor_grader_agregat_B_pelebaran">#REF!</definedName>
    <definedName name="motor_grader_agregat_B_peninggian">#REF!</definedName>
    <definedName name="motor_grader_bahu_jalan">#REF!</definedName>
    <definedName name="motor_grader_LPB_A">[56]ANALIS!#REF!</definedName>
    <definedName name="motor_grader_LPB_B">[56]ANALIS!#REF!</definedName>
    <definedName name="mozaik">#REF!</definedName>
    <definedName name="mplek12">[48]harga!$F$181</definedName>
    <definedName name="mplek4">#REF!</definedName>
    <definedName name="mplek9">[48]harga!$F$180</definedName>
    <definedName name="mt">[165]HB!$F$78</definedName>
    <definedName name="Multiplek_12_mm">#REF!</definedName>
    <definedName name="Multiplek_6_mm">'[81]RANGE BAHAN'!$B$60:$C$60</definedName>
    <definedName name="multiplek12">'[5]HB '!$F$23</definedName>
    <definedName name="murbaut12">#REF!</definedName>
    <definedName name="murbaut16">#REF!</definedName>
    <definedName name="murbaut19">#REF!</definedName>
    <definedName name="murbaut22">#REF!</definedName>
    <definedName name="murbautklem">#REF!</definedName>
    <definedName name="Murda">'[18]ANALISA SNI''13 '!$I$1710</definedName>
    <definedName name="MURDA_FIBER">#REF!</definedName>
    <definedName name="MURDA_PARAS">[18]ANALISA1!$J$627</definedName>
    <definedName name="my">[111]H_SATUAN!$C$45</definedName>
    <definedName name="myt">[111]H_SATUAN!$D$45</definedName>
    <definedName name="n">'[127]HB '!#REF!</definedName>
    <definedName name="n.1">#REF!</definedName>
    <definedName name="n.10">#REF!</definedName>
    <definedName name="n.11">#REF!</definedName>
    <definedName name="n.12">#REF!</definedName>
    <definedName name="n.13">#REF!</definedName>
    <definedName name="n.14">#REF!</definedName>
    <definedName name="n.15">#REF!</definedName>
    <definedName name="n.16">#REF!</definedName>
    <definedName name="n.17">#REF!</definedName>
    <definedName name="n.18">#REF!</definedName>
    <definedName name="n.2">#REF!</definedName>
    <definedName name="n.3">#REF!</definedName>
    <definedName name="n.4">#REF!</definedName>
    <definedName name="n.5">#REF!</definedName>
    <definedName name="n.6">#REF!</definedName>
    <definedName name="n.7">#REF!</definedName>
    <definedName name="n.8">#REF!</definedName>
    <definedName name="n.9">#REF!</definedName>
    <definedName name="N_DIREKTUR">[85]HARGA!$C$120</definedName>
    <definedName name="N_DR">#REF!</definedName>
    <definedName name="N_PT">#REF!</definedName>
    <definedName name="naco">#REF!</definedName>
    <definedName name="nako">'[61]HB '!$F$119</definedName>
    <definedName name="NAM">'[63]LAM-22'!$F$59</definedName>
    <definedName name="NAMA">'[64]bkn-pns'!$J$34</definedName>
    <definedName name="nama_dir">'[57]RAB '!$F$42</definedName>
    <definedName name="nama_kon">[166]REKAP!$G$47</definedName>
    <definedName name="nama_material">'[167]harsat ars str'!$B:$B</definedName>
    <definedName name="nama_persh">'[57]RAB '!$F$36</definedName>
    <definedName name="Name" localSheetId="2">#REF!</definedName>
    <definedName name="Name" localSheetId="0">#REF!</definedName>
    <definedName name="Name">#REF!</definedName>
    <definedName name="nd">[111]H_SATUAN!$D$51</definedName>
    <definedName name="NE2TAN">'[9]AN-SNI'!#REF!</definedName>
    <definedName name="NE3PAS">'[9]AN-SNI'!#REF!</definedName>
    <definedName name="NE4KAYUATAP">'[9]AN-SNI'!#REF!</definedName>
    <definedName name="NE5PENGECATAN">'[9]AN-SNI'!#REF!</definedName>
    <definedName name="NE6LAIN">'[9]AN-SNI'!#REF!</definedName>
    <definedName name="ngecat_dinding">#REF!</definedName>
    <definedName name="ngecat_kayu">#REF!</definedName>
    <definedName name="ngecat_melamin">#REF!</definedName>
    <definedName name="ngecat_wesi">#REF!</definedName>
    <definedName name="ngecatdindingext">#REF!</definedName>
    <definedName name="ngecatdindingint">#REF!</definedName>
    <definedName name="ngecatplafond">#REF!</definedName>
    <definedName name="NM">'[109]HARGA SAT.'!$B$59</definedName>
    <definedName name="no">{"Book1","4.09 FLORA DAN FAUNA.xls","4.22 PERLENGKAPAN SEKOLAH.xls"}</definedName>
    <definedName name="No.">[114]data!$B$11</definedName>
    <definedName name="NOIFS">#REF!</definedName>
    <definedName name="NOIP">#REF!</definedName>
    <definedName name="NOIT">#REF!</definedName>
    <definedName name="Nok_Atas_Rainbow">'[20]Daftar Harga'!#REF!</definedName>
    <definedName name="Nok_Bulat_Rainbow">'[20]Daftar Harga'!#REF!</definedName>
    <definedName name="Nok_Pinggir_Rainbow">'[20]Daftar Harga'!#REF!</definedName>
    <definedName name="NokSeng">'[18]ANALISA SNI''13 '!$I$1707</definedName>
    <definedName name="NokSirap">'[18]ANALISA SNI''13 '!$I$1678</definedName>
    <definedName name="nokstel">#REF!</definedName>
    <definedName name="NOMFS">#REF!</definedName>
    <definedName name="NOMP">#REF!</definedName>
    <definedName name="NOMT">#REF!</definedName>
    <definedName name="npt">[111]H_SATUAN!$G$51</definedName>
    <definedName name="NYA1C">#REF!</definedName>
    <definedName name="nya2x1.5">#REF!</definedName>
    <definedName name="NYFG4x4">#REF!</definedName>
    <definedName name="nyfgby3x6lt">#REF!</definedName>
    <definedName name="nyfgby4x6lt">#REF!</definedName>
    <definedName name="nyfgby4x95">#REF!</definedName>
    <definedName name="nyfgby5x6lt">#REF!</definedName>
    <definedName name="nyiram">#REF!</definedName>
    <definedName name="NYM2C">#REF!</definedName>
    <definedName name="nym3x2.5flt">#REF!</definedName>
    <definedName name="nyy11x1x500">#REF!</definedName>
    <definedName name="nyy14x1x500">#REF!</definedName>
    <definedName name="nyy16x1x500">#REF!</definedName>
    <definedName name="nyy18x1x500">#REF!</definedName>
    <definedName name="nyy21x1x500">#REF!</definedName>
    <definedName name="nyy25x1x500">#REF!</definedName>
    <definedName name="nyy2x4x16">#REF!</definedName>
    <definedName name="nyy3x6">#REF!</definedName>
    <definedName name="nyy4x10">#REF!</definedName>
    <definedName name="nyy4x120">#REF!</definedName>
    <definedName name="nyy4x16">#REF!</definedName>
    <definedName name="nyy4x185">#REF!</definedName>
    <definedName name="nyy4x1x300">#REF!</definedName>
    <definedName name="nyy4x1x400">#REF!</definedName>
    <definedName name="nyy4x1x500">#REF!</definedName>
    <definedName name="nyy4x25">#REF!</definedName>
    <definedName name="nyy4x50">#REF!</definedName>
    <definedName name="nyy4x70">#REF!</definedName>
    <definedName name="nyy4x95">#REF!</definedName>
    <definedName name="nyy5x4">#REF!</definedName>
    <definedName name="nyy5x6">#REF!</definedName>
    <definedName name="nyy7x1x300">#REF!</definedName>
    <definedName name="nyy7x1x500">#REF!</definedName>
    <definedName name="O">#REF!</definedName>
    <definedName name="o.1">#REF!</definedName>
    <definedName name="o.10">#REF!</definedName>
    <definedName name="o.2">#REF!</definedName>
    <definedName name="o.3">#REF!</definedName>
    <definedName name="o.4">#REF!</definedName>
    <definedName name="o.5">#REF!</definedName>
    <definedName name="o.6">#REF!</definedName>
    <definedName name="o.7">#REF!</definedName>
    <definedName name="o.8">#REF!</definedName>
    <definedName name="o.9">#REF!</definedName>
    <definedName name="ø10">'[168]Tabel Besi'!#REF!</definedName>
    <definedName name="ø12">'[168]Tabel Besi'!#REF!</definedName>
    <definedName name="ø6">'[168]Tabel Besi'!#REF!</definedName>
    <definedName name="ø8">'[168]Tabel Besi'!#REF!</definedName>
    <definedName name="OKE">#REF!</definedName>
    <definedName name="OMC" hidden="1">{#N/A,#N/A,TRUE,"Front";#N/A,#N/A,TRUE,"Simple Letter";#N/A,#N/A,TRUE,"Inside";#N/A,#N/A,TRUE,"Contents";#N/A,#N/A,TRUE,"Basis";#N/A,#N/A,TRUE,"Inclusions";#N/A,#N/A,TRUE,"Exclusions";#N/A,#N/A,TRUE,"Areas";#N/A,#N/A,TRUE,"Summary";#N/A,#N/A,TRUE,"Detail"}</definedName>
    <definedName name="OP">#REF!</definedName>
    <definedName name="OPERATING_EQUIPMENT">#REF!</definedName>
    <definedName name="operator">#REF!</definedName>
    <definedName name="OPERATOR_AC">[56]ANALIS!#REF!</definedName>
    <definedName name="OPERATOR_ALAT_BESAR">#REF!</definedName>
    <definedName name="OPERATOR_HAMPAR_AC">[56]ANALIS!#REF!</definedName>
    <definedName name="operator_LPB_B">[56]ANALIS!#REF!</definedName>
    <definedName name="operatorv">[56]ANALIS!#REF!</definedName>
    <definedName name="opt">#REF!</definedName>
    <definedName name="opter">#REF!</definedName>
    <definedName name="opterampil">#REF!</definedName>
    <definedName name="org.hari">#N/A</definedName>
    <definedName name="ot">#REF!</definedName>
    <definedName name="OUT">#REF!</definedName>
    <definedName name="overhead">#REF!</definedName>
    <definedName name="overtime">#REF!</definedName>
    <definedName name="OWARI">#REF!</definedName>
    <definedName name="p">#REF!</definedName>
    <definedName name="p.1">#REF!</definedName>
    <definedName name="p.2">#REF!</definedName>
    <definedName name="p.3">#REF!</definedName>
    <definedName name="p.4">#REF!</definedName>
    <definedName name="p.mak">[78]Analisa!$F$17</definedName>
    <definedName name="p.pnetra">[78]Analisa!$F$24</definedName>
    <definedName name="P.REUTER">#REF!</definedName>
    <definedName name="p_d">#REF!</definedName>
    <definedName name="p_d1">#REF!</definedName>
    <definedName name="P_PASANG">[84]HARGA!#REF!</definedName>
    <definedName name="P_SARINGAN">[85]HARGA!#REF!</definedName>
    <definedName name="P_URUG">[84]HARGA!#REF!</definedName>
    <definedName name="p1ti50">#REF!</definedName>
    <definedName name="p1ti60">#REF!</definedName>
    <definedName name="p1ti70">#REF!</definedName>
    <definedName name="p1ti80">#REF!</definedName>
    <definedName name="p1tif50">#REF!</definedName>
    <definedName name="P2P">'[109]HARGA SAT.'!$E$4</definedName>
    <definedName name="p2ti50">#REF!</definedName>
    <definedName name="p2ti60">#REF!</definedName>
    <definedName name="p2ti70">#REF!</definedName>
    <definedName name="p2ti80">#REF!</definedName>
    <definedName name="p2tif50">#REF!</definedName>
    <definedName name="p3al50">#REF!</definedName>
    <definedName name="p3al60">#REF!</definedName>
    <definedName name="p3al70">#REF!</definedName>
    <definedName name="p3al80">#REF!</definedName>
    <definedName name="p3ati50">#REF!</definedName>
    <definedName name="p3ati60">#REF!</definedName>
    <definedName name="p3atif50">#REF!</definedName>
    <definedName name="p3atifr50">#REF!</definedName>
    <definedName name="p3atifr60">#REF!</definedName>
    <definedName name="p3ti50">#REF!</definedName>
    <definedName name="p3ti60">#REF!</definedName>
    <definedName name="p3ti70">#REF!</definedName>
    <definedName name="p3ti80">#REF!</definedName>
    <definedName name="p3tif50">#REF!</definedName>
    <definedName name="pabf100">#REF!</definedName>
    <definedName name="pabf125">#REF!</definedName>
    <definedName name="pabf150">#REF!</definedName>
    <definedName name="pabf4">#REF!</definedName>
    <definedName name="pabf6">#REF!</definedName>
    <definedName name="pabf65">#REF!</definedName>
    <definedName name="pabf80">#REF!</definedName>
    <definedName name="paco">[71]harsat!$G$29</definedName>
    <definedName name="pagarbrc">#REF!</definedName>
    <definedName name="PagarSementara">'[18]ANALISA SNI''13 '!$I$340</definedName>
    <definedName name="PAIN">#REF!</definedName>
    <definedName name="pak">[144]bahan!$D$19</definedName>
    <definedName name="paket">[114]data!$B$2</definedName>
    <definedName name="PAKET_H1">#REF!</definedName>
    <definedName name="PAKET_H2">#REF!</definedName>
    <definedName name="pakf100">#REF!</definedName>
    <definedName name="pakf150">#REF!</definedName>
    <definedName name="pakf80">#REF!</definedName>
    <definedName name="paKU">#REF!</definedName>
    <definedName name="Paku_15">'[20]Daftar Harga'!$G$233</definedName>
    <definedName name="Paku_5_7__10__12">'[20]Daftar Harga'!$G$232</definedName>
    <definedName name="paku_B_0">#REF!</definedName>
    <definedName name="paku_begisting">#REF!</definedName>
    <definedName name="Paku_Beton">'[20]Daftar Harga'!$G$234</definedName>
    <definedName name="paku_ctsb">#REF!</definedName>
    <definedName name="Paku_eternit">'[81]RANGE BAHAN'!$B$38:$C$38</definedName>
    <definedName name="Paku_genteng_rainbow_metal_roof">'[20]Daftar Harga'!#REF!</definedName>
    <definedName name="Paku_Gysum">'[20]Daftar Harga'!$G$238</definedName>
    <definedName name="paku_K_1_2_5">#REF!</definedName>
    <definedName name="paku_K_2_2_5">#REF!</definedName>
    <definedName name="paku_reng">#REF!</definedName>
    <definedName name="paku_reng_acuan_beton">[57]analisa!#REF!</definedName>
    <definedName name="paku_sekrup">#REF!</definedName>
    <definedName name="Paku_seng">'[81]RANGE BAHAN'!$B$39:$C$39</definedName>
    <definedName name="paku_triplek">#REF!</definedName>
    <definedName name="paku_u">#REF!</definedName>
    <definedName name="Paku_usuk">'[81]RANGE BAHAN'!$B$37:$C$37</definedName>
    <definedName name="paku1">#REF!</definedName>
    <definedName name="paku2">#REF!</definedName>
    <definedName name="pakuasb">#REF!</definedName>
    <definedName name="palm">'[5]HB '!$F$183</definedName>
    <definedName name="pancang">#REF!</definedName>
    <definedName name="panelmcb">'[53]HB '!#REF!</definedName>
    <definedName name="PanilBenkirai">#REF!</definedName>
    <definedName name="PanilBngkrai">'[58]ANALISA  (BARU)'!$G$526</definedName>
    <definedName name="Paniljati">#REF!</definedName>
    <definedName name="PanilKamper">'[18]ANALISA SNI''13 '!$I$1410</definedName>
    <definedName name="papa">[71]harsat!$G$29</definedName>
    <definedName name="papan_begisting">#REF!</definedName>
    <definedName name="papan_jati">#REF!</definedName>
    <definedName name="papan_kamper">#REF!</definedName>
    <definedName name="papan_meranti">#REF!</definedName>
    <definedName name="papan_meranti_bahan">#REF!</definedName>
    <definedName name="papan_meranti_ctsb">#REF!</definedName>
    <definedName name="papan_profil">#REF!</definedName>
    <definedName name="papan_reuter">#REF!</definedName>
    <definedName name="papankamper">#REF!</definedName>
    <definedName name="PAPANPRO">'[91]H Satuan'!#REF!</definedName>
    <definedName name="papmran">#REF!</definedName>
    <definedName name="paralon5_8">#REF!</definedName>
    <definedName name="Parasbtgogokukir">#REF!</definedName>
    <definedName name="parasbtgosokkerobk">'[18]ANALISA SNI''13 '!$I$2417</definedName>
    <definedName name="Parasbtgosokkerobokan">#REF!</definedName>
    <definedName name="parasbtgosokukir">'[18]ANALISA SNI''13 '!$I$2408</definedName>
    <definedName name="Paraskerobk">'[18]ANALISA SNI''13 '!$I$2441</definedName>
    <definedName name="ParasKerobokan">#REF!</definedName>
    <definedName name="ParasNusa">#REF!</definedName>
    <definedName name="Paraspalimanan">'[18]ANALISA SNI''13 '!$I$2425</definedName>
    <definedName name="part_gypsum">#REF!</definedName>
    <definedName name="PartisiPly">'[18]ANALISA SNI''13 '!$I$1314</definedName>
    <definedName name="pas.batudnmortar">'[77]ANALISA-1'!#REF!</definedName>
    <definedName name="pas.cor">#REF!</definedName>
    <definedName name="Pas.Kaca">'[18]ANALISA SNI''13 '!$I$1436</definedName>
    <definedName name="Pas.Kaca5">'[18]ANALISA SNI''13 '!$I$1443</definedName>
    <definedName name="pas.pasang">#REF!</definedName>
    <definedName name="pas.urug">#REF!</definedName>
    <definedName name="Pas_Batu_Kali15">'[58]ANALISA  (BARU)'!$G$274</definedName>
    <definedName name="Pas_bouw_pagr">#REF!</definedName>
    <definedName name="Pas_bouwp">#REF!</definedName>
    <definedName name="Pas_bouwplank_baru">'[58]ANALISA  (BARU)'!$G$233</definedName>
    <definedName name="Pas_Bt_Kosong">'[58]ANALISA  (BARU)'!$G$265</definedName>
    <definedName name="Pas_Bt_Mrh_Ppalihan">'[58]ANALISA  (BARU)'!$G$303</definedName>
    <definedName name="Pas_Bt_Mrh15">'[58]ANALISA  (BARU)'!$G$302</definedName>
    <definedName name="Pas_Kembali_Btmerah">#REF!</definedName>
    <definedName name="Pas_kembali_kuda">#REF!</definedName>
    <definedName name="pas_paving_abu_6">[86]ANALIS!#REF!</definedName>
    <definedName name="Pas_Trsm_Bt_Merah12">'[58]ANALISA  (BARU)'!$G$293</definedName>
    <definedName name="Pasang">'[51]Harga Bahan &amp; Upah'!$D$31</definedName>
    <definedName name="pasang.bt.adukan">'[76]ANALISA-1'!#REF!</definedName>
    <definedName name="pasang_besi_pipa_galvanis">[57]analisa!#REF!</definedName>
    <definedName name="pasang_galvalum">#REF!</definedName>
    <definedName name="pasang_genteng">[45]ANALISA!#REF!</definedName>
    <definedName name="PASANG_KIPAS_ANGIN_CEILING">#REF!</definedName>
    <definedName name="PASANG_KIPAS_ANGIN_WALLSWING">#REF!</definedName>
    <definedName name="PASANG_LAMPU_RMI_2X18WATT">#REF!</definedName>
    <definedName name="PASANG_LAMPU_RMI_2X36WATT">#REF!</definedName>
    <definedName name="PASANG_LAMPU_SL_23WATT">#REF!</definedName>
    <definedName name="PASANG_LAMPU_SL_8WATT">#REF!</definedName>
    <definedName name="PASANG_OUTLET_TELEPON">#REF!</definedName>
    <definedName name="PASANG_OUTLET_TV">#REF!</definedName>
    <definedName name="pasang_paving">[86]ANALIS!#REF!</definedName>
    <definedName name="PASANG_SAKLAR_GANDA">#REF!</definedName>
    <definedName name="PASANG_SAKLAR_TUNGGAL">#REF!</definedName>
    <definedName name="PASANG_STOP_KONTAK">#REF!</definedName>
    <definedName name="PASANG_STOP_KONTAK_AC">#REF!</definedName>
    <definedName name="pasar">[68]BASIC!$F$138</definedName>
    <definedName name="pasar_batu_kali">#REF!</definedName>
    <definedName name="PasAtapAsbes">'[18]ANALISA SNI''13 '!$I$1652</definedName>
    <definedName name="PasAtapGenteng">'[18]ANALISA SNI''13 '!$I$1619</definedName>
    <definedName name="PASBATAK_1">#REF!</definedName>
    <definedName name="PASBATAK_2">#REF!</definedName>
    <definedName name="pasbatako">'[169]Analisa BOW 08 NP'!$G$425</definedName>
    <definedName name="Pasbatatebal0.5">'[9]AN-SNI'!#REF!</definedName>
    <definedName name="PASBATMOR_1">#REF!</definedName>
    <definedName name="PASBATMOR_2">#REF!</definedName>
    <definedName name="Pasbatubata">'[9]AN-SNI'!#REF!</definedName>
    <definedName name="Pasbatukali">'[9]AN-SNI'!#REF!</definedName>
    <definedName name="PasBtGunung15">#REF!</definedName>
    <definedName name="pasbtpilah">#REF!</definedName>
    <definedName name="pasbttuk">#REF!</definedName>
    <definedName name="PasDrainPVC3">#REF!</definedName>
    <definedName name="Pasir">#REF!</definedName>
    <definedName name="Pasir__gorong2_sd45">#REF!</definedName>
    <definedName name="pasir_B_0">#REF!</definedName>
    <definedName name="pasir_bet">#REF!</definedName>
    <definedName name="pasir_beton">#REF!</definedName>
    <definedName name="Pasir_beton_I__cuci">'[74]Daftar Harga Material'!$G$78</definedName>
    <definedName name="Pasir_Cor">'[81]RANGE BAHAN'!$B$6:$C$6</definedName>
    <definedName name="Pasir_Cor__beton__kasar">#REF!</definedName>
    <definedName name="pasir_cor_beton_k350">[57]analisa!#REF!</definedName>
    <definedName name="pasir_ctsb">#REF!</definedName>
    <definedName name="Pasir_gorong2_45sd75">#REF!</definedName>
    <definedName name="pasir_gorong2_75sd120">#REF!</definedName>
    <definedName name="Pasir_gorong2_sd45">#REF!</definedName>
    <definedName name="pasir_K_1_2_5">#REF!</definedName>
    <definedName name="pasir_K_2_2_5">#REF!</definedName>
    <definedName name="pasir_p">#REF!</definedName>
    <definedName name="pasir_pa">#REF!</definedName>
    <definedName name="pasir_pasang">#REF!</definedName>
    <definedName name="PASIR_PASANG_AC">[56]ANALIS!#REF!</definedName>
    <definedName name="pasir_pasang_batu_belah_1_4">[56]ANALIS!#REF!</definedName>
    <definedName name="Pasir_PAsang_batu_mortar">#REF!</definedName>
    <definedName name="pasir_pasang_beton_K225">[57]analisa!#REF!</definedName>
    <definedName name="pasir_pasang_beton_rabat">[57]analisa!#REF!</definedName>
    <definedName name="Pasir_Pasang_halus">'[81]RANGE BAHAN'!$B$5:$C$5</definedName>
    <definedName name="PASIR_PASANG_HAMPAR_AC">[56]ANALIS!#REF!</definedName>
    <definedName name="Pasir_Pasang_kali">'[74]Daftar Harga Material'!$G$79</definedName>
    <definedName name="pasir_pasang_LPB_A">[56]ANALIS!#REF!</definedName>
    <definedName name="pasir_pasang_LPB_B">[56]ANALIS!#REF!</definedName>
    <definedName name="pasir_pasang_ps_batu_merah">[57]analisa!#REF!</definedName>
    <definedName name="pasir_pasang_rekondisi_box_culvert">#REF!</definedName>
    <definedName name="pasir_u">#REF!</definedName>
    <definedName name="Pasir_Urug">'[81]RANGE BAHAN'!$B$4:$C$4</definedName>
    <definedName name="Pasir_urug___trass">'[20]Daftar Harga'!$G$13</definedName>
    <definedName name="pasir_urug_aanstamping">[57]analisa!#REF!</definedName>
    <definedName name="pasir_urug_pasir_padat">[86]ANALIS!#REF!</definedName>
    <definedName name="pasir_urug_urugan_pasir_padat">[56]ANALIS!#REF!</definedName>
    <definedName name="pasirpasang">#REF!</definedName>
    <definedName name="pasiru">#REF!</definedName>
    <definedName name="PASIRURUG">#REF!</definedName>
    <definedName name="PasKacaeskapur">'[18]ANALISA SNI''13 '!$A$1450</definedName>
    <definedName name="PasKacaMati">'[18]ANALISA SNI''13 '!$I$1429</definedName>
    <definedName name="PasKaretPacking">#REF!</definedName>
    <definedName name="Paskembali_Atpgenteng">#REF!</definedName>
    <definedName name="PasKembaliKuda2Kamper">'[18]ANALISA SNI''13 '!$G$1497</definedName>
    <definedName name="PasKembaliKuda2Kruing">'[18]ANALISA SNI''13 '!$G$1506</definedName>
    <definedName name="PasKembaliKusen">#REF!</definedName>
    <definedName name="PasKemBongkarDJ">#REF!</definedName>
    <definedName name="PasKemKusen">'[18]ANALISA SNI''13 '!$I$485</definedName>
    <definedName name="pasloster">#REF!</definedName>
    <definedName name="paspav6">#REF!</definedName>
    <definedName name="paspav8">#REF!</definedName>
    <definedName name="paspaving">#REF!</definedName>
    <definedName name="pasur">'[51]Harga Bahan &amp; Upah'!$D$32</definedName>
    <definedName name="Patok_kayu">#REF!</definedName>
    <definedName name="paur">[71]harsat!$G$31</definedName>
    <definedName name="pav_ston_6cm">#REF!</definedName>
    <definedName name="pavabu6">#REF!</definedName>
    <definedName name="pavabu8">#REF!</definedName>
    <definedName name="paving">#REF!</definedName>
    <definedName name="paving_abu_6">[68]BASIC!$F$139</definedName>
    <definedName name="paving_abu_8">[68]BASIC!$F$140</definedName>
    <definedName name="Paving_Block_warna_8_cm">'[74]Daftar Harga Material'!$G$84</definedName>
    <definedName name="Paving_blok__W_8_cm">'[20]Daftar Harga'!#REF!</definedName>
    <definedName name="PAVING_BLOK_20x20_T6CM_K175">#REF!</definedName>
    <definedName name="PAVING_BLOK_20x20_T6CM_K225">#REF!</definedName>
    <definedName name="PAVING_BLOK_20x20_T8CM_K175">#REF!</definedName>
    <definedName name="PAVING_BLOK_20x20_T8CM_K225">[18]ANALISA1!$J$1291</definedName>
    <definedName name="Paving_blok_6_cm">'[20]Daftar Harga'!#REF!</definedName>
    <definedName name="Paving_blok_Diamond_Cisangkan_natural_8_cm">'[20]Daftar Harga'!$G$26</definedName>
    <definedName name="Paving_blok_Kubus_Cisangkan_natural_8_cm">'[20]Daftar Harga'!$G$27</definedName>
    <definedName name="Paving_blok_W_6_cm">'[20]Daftar Harga'!#REF!</definedName>
    <definedName name="paving_merah_6">#REF!</definedName>
    <definedName name="paving_merah_8">#REF!</definedName>
    <definedName name="paving_stone">#REF!</definedName>
    <definedName name="paving6">#REF!</definedName>
    <definedName name="Paving6cm">#REF!</definedName>
    <definedName name="paving8">#REF!</definedName>
    <definedName name="Paving8cm">'[18]ANALISA SNI''13 '!$I$2051</definedName>
    <definedName name="payung">#REF!</definedName>
    <definedName name="pb6abu">'[5]HB '!#REF!</definedName>
    <definedName name="pb6abu3">'[53]HB '!#REF!</definedName>
    <definedName name="pb6merah">'[5]HB '!#REF!</definedName>
    <definedName name="pb8abu">#REF!</definedName>
    <definedName name="pb8merah">'[5]HB '!#REF!</definedName>
    <definedName name="pbata">[48]upah!$E$12</definedName>
    <definedName name="pbkl">#REF!</definedName>
    <definedName name="pbsf100">#REF!</definedName>
    <definedName name="pbsf150">#REF!</definedName>
    <definedName name="pbsf65">#REF!</definedName>
    <definedName name="pbsf80">#REF!</definedName>
    <definedName name="pbt_kanik">#REF!</definedName>
    <definedName name="pbt_opt">#REF!</definedName>
    <definedName name="pbt_pemudi">#REF!</definedName>
    <definedName name="pbt_sinis">#REF!</definedName>
    <definedName name="pc">#REF!</definedName>
    <definedName name="PC_1">#REF!</definedName>
    <definedName name="PC_2">#REF!</definedName>
    <definedName name="pc_50">#REF!</definedName>
    <definedName name="PC_AC">[56]ANALIS!#REF!</definedName>
    <definedName name="pc_batu_belah_1_4">[56]ANALIS!#REF!</definedName>
    <definedName name="pc1.1">#REF!</definedName>
    <definedName name="pc2.2">#REF!</definedName>
    <definedName name="pcputih">#REF!</definedName>
    <definedName name="pcsg">'[51]Harga Bahan &amp; Upah'!$D$35</definedName>
    <definedName name="pd">[40]ANALISA!$K$119</definedName>
    <definedName name="PDoublePly">'[18]ANALISA SNI''13 '!$I$1460</definedName>
    <definedName name="Pecah_Mesin">'[81]RANGE BAHAN'!$B$15:$C$15</definedName>
    <definedName name="Pecah_Tangan">#REF!</definedName>
    <definedName name="Pedetrian_roller">#REF!</definedName>
    <definedName name="pek">'[170]REKAP 2008'!$I$28</definedName>
    <definedName name="Pek_Atap">'[9]AN-SNI'!#REF!</definedName>
    <definedName name="PEK_BESI">#REF!</definedName>
    <definedName name="PEK_BETON">#REF!</definedName>
    <definedName name="PEK_CAT">#REF!</definedName>
    <definedName name="PEK_FINISHING">#REF!</definedName>
    <definedName name="PEK_HARDENER">#REF!</definedName>
    <definedName name="PEK_KUSEN">#REF!</definedName>
    <definedName name="PEK_PASANGAN">#REF!</definedName>
    <definedName name="pek_pembersihan">'[58]ANALISA  (BARU)'!$G$224</definedName>
    <definedName name="PEK_PENGGANTUNG">#REF!</definedName>
    <definedName name="PEK_PERSIAPAN">#REF!</definedName>
    <definedName name="PEK_SANITAIR">#REF!</definedName>
    <definedName name="pek_tak_ter">#REF!</definedName>
    <definedName name="Pek_Tanah">'[9]AN-SNI'!#REF!</definedName>
    <definedName name="pek_ter">#REF!</definedName>
    <definedName name="Pekbegesting">#REF!</definedName>
    <definedName name="PekBesibeton">#REF!</definedName>
    <definedName name="PEKBETON">'[18]ANALISA SNI''13 '!$B$660</definedName>
    <definedName name="PEKBONGKAR">'[92]ANALISA SNI''13 '!#REF!</definedName>
    <definedName name="PEKDINDING">'[18]ANALISA SNI''13 '!$B$1222</definedName>
    <definedName name="pekerja">[71]harsat!$G$130</definedName>
    <definedName name="pekerja_AC">#REF!</definedName>
    <definedName name="pekerja_ACL">#REF!</definedName>
    <definedName name="pekerja_acuan_beton">[57]analisa!#REF!</definedName>
    <definedName name="pekerja_agregat_A_pelebaran">#REF!</definedName>
    <definedName name="pekerja_agregat_A_peninggian">#REF!</definedName>
    <definedName name="pekerja_agregat_B_pelebaran">#REF!</definedName>
    <definedName name="pekerja_agregat_B_peninggian">#REF!</definedName>
    <definedName name="pekerja_angkut_keluar">'[67]ANALISA HARGA SAT.'!$J$78</definedName>
    <definedName name="pekerja_angkut_pembersihan">'[67]ANALISA HARGA SAT.'!$J$112</definedName>
    <definedName name="pekerja_angkut_tanah_30">[57]analisa!#REF!</definedName>
    <definedName name="pekerja_angkut30">'[67]ANALISA HARGA SAT.'!$J$52</definedName>
    <definedName name="pekerja_aspal_minor">#REF!</definedName>
    <definedName name="pekerja_ATB">#REF!</definedName>
    <definedName name="pekerja_ATBL">#REF!</definedName>
    <definedName name="pekerja_B_0">#REF!</definedName>
    <definedName name="pekerja_bahu_jalan">#REF!</definedName>
    <definedName name="pekerja_batu_belah_1_4">[56]ANALIS!#REF!</definedName>
    <definedName name="pekerja_batu_kali">#REF!</definedName>
    <definedName name="pekerja_begisting">#REF!</definedName>
    <definedName name="pekerja_beton_K225">[57]analisa!#REF!</definedName>
    <definedName name="pekerja_beton_k350">[57]analisa!#REF!</definedName>
    <definedName name="pekerja_beton_rabat">[57]analisa!#REF!</definedName>
    <definedName name="pekerja_bongkar_gorong2">#REF!</definedName>
    <definedName name="pekerja_bongkar_nyiram">[57]analisa!#REF!</definedName>
    <definedName name="pekerja_ctsb">#REF!</definedName>
    <definedName name="pekerja_dewatering">[57]analisa!#REF!</definedName>
    <definedName name="pekerja_gali_alat_b">'[67]ANALISA HARGA SAT.'!$J$30</definedName>
    <definedName name="pekerja_gali_manual">'[67]ANALISA HARGA SAT.'!$J$24</definedName>
    <definedName name="pekerja_gali_ponton">'[67]ANALISA HARGA SAT.'!$J$38</definedName>
    <definedName name="pekerja_gali_saluran">#REF!</definedName>
    <definedName name="pekerja_gali_tanah_alat_berat">[57]analisa!#REF!</definedName>
    <definedName name="PEKERJA_GALI_TANAH_KERAS">[56]ANALIS!#REF!</definedName>
    <definedName name="pekerja_galian_biasa">#REF!</definedName>
    <definedName name="pekerja_galian_padas">#REF!</definedName>
    <definedName name="Pekerja_gorong2_45sd75">#REF!</definedName>
    <definedName name="Pekerja_gorong2_75sd120">#REF!</definedName>
    <definedName name="pekerja_gorong2_sd45">#REF!</definedName>
    <definedName name="PEKERJA_HAMPAR_AC">[56]ANALIS!#REF!</definedName>
    <definedName name="pekerja_K_1_2_5">#REF!</definedName>
    <definedName name="pekerja_K_2_2_5">#REF!</definedName>
    <definedName name="pekerja_lapen">#REF!</definedName>
    <definedName name="pekerja_LPB_A">[56]ANALIS!#REF!</definedName>
    <definedName name="pekerja_LPB_B">[56]ANALIS!#REF!</definedName>
    <definedName name="pekerja_macadam">#REF!</definedName>
    <definedName name="pekerja_marka">#REF!</definedName>
    <definedName name="pekerja_marka_jalan">#REF!</definedName>
    <definedName name="pekerja_ngeruk_sulit">'[67]ANALISA HARGA SAT.'!$J$46</definedName>
    <definedName name="Pekerja_ngukur">'[67]ANALISA HARGA SAT.'!$J$15</definedName>
    <definedName name="pekerja_pancang">#REF!</definedName>
    <definedName name="pekerja_pancang_beton">#REF!</definedName>
    <definedName name="pekerja_PAsang_batu_mortar">#REF!</definedName>
    <definedName name="pekerja_patok_hektometer">#REF!</definedName>
    <definedName name="pekerja_patok_kilometer">#REF!</definedName>
    <definedName name="pekerja_patok_pengarah">#REF!</definedName>
    <definedName name="Pekerja_pembersihan">'[67]ANALISA HARGA SAT.'!$J$106</definedName>
    <definedName name="pekerja_pembersihan_pembongkaran">#REF!</definedName>
    <definedName name="pekerja_pembesian">[57]analisa!#REF!</definedName>
    <definedName name="pekerja_Pembongkaran_bangunan">#REF!</definedName>
    <definedName name="pekerja_pembongkaran_gorong2">[57]analisa!#REF!</definedName>
    <definedName name="pekerja_pembongkaran_tembok">[57]analisa!#REF!</definedName>
    <definedName name="PEKERJA_PEMBUANGAN">[56]ANALIS!#REF!</definedName>
    <definedName name="pekerja_penanaman_pohon">#REF!</definedName>
    <definedName name="pekerja_penebangan_pohon_dia_3_0">#REF!</definedName>
    <definedName name="pekerja_penebangan_pohon_dia_5_0">#REF!</definedName>
    <definedName name="pekerja_pengerukan_lumpur_lokasi_sulit">[57]analisa!#REF!</definedName>
    <definedName name="pekerja_penyiapan_badan_jalan">#REF!</definedName>
    <definedName name="pekerja_perataan">'[67]ANALISA HARGA SAT.'!$J$119</definedName>
    <definedName name="PEKERJA_PERKERASAN">[56]ANALIS!#REF!</definedName>
    <definedName name="pekerja_pintu1">#REF!</definedName>
    <definedName name="pekerja_pintu2">#REF!</definedName>
    <definedName name="pekerja_prime_coat">#REF!</definedName>
    <definedName name="pekerja_ps_batu_merah">[57]analisa!#REF!</definedName>
    <definedName name="pekerja_ps_tiang_pagar_brc">[57]analisa!#REF!</definedName>
    <definedName name="pekerja_rekondisi_box_culvert">#REF!</definedName>
    <definedName name="pekerja_sandaran">#REF!</definedName>
    <definedName name="PEKERJA_SETENGAH_TERAMPIL">#REF!</definedName>
    <definedName name="pekerja_t">#REF!</definedName>
    <definedName name="pekerja_t_aanstamping">[57]analisa!#REF!</definedName>
    <definedName name="PEKERJA_T_AC">[56]ANALIS!#REF!</definedName>
    <definedName name="pekerja_t_acuan_beton">[57]analisa!#REF!</definedName>
    <definedName name="pekerja_t_drainase">[56]ANALIS!#REF!</definedName>
    <definedName name="Pekerja_t_gali_lumpur">[56]ANALIS!#REF!</definedName>
    <definedName name="pekerja_t_galian_perkerasan">[57]analisa!#REF!</definedName>
    <definedName name="PEKERJA_T_HAMPAR_AC">[56]ANALIS!#REF!</definedName>
    <definedName name="pekerja_t_pasir_padat">[86]ANALIS!#REF!</definedName>
    <definedName name="pekerja_t_pembersihan_lapangan">[57]analisa!#REF!</definedName>
    <definedName name="pekerja_t_pengangkutan_tanah_keluar_proyek">[57]analisa!#REF!</definedName>
    <definedName name="pekerja_t_pengeringan">#REF!</definedName>
    <definedName name="pekerja_t_urugan_pasir_padat">[56]ANALIS!#REF!</definedName>
    <definedName name="pekerja_tack_coat">#REF!</definedName>
    <definedName name="pekerja_telford">#REF!</definedName>
    <definedName name="pekerja_terampil">[68]BASIC!$F$29</definedName>
    <definedName name="pekerja_tulangan">#REF!</definedName>
    <definedName name="PEKERJA_UKUR">#REF!</definedName>
    <definedName name="PEKERJA_URUG_TANAH_BIASA">#REF!</definedName>
    <definedName name="pekerja_urugan_tanah_padat">[56]ANALIS!#REF!</definedName>
    <definedName name="pekerja_URUGAN_TANAH_PILIHAN">#REF!</definedName>
    <definedName name="PEKERJAAN__A_C">#REF!</definedName>
    <definedName name="PEKERJAAN_CAT">#REF!</definedName>
    <definedName name="PEKERJAAN_CCTV__SOUND_SYSTEM____MATV">#REF!</definedName>
    <definedName name="PEKERJAAN_DINDING_DAN_FINISHING_DINDING">#REF!</definedName>
    <definedName name="PEKERJAAN_FINISHING_LANTAI">#REF!</definedName>
    <definedName name="PEKERJAAN_GONDOLA">#REF!</definedName>
    <definedName name="PEKERJAAN_LIFT_ex_KOREA">#REF!</definedName>
    <definedName name="PEKERJAAN_LISTRIK___GENSET">#REF!</definedName>
    <definedName name="PEKERJAAN_LUAR">#REF!</definedName>
    <definedName name="PEKERJAAN_PLAFOND">#REF!</definedName>
    <definedName name="PEKERJAAN_PLUMBING___SANITARY">#REF!</definedName>
    <definedName name="PEKERJAAN_PONDASI">#REF!</definedName>
    <definedName name="PEKERJAAN_RAILING_DAN_LAIN___LAIN">#REF!</definedName>
    <definedName name="PEKERJAAN_SPRINKLER___FIRE_FIGHTING">#REF!</definedName>
    <definedName name="PEKERJAAN_STRUKTUR_ATAS_DAN_ATAP">#REF!</definedName>
    <definedName name="PEKERJAAN_SUB_STRUKTUR">#REF!</definedName>
    <definedName name="PEKERJAAN_TANAH">#REF!</definedName>
    <definedName name="PEKERJAAN_TELEPON">#REF!</definedName>
    <definedName name="pekerjamandor__angkut60">'[67]ANALISA HARGA SAT.'!$J$58</definedName>
    <definedName name="pekerjaterampil">[71]harsat!$G$129</definedName>
    <definedName name="Pekkayu">'[9]AN-SNI'!#REF!</definedName>
    <definedName name="Peklangit2">'[9]AN-SNI'!#REF!</definedName>
    <definedName name="PekPBronjong">#REF!</definedName>
    <definedName name="PEKPENUTUPATAP">#N/A</definedName>
    <definedName name="PEKPERSIAPAN">'[18]ANALISA SNI''13 '!$B$325</definedName>
    <definedName name="PEKPLESTERAN">#N/A</definedName>
    <definedName name="PEKPONDASI">'[18]ANALISA SNI''13 '!$B$560</definedName>
    <definedName name="PEKSANITASI">'[18]ANALISA SNI''13 '!$B$2206</definedName>
    <definedName name="Pektanah">'[9]AN-SNI'!#REF!</definedName>
    <definedName name="pektram">#REF!</definedName>
    <definedName name="PekWaterproof">'[171]ANALISA SNI''07rootsREV'!$I$1516</definedName>
    <definedName name="PekWatrproff">'[18]ANALISA SNI''13 '!$I$1383</definedName>
    <definedName name="pel">#REF!</definedName>
    <definedName name="PelatFe100">'[18]ANALISA SNI''13 '!$I$1151</definedName>
    <definedName name="PelatFe110">'[18]ANALISA SNI''13 '!$I$1155</definedName>
    <definedName name="PelatFe120">'[18]ANALISA SNI''13 '!$I$1156</definedName>
    <definedName name="PelatFe125">#REF!</definedName>
    <definedName name="PelatFe130">'[18]ANALISA SNI''13 '!$I$1177</definedName>
    <definedName name="PelatFe150">#REF!</definedName>
    <definedName name="PelatFe60">'[18]ANALISA SNI''13 '!$I$1152</definedName>
    <definedName name="PelatFe70">'[18]ANALISA SNI''13 '!$I$1153</definedName>
    <definedName name="PelatFe80">'[18]ANALISA SNI''13 '!$I$1154</definedName>
    <definedName name="PEMADATAN_TANAH">#REF!</definedName>
    <definedName name="PemadtTanah">'[18]ANALISA SNI''13 '!$I$539</definedName>
    <definedName name="PEMASAK_ASPAL_PERKERASAN">[56]ANALIS!#REF!</definedName>
    <definedName name="pemb_operator">#REF!</definedName>
    <definedName name="pembantu_operator">[68]BASIC!$F$36</definedName>
    <definedName name="PEMBANTU_OPERATOR___MEKANIK">#REF!</definedName>
    <definedName name="PEMBANTU_OPERATOR_AC">[56]ANALIS!#REF!</definedName>
    <definedName name="PEMBANTU_OPERATOR_HAMPAR_AC">[56]ANALIS!#REF!</definedName>
    <definedName name="pembantu_operator_LPB_A">[56]ANALIS!#REF!</definedName>
    <definedName name="pembantu_operator_LPB_B">[56]ANALIS!#REF!</definedName>
    <definedName name="pembantu_pengemudi">[68]BASIC!$F$38</definedName>
    <definedName name="pembantu_tk">#REF!</definedName>
    <definedName name="pembantut">#REF!</definedName>
    <definedName name="pembayaran">#REF!</definedName>
    <definedName name="PembBedeng">'[18]ANALISA SNI''13 '!$I$411</definedName>
    <definedName name="pembersihan">#REF!</definedName>
    <definedName name="PEMBERSIHAN_LAHAN">#REF!</definedName>
    <definedName name="pembersihan_lapangan">[57]analisa!#REF!</definedName>
    <definedName name="pembersihan_pembongkaran">#REF!</definedName>
    <definedName name="pembersihan_saluran">[57]analisa!#REF!</definedName>
    <definedName name="PembersihanLap">'[18]ANALISA SNI''13 '!$I$397</definedName>
    <definedName name="PEMBERSIHANLOKASI">#REF!</definedName>
    <definedName name="pembesi">#REF!</definedName>
    <definedName name="pembesian">#REF!</definedName>
    <definedName name="Pembesian_polos">#REF!</definedName>
    <definedName name="Pembesian_ulir">#REF!</definedName>
    <definedName name="PembGudang">'[18]ANALISA SNI''13 '!$I$383</definedName>
    <definedName name="PembKantor">'[18]ANALISA SNI''13 '!$I$370</definedName>
    <definedName name="Pembongkaran">[172]NP!$L$841:$V$901</definedName>
    <definedName name="Pembongkaran_bangunan">#REF!</definedName>
    <definedName name="pembongkaran_gorong2">[57]analisa!#REF!</definedName>
    <definedName name="pembongkaran_tembok">[57]analisa!#REF!</definedName>
    <definedName name="Pembongkaran_Total">'[58]ANALISA  (BARU)'!$G$791</definedName>
    <definedName name="pemboperator">#REF!</definedName>
    <definedName name="PembRmhJaga">'[18]ANALISA SNI''13 '!$I$393</definedName>
    <definedName name="pembsopir">#REF!</definedName>
    <definedName name="pembt">'[83]bahan+upah'!$E$265</definedName>
    <definedName name="Pembuatan_jalan_alih">#REF!</definedName>
    <definedName name="pembuatan_ornamen_pju">[57]analisa!#REF!</definedName>
    <definedName name="PemubugBentala">'[18]ANALISA SNI''13 '!$I$1713</definedName>
    <definedName name="pemudi">#REF!</definedName>
    <definedName name="peng">#REF!</definedName>
    <definedName name="pengangkutan_tanah_keluar_proyek">[57]analisa!#REF!</definedName>
    <definedName name="PENGARAH_1">#REF!</definedName>
    <definedName name="PENGARAH_2">#REF!</definedName>
    <definedName name="Pengecatan">'[9]AN-SNI'!#REF!</definedName>
    <definedName name="pengecatan_kayu">#REF!</definedName>
    <definedName name="pengemudi">[68]BASIC!$F$37</definedName>
    <definedName name="PENGEMUDI_AC">[56]ANALIS!#REF!</definedName>
    <definedName name="pengemudi_LPB_A">[56]ANALIS!#REF!</definedName>
    <definedName name="pengemudi_LPB_B">[56]ANALIS!#REF!</definedName>
    <definedName name="pengeringan">#REF!</definedName>
    <definedName name="PengeringanDgnPompa">#REF!</definedName>
    <definedName name="PengeringanPompa">#REF!</definedName>
    <definedName name="pengerukan_lumpur_lokasi_sulit">[57]analisa!#REF!</definedName>
    <definedName name="PENGUKURAN_BOUWPLANK">#REF!</definedName>
    <definedName name="Pengupasan_Plesteran">'[58]ANALISA  (BARU)'!$G$779</definedName>
    <definedName name="penjaga">[71]harsat!#REF!</definedName>
    <definedName name="PENJAGA_MALAM">#REF!</definedName>
    <definedName name="penjagamalam">#REF!</definedName>
    <definedName name="penulangan_pancang_beton">#REF!</definedName>
    <definedName name="PenutupLantaiDinding">'[9]AN-SNI'!#REF!</definedName>
    <definedName name="PepalihanBwhKusen">'[92]ANALISA SNI''13 '!#REF!</definedName>
    <definedName name="PepalihanPintu">'[92]ANALISA SNI''13 '!#REF!</definedName>
    <definedName name="PepalihanPlin">'[92]ANALISA SNI''13 '!#REF!</definedName>
    <definedName name="PeplihanKOlom">'[92]ANALISA SNI''13 '!#REF!</definedName>
    <definedName name="PER">'[63]LAM-22'!$F$53</definedName>
    <definedName name="PERALATAN">#REF!</definedName>
    <definedName name="Perancah">#REF!</definedName>
    <definedName name="perancah_B_0">#REF!</definedName>
    <definedName name="perancah_K_1_2_5">#REF!</definedName>
    <definedName name="perancah_K_2_2_5">#REF!</definedName>
    <definedName name="pers">#REF!</definedName>
    <definedName name="persh">[57]REKAP!#REF!</definedName>
    <definedName name="Persiapan">'[9]AN-SNI'!#REF!</definedName>
    <definedName name="PF_S">#REF!</definedName>
    <definedName name="pgc">#REF!</definedName>
    <definedName name="Philip" hidden="1">{#N/A,#N/A,FALSE,"REK-S-TPL";#N/A,#N/A,FALSE,"REK-TPML";#N/A,#N/A,FALSE,"RAB-TEMPEL"}</definedName>
    <definedName name="pi">[42]hit.BKMM!$D$3</definedName>
    <definedName name="pijar">#REF!</definedName>
    <definedName name="pijar25">#REF!</definedName>
    <definedName name="PIL">#REF!</definedName>
    <definedName name="pim_per">'[102]Rekap '!$C$50</definedName>
    <definedName name="PINTU_A">#REF!</definedName>
    <definedName name="PINTU_B">#REF!</definedName>
    <definedName name="PINTU_BASE">#REF!</definedName>
    <definedName name="PINTU_C">#REF!</definedName>
    <definedName name="pintu_gudang">#REF!</definedName>
    <definedName name="pintu_pagar_besi_kompl">#REF!</definedName>
    <definedName name="pintu1">#REF!</definedName>
    <definedName name="pintu2">#REF!</definedName>
    <definedName name="PintuPlyAl">'[58]ANALISA  (BARU)'!$G$537</definedName>
    <definedName name="PintuPlyDbl">'[58]ANALISA  (BARU)'!$G$557</definedName>
    <definedName name="PIP">#REF!</definedName>
    <definedName name="Pipa">[84]HARGA!#REF!</definedName>
    <definedName name="pipa.3">'[83]bahan+upah'!$E$193</definedName>
    <definedName name="pipa.4">'[83]bahan+upah'!$E$194</definedName>
    <definedName name="pipa.6">#REF!</definedName>
    <definedName name="Pipa___GIP_dia._1_2__ISTW_Med_B">'[20]Daftar Harga'!$G$287</definedName>
    <definedName name="Pipa__GIP_dia._2___ISTW_Med_B">'[20]Daftar Harga'!$G$289</definedName>
    <definedName name="Pipa__GIP_dia._3_4__ISTW_Med_B">'[20]Daftar Harga'!$G$288</definedName>
    <definedName name="Pipa_Accessories_End_Cap_25_mm">'[21]Daftar Harga Material'!$G$85</definedName>
    <definedName name="Pipa_Accessories_End_Cap_32_mm">'[21]Daftar Harga Material'!$G$86</definedName>
    <definedName name="Pipa_Accessories_Gate_Valve_25">'[21]Daftar Harga Material'!$G$88</definedName>
    <definedName name="PIPA_GALVANIS_0.5">#REF!</definedName>
    <definedName name="PIPA_GALVANIS_0.75">#REF!</definedName>
    <definedName name="PIPA_GALVANIS_1.25">#REF!</definedName>
    <definedName name="PIPA_GALVANIS_1.5">#REF!</definedName>
    <definedName name="PIPA_GALVANIS_2">#REF!</definedName>
    <definedName name="Pipa_galvanis_diameter_1">'[81]RANGE BAHAN'!$B$47:$C$47</definedName>
    <definedName name="Pipa_galvanis_diameter_1_1_2">#REF!</definedName>
    <definedName name="Pipa_galvanis_diameter_1_2">#REF!</definedName>
    <definedName name="Pipa_galvanis_diameter_1_5">#REF!</definedName>
    <definedName name="Pipa_galvanis_diameter_3_2">#REF!</definedName>
    <definedName name="Pipa_galvanis_diameter_siji_stgh">#REF!</definedName>
    <definedName name="Pipa_galvanis_diameter_stgh">'[81]RANGE BAHAN'!$B$45:$C$45</definedName>
    <definedName name="Pipa_galvanis_diameter_telung_prapat">'[81]RANGE BAHAN'!$B$46:$C$46</definedName>
    <definedName name="pipa_galvanis_sandaran">#REF!</definedName>
    <definedName name="Pipa_Galvanized_Medium_Ø_1">'[21]Daftar Harga Material'!$G$94</definedName>
    <definedName name="Pipa_PE_dia._1___WAVIN">'[20]Daftar Harga'!$G$291</definedName>
    <definedName name="Pipa_PE_dia._1__WAVIN">'[20]Daftar Harga'!$G$292</definedName>
    <definedName name="Pipa_PE_dia._2__WAVIN">'[20]Daftar Harga'!$G$290</definedName>
    <definedName name="Pipa_PVC__AW_dia._3_4__Rucika">'[20]Daftar Harga'!$G$294</definedName>
    <definedName name="PIPA_PVC_0.5">#REF!</definedName>
    <definedName name="PIPA_PVC_0.75">#REF!</definedName>
    <definedName name="PIPA_PVC_1">#REF!</definedName>
    <definedName name="PIPA_PVC_1.5">#REF!</definedName>
    <definedName name="PIPA_PVC_2">#REF!</definedName>
    <definedName name="PIPA_PVC_2.5">#REF!</definedName>
    <definedName name="PIPA_PVC_3">#REF!</definedName>
    <definedName name="PIPA_PVC_4">#REF!</definedName>
    <definedName name="Pipa_PVC_AW_1">'[81]RANGE BAHAN'!$B$76:$C$76</definedName>
    <definedName name="Pipa_PVC_AW_1_2">#REF!</definedName>
    <definedName name="Pipa_PVC_AW_3_4">#REF!</definedName>
    <definedName name="Pipa_PVC_AW_dia._1_2___Rucika">'[20]Daftar Harga'!$G$293</definedName>
    <definedName name="Pipa_PVC_AW_dia._2">'[20]Daftar Harga'!$G$296</definedName>
    <definedName name="Pipa_PVC_AW_dia._4">'[20]Daftar Harga'!$G$298</definedName>
    <definedName name="Pipa_PVC_AW_stgh">'[81]RANGE BAHAN'!$B$74:$C$74</definedName>
    <definedName name="Pipa_PVC_AW_telung_prapat">'[81]RANGE BAHAN'!$B$75:$C$75</definedName>
    <definedName name="Pipa_PVC_D_1_1_2">#REF!</definedName>
    <definedName name="Pipa_PVC_D_1_5">#REF!</definedName>
    <definedName name="Pipa_PVC_D_2">'[81]RANGE BAHAN'!$B$78:$C$78</definedName>
    <definedName name="Pipa_PVC_D_3">'[81]RANGE BAHAN'!$B$79:$C$79</definedName>
    <definedName name="Pipa_PVC_D_4">'[81]RANGE BAHAN'!$B$80:$C$80</definedName>
    <definedName name="Pipa_PVC_D_siji_stgh">#REF!</definedName>
    <definedName name="pipa_stainless">#REF!</definedName>
    <definedName name="pipabs2">#REF!</definedName>
    <definedName name="PipaGalv">'[18]ANALISA SNI''13 '!$I$2272</definedName>
    <definedName name="PipaGalv153">'[18]ANALISA SNI''13 '!$I$2280</definedName>
    <definedName name="pipagi1.2">'[83]bahan+upah'!$E$196</definedName>
    <definedName name="piparel25">#REF!</definedName>
    <definedName name="PIPE">#REF!</definedName>
    <definedName name="PISAN3_">#REF!</definedName>
    <definedName name="pitu_BRC">#REF!</definedName>
    <definedName name="PJJalusiKamper">'[18]ANALISA SNI''13 '!$I$1479</definedName>
    <definedName name="PJKacaKamper">'[18]ANALISA SNI''13 '!$I$1420</definedName>
    <definedName name="PJKrepyak">'[18]ANALISA SNI''13 '!$I$1486</definedName>
    <definedName name="pk">'[40]DAFTAR UPAH DAN BAHAN'!$F$79</definedName>
    <definedName name="pkpmp">#REF!</definedName>
    <definedName name="pku">'[40]DAFTAR UPAH DAN BAHAN'!$F$48</definedName>
    <definedName name="pl">'[40]DAFTAR UPAH DAN BAHAN'!$F$46</definedName>
    <definedName name="PlafAsbes">'[18]ANALISA SNI''13 '!$I$1860</definedName>
    <definedName name="PlafEternit">'[18]ANALISA SNI''13 '!$I$1868</definedName>
    <definedName name="PlafGedeg">'[18]ANALISA SNI''13 '!$I$1925</definedName>
    <definedName name="PlafGedegExpose">'[18]ANALISA SNI''13 '!$I$1933</definedName>
    <definedName name="PlafGypsum">'[18]ANALISA SNI''13 '!$I$1916</definedName>
    <definedName name="PlafKalsiboard">'[18]ANALISA SNI''13 '!$I$1876</definedName>
    <definedName name="plafond_cals">#REF!</definedName>
    <definedName name="pLAFOND_CALSIBOARD">#REF!</definedName>
    <definedName name="plafond_gypsum">#REF!</definedName>
    <definedName name="PLAFOND_GYPSUM_METALFURING">[18]ANALISA1!$J$692</definedName>
    <definedName name="PLAFOND_KALSIBOARD_RANGKA_METALFURING">[18]ANALISA1!$J$693</definedName>
    <definedName name="PLAFOND_LAMBRIZIRING_KAYU">[18]ANALISA1!$J$702</definedName>
    <definedName name="PLAFOND_LAMBRIZIRING_RANGKA_KAYU">[18]ANALISA1!$J$711</definedName>
    <definedName name="PlafondCalsibord">#REF!</definedName>
    <definedName name="Plafondeternit">#REF!</definedName>
    <definedName name="Plafondgedeg">#REF!</definedName>
    <definedName name="Plafondtripekspose">#REF!</definedName>
    <definedName name="Plafondtriplek">#REF!</definedName>
    <definedName name="PlafPlyrangka">'[92]ANALISA SNI''13 '!#REF!</definedName>
    <definedName name="PlafTripleks">'[18]ANALISA SNI''13 '!$I$1884</definedName>
    <definedName name="plamir">#REF!</definedName>
    <definedName name="Plamir_kayu">#REF!</definedName>
    <definedName name="Plamir_kayu_pedang">'[81]RANGE BAHAN'!$B$94:$C$94</definedName>
    <definedName name="Plamir_Tembok">'[20]Daftar Harga'!$G$60</definedName>
    <definedName name="Plamir_tembok_buaya">'[81]RANGE BAHAN'!$B$93:$C$93</definedName>
    <definedName name="plamirkayu">#REF!</definedName>
    <definedName name="plamirtbk">#REF!</definedName>
    <definedName name="plamurkayu">[48]harga!$F$234</definedName>
    <definedName name="plamurtembok">[48]harga!$F$235</definedName>
    <definedName name="plastik">'[5]HB '!$F$187</definedName>
    <definedName name="plat_atap">[45]ANALISA!#REF!</definedName>
    <definedName name="plat_beton_K300">#REF!</definedName>
    <definedName name="Plat_beton_W">#REF!</definedName>
    <definedName name="PLAT_LANTAI_100KG">[18]ANALISA1!$J$309</definedName>
    <definedName name="PLAT_LANTAI_110KG">#REF!</definedName>
    <definedName name="PLAT_LANTAI_120KG">#REF!</definedName>
    <definedName name="PLAT_LANTAI_130KG">#REF!</definedName>
    <definedName name="PLAT_LANTAI_140KG">#REF!</definedName>
    <definedName name="PLAT_LANTAI_150KG">#REF!</definedName>
    <definedName name="PLAT_LANTAI_160KG">#REF!</definedName>
    <definedName name="PLAT_LANTAI_170KG">#REF!</definedName>
    <definedName name="PLAT_LANTAI_180KG">#REF!</definedName>
    <definedName name="PLAT_LANTAI_190KG">#REF!</definedName>
    <definedName name="PLAT_LANTAI_200KG">#REF!</definedName>
    <definedName name="plat_seng">#REF!</definedName>
    <definedName name="PLAT_TANGGA_100KG">#REF!</definedName>
    <definedName name="PLAT_TANGGA_110KG">#REF!</definedName>
    <definedName name="PLAT_TANGGA_120KG">#REF!</definedName>
    <definedName name="PLAT_TANGGA_130KG">#REF!</definedName>
    <definedName name="PLAT_TANGGA_140KG">#REF!</definedName>
    <definedName name="PLAT_TANGGA_150KG">#REF!</definedName>
    <definedName name="PLAT_TANGGA_160KG">#REF!</definedName>
    <definedName name="PLAT_TANGGA_170KG">#REF!</definedName>
    <definedName name="PLAT_TANGGA_180KG">#REF!</definedName>
    <definedName name="PLAT_TANGGA_190KG">#REF!</definedName>
    <definedName name="PLAT_TANGGA_200KG">#REF!</definedName>
    <definedName name="PLAT12">#REF!</definedName>
    <definedName name="PLAT15">#REF!</definedName>
    <definedName name="PLAT8CM">#REF!</definedName>
    <definedName name="platbordes">#REF!</definedName>
    <definedName name="platstrip">'[5]HB '!$F$65</definedName>
    <definedName name="Ples_Ppalihn">'[58]ANALISA  (BARU)'!$G$312</definedName>
    <definedName name="Ples12">'[18]ANALISA SNI''13 '!$I$1322</definedName>
    <definedName name="ples13">#REF!</definedName>
    <definedName name="Ples15">'[18]ANALISA SNI''13 '!$I$1330</definedName>
    <definedName name="Ples15pepalihan">'[18]ANALISA SNI''13 '!$I$1338</definedName>
    <definedName name="Ples16">'[18]ANALISA SNI''13 '!$I$1346</definedName>
    <definedName name="plest16">#REF!</definedName>
    <definedName name="PLESTER_1_2">#REF!</definedName>
    <definedName name="PLESTER_1_5">[18]ANALISA1!$J$527</definedName>
    <definedName name="PLESTER_SIAR_1_2">[18]ANALISA1!$J$535</definedName>
    <definedName name="plester13">#REF!</definedName>
    <definedName name="plester14">#REF!</definedName>
    <definedName name="Plesteran">'[9]AN-SNI'!#REF!</definedName>
    <definedName name="Plesteran13">'[58]ANALISA  (BARU)'!$G$311</definedName>
    <definedName name="Plesteran15">#REF!</definedName>
    <definedName name="PlesteranSiaran12">#REF!</definedName>
    <definedName name="plestrpepalihan">#REF!</definedName>
    <definedName name="PlfnGdgExpos">'[58]ANALISA  (BARU)'!$G$609</definedName>
    <definedName name="PlfondEternitbaru">'[58]ANALISA  (BARU)'!$G$568</definedName>
    <definedName name="Plfondgedegekspose">#REF!</definedName>
    <definedName name="PLINT_10x30">[18]ANALISA1!$J$820</definedName>
    <definedName name="PLINT_10x40">[18]ANALISA1!$J$819</definedName>
    <definedName name="Plint1030">'[18]ANALISA SNI''13 '!$I$1993</definedName>
    <definedName name="PlintKayu">'[18]ANALISA SNI''13 '!$I$2060</definedName>
    <definedName name="Plintkeramik">#REF!</definedName>
    <definedName name="PLP">#REF!</definedName>
    <definedName name="plt">'[51]RAB 2'!$B$1:$H$162</definedName>
    <definedName name="plum">#REF!</definedName>
    <definedName name="PlyAlum">'[18]ANALISA SNI''13 '!$I$1471</definedName>
    <definedName name="pmeranti">[48]harga!$F$112</definedName>
    <definedName name="pneumatic_tire_roller_AC">#REF!</definedName>
    <definedName name="pneumatic_tire_roller_ACL">#REF!</definedName>
    <definedName name="pneumatic_tire_roller_ATB">#REF!</definedName>
    <definedName name="pneumatic_tire_roller_ATBL">#REF!</definedName>
    <definedName name="pntbs">#REF!</definedName>
    <definedName name="POER">#REF!</definedName>
    <definedName name="POLITUR">[18]ANALISA1!$J$918</definedName>
    <definedName name="polituran">#REF!</definedName>
    <definedName name="PolituranKayu">'[18]ANALISA SNI''13 '!$I$2102</definedName>
    <definedName name="PoliturMejaKursi">#N/A</definedName>
    <definedName name="polos">[48]harga!$F$37</definedName>
    <definedName name="POMPA">#REF!</definedName>
    <definedName name="pompaair">#REF!</definedName>
    <definedName name="Pondasi">'[9]AN-SNI'!#REF!</definedName>
    <definedName name="PONDASI_100KG">[18]ANALISA1!$J$193</definedName>
    <definedName name="PONDASI_110KG">#REF!</definedName>
    <definedName name="PONDASI_120KG">#REF!</definedName>
    <definedName name="PONDASI_130KG">#REF!</definedName>
    <definedName name="PONDASI_140KG">#REF!</definedName>
    <definedName name="PONDASI_150KG">#REF!</definedName>
    <definedName name="PONDASI_160KG">#REF!</definedName>
    <definedName name="PONDASI_170KG">#REF!</definedName>
    <definedName name="PONDASI_180KG">#REF!</definedName>
    <definedName name="PONDASI_190KG">#REF!</definedName>
    <definedName name="PONDASI_200KG">#REF!</definedName>
    <definedName name="PONDASI_BATU_KALI_1_5">[18]ANALISA1!$J$78</definedName>
    <definedName name="PONDASI_TAPAK">#REF!</definedName>
    <definedName name="PondasiFe100">'[18]ANALISA SNI''13 '!$I$815</definedName>
    <definedName name="PondasiFe110">'[18]ANALISA SNI''13 '!$I$818</definedName>
    <definedName name="PondasiFe120">'[18]ANALISA SNI''13 '!$I$819</definedName>
    <definedName name="PondasiFe125">#REF!</definedName>
    <definedName name="PondasiFe130">'[18]ANALISA SNI''13 '!$I$820</definedName>
    <definedName name="PondasiFe140">'[18]ANALISA SNI''13 '!$I$821</definedName>
    <definedName name="PondasiFe150">'[18]ANALISA SNI''13 '!$I$809</definedName>
    <definedName name="PondasiFe160">'[18]ANALISA SNI''13 '!$I$822</definedName>
    <definedName name="PondasiFe170">'[18]ANALISA SNI''13 '!$I$823</definedName>
    <definedName name="PondasiFe175">#REF!</definedName>
    <definedName name="PondasiFe180">'[18]ANALISA SNI''13 '!$I$824</definedName>
    <definedName name="PondasiFe190">'[18]ANALISA SNI''13 '!$I$825</definedName>
    <definedName name="PondasiFe200">'[18]ANALISA SNI''13 '!$I$826</definedName>
    <definedName name="PondasiFe210">'[18]ANALISA SNI''13 '!$I$827</definedName>
    <definedName name="PondasiFe220">'[18]ANALISA SNI''13 '!$I$828</definedName>
    <definedName name="PondasiFe230">'[18]ANALISA SNI''13 '!$I$829</definedName>
    <definedName name="PondasiFe240">'[18]ANALISA SNI''13 '!$I$830</definedName>
    <definedName name="PondasiFe250">'[18]ANALISA SNI''13 '!$I$831</definedName>
    <definedName name="PondasiFe260">'[18]ANALISA SNI''13 '!$I$832</definedName>
    <definedName name="PondasiFe270">'[18]ANALISA SNI''13 '!$I$833</definedName>
    <definedName name="PondasiFe280">'[18]ANALISA SNI''13 '!$I$834</definedName>
    <definedName name="PondasiFe300">'[18]ANALISA SNI''13 '!$I$852</definedName>
    <definedName name="PondasiFe80">'[18]ANALISA SNI''13 '!$I$816</definedName>
    <definedName name="PondasiFe90">'[18]ANALISA SNI''13 '!$I$817</definedName>
    <definedName name="PondSumuran">'[18]ANALISA SNI''13 '!$I$619</definedName>
    <definedName name="ponton_gali_ponton">'[67]ANALISA HARGA SAT.'!$J$40</definedName>
    <definedName name="POPERATOR">[84]HARGA!#REF!</definedName>
    <definedName name="por">[173]BAHAN!$F$215</definedName>
    <definedName name="Portland_Cement">'[81]RANGE BAHAN'!$B$17:$C$17</definedName>
    <definedName name="Portland_Cement__tiga_roda___50kg">'[20]Daftar Harga'!$G$32</definedName>
    <definedName name="Portland_Cement_Putih">#REF!</definedName>
    <definedName name="pot">'[174]SUR-HARGA'!$X$252</definedName>
    <definedName name="pph">#REF!</definedName>
    <definedName name="ppn">#REF!</definedName>
    <definedName name="ppnbek">#REF!</definedName>
    <definedName name="ppnjati">'[61]HB '!$F$29</definedName>
    <definedName name="ppnkpr">'[5]HB '!$F$33</definedName>
    <definedName name="ppnmer">'[5]HB '!$F$36</definedName>
    <definedName name="Pr">'[9]AN-SNI'!#REF!</definedName>
    <definedName name="PRECAST_A">#REF!</definedName>
    <definedName name="PRECAST_B">#REF!</definedName>
    <definedName name="PRECAST_C">#REF!</definedName>
    <definedName name="Prem" hidden="1">[175]A!#REF!</definedName>
    <definedName name="primecoat">'[76]ANALISA-1'!#REF!</definedName>
    <definedName name="Pring_bongkotan">#REF!</definedName>
    <definedName name="_xlnm.Print_Area" localSheetId="0">'RAB '!$B$1:$J$74</definedName>
    <definedName name="_xlnm.Print_Area">#REF!</definedName>
    <definedName name="PRINT_AREA_MI">#REF!</definedName>
    <definedName name="PRINT_TILTES">#REF!</definedName>
    <definedName name="PRINT_TITILES">#REF!</definedName>
    <definedName name="PRINT_TITLE">#REF!</definedName>
    <definedName name="_xlnm.Print_Titles">#REF!</definedName>
    <definedName name="PRINT_TITLES_MI">#REF!</definedName>
    <definedName name="PrintTitles">'[9]AN-SNI'!#REF!</definedName>
    <definedName name="PRITN_TITLES">#REF!</definedName>
    <definedName name="PRO">#REF!</definedName>
    <definedName name="prod.atb">'[76]ANALISA-1'!#REF!</definedName>
    <definedName name="prod.atbl">'[76]ANALISA-1'!#REF!</definedName>
    <definedName name="prod.laston">'[76]ANALISA-1'!#REF!</definedName>
    <definedName name="PROFIT">#REF!</definedName>
    <definedName name="PROP">#REF!</definedName>
    <definedName name="propinsi">[114]data!$B$3</definedName>
    <definedName name="proyek">[114]data!$B$1</definedName>
    <definedName name="prs">#REF!</definedName>
    <definedName name="ps">[40]ANALISA!$K$128</definedName>
    <definedName name="PS_BATU_KALI">#REF!</definedName>
    <definedName name="ps_batu_merah">[57]analisa!#REF!</definedName>
    <definedName name="PS_BATU_TEMPEL">#REF!</definedName>
    <definedName name="ps_dinding13">#REF!</definedName>
    <definedName name="ps_dinding15">#REF!</definedName>
    <definedName name="ps_galvalum">#REF!</definedName>
    <definedName name="ps_glassblock">#REF!</definedName>
    <definedName name="ps_gordingC150">#REF!</definedName>
    <definedName name="ps_gordingC75">#REF!</definedName>
    <definedName name="Ps_gordingKayu">#REF!</definedName>
    <definedName name="Ps_kacaES">#REF!</definedName>
    <definedName name="Ps_kacaPol">#REF!</definedName>
    <definedName name="ps_klosetJ">#REF!</definedName>
    <definedName name="ps_kran">#REF!</definedName>
    <definedName name="ps_krm20x20pol">#REF!</definedName>
    <definedName name="ps_krm20x25.pol">#REF!</definedName>
    <definedName name="ps_krm30x30pol">#REF!</definedName>
    <definedName name="ps_krm40x40war">#REF!</definedName>
    <definedName name="ps_kusenAL">#REF!</definedName>
    <definedName name="PS_paving6">#REF!</definedName>
    <definedName name="PS_paving8">#REF!</definedName>
    <definedName name="ps_plin">#REF!</definedName>
    <definedName name="ps_rooster">#REF!</definedName>
    <definedName name="ps_saklar">#REF!</definedName>
    <definedName name="ps_slimarAL">#REF!</definedName>
    <definedName name="ps_stopkontak">#REF!</definedName>
    <definedName name="ps_tiang_pagar_brc">[57]analisa!#REF!</definedName>
    <definedName name="Ps_titikL">#REF!</definedName>
    <definedName name="ps_usukReng">#REF!</definedName>
    <definedName name="ps_wastafel">#REF!</definedName>
    <definedName name="ps_wGalvalum">#REF!</definedName>
    <definedName name="psbet">'[40]DAFTAR UPAH DAN BAHAN'!$F$17</definedName>
    <definedName name="PsBouwplank">'[18]ANALISA SNI''13 '!$I$349</definedName>
    <definedName name="pscor">[48]harga!$F$192</definedName>
    <definedName name="PSDINDING13">#REF!</definedName>
    <definedName name="PSDINDING15">#REF!</definedName>
    <definedName name="PsGenteng">#REF!</definedName>
    <definedName name="PSKACAPOLOS">#REF!</definedName>
    <definedName name="PSKRMMOT2025">#REF!</definedName>
    <definedName name="PSKRMPOL2020">#REF!</definedName>
    <definedName name="PSKRMPOL3030">#REF!</definedName>
    <definedName name="PSKRMRUS2020">#REF!</definedName>
    <definedName name="PSKRMRUS3030">#REF!</definedName>
    <definedName name="PSKUSENJATI">#REF!</definedName>
    <definedName name="PSKUSENKAMPER">#REF!</definedName>
    <definedName name="PsP">'[176]BASIC PRICE '!$K$94</definedName>
    <definedName name="pspas">'[40]DAFTAR UPAH DAN BAHAN'!$F$18</definedName>
    <definedName name="pspasang">[146]harga!$E$177</definedName>
    <definedName name="PSPLAFOND">#REF!</definedName>
    <definedName name="psr_cor">#REF!</definedName>
    <definedName name="psr_psg">#REF!</definedName>
    <definedName name="psr_urug">#REF!</definedName>
    <definedName name="psrbtn">'[5]HB '!$F$48</definedName>
    <definedName name="psrcor">#REF!</definedName>
    <definedName name="psrpasang">'[83]bahan+upah'!$E$9</definedName>
    <definedName name="psrps">'[5]HB '!$F$49</definedName>
    <definedName name="PSRPSG">'[177]H Satuan'!$F$17</definedName>
    <definedName name="psrurug">'[5]HB '!$F$50</definedName>
    <definedName name="psur">'[40]DAFTAR UPAH DAN BAHAN'!$F$19</definedName>
    <definedName name="psurug">[48]harga!$F$194</definedName>
    <definedName name="pt">#REF!</definedName>
    <definedName name="PTB">[104]bahan!$G$137</definedName>
    <definedName name="PTC">[104]bahan!$G$140</definedName>
    <definedName name="PTJW">#REF!</definedName>
    <definedName name="PTK">[104]bahan!$G$138</definedName>
    <definedName name="ptl">[71]Analisa!$D$476</definedName>
    <definedName name="ptr">'[57]Harga Satuan Dasar'!#REF!</definedName>
    <definedName name="PTR_HAMPAR_AC">[56]ANALIS!#REF!</definedName>
    <definedName name="PTS">[104]bahan!$G$139</definedName>
    <definedName name="ptt">[71]Analisa!$D$158</definedName>
    <definedName name="PUMP">#REF!</definedName>
    <definedName name="pump_water">'[57]Harga Satuan Dasar'!#REF!</definedName>
    <definedName name="pump_water_beton_K225">[57]analisa!#REF!</definedName>
    <definedName name="PUMp_WATER_beton_k350">[57]analisa!#REF!</definedName>
    <definedName name="pump_water_dewatering">[57]analisa!#REF!</definedName>
    <definedName name="PUP">#REF!</definedName>
    <definedName name="pupuk">'[5]HB '!$F$186</definedName>
    <definedName name="pupuk_penanaman_pohon">#REF!</definedName>
    <definedName name="PUSAT">'[178]LS-Rutin'!$D$7</definedName>
    <definedName name="pvc_2">'[57]Harga Satuan Dasar'!#REF!</definedName>
    <definedName name="pvc_5">#REF!</definedName>
    <definedName name="pvcf100">[19]SAP!#REF!</definedName>
    <definedName name="pvcf150">[19]SAP!#REF!</definedName>
    <definedName name="pvcf200">[19]SAP!#REF!</definedName>
    <definedName name="pvcf65">[19]SAP!#REF!</definedName>
    <definedName name="pvcf80">[19]SAP!#REF!</definedName>
    <definedName name="Q">[59]Analisa!#REF!</definedName>
    <definedName name="QQ">[59]Analisa!#REF!</definedName>
    <definedName name="QQQQ">'[59]div-2'!#REF!</definedName>
    <definedName name="QUNTITY2">#REF!</definedName>
    <definedName name="QW">'[59]Kuantitas &amp; Harga'!$B$133:$I$176</definedName>
    <definedName name="QWE">'[59]div-2'!#REF!</definedName>
    <definedName name="qwqw">#REF!</definedName>
    <definedName name="R.106">#REF!</definedName>
    <definedName name="R.140">#REF!</definedName>
    <definedName name="R.147">#REF!</definedName>
    <definedName name="R.149">#REF!</definedName>
    <definedName name="R.155">#REF!</definedName>
    <definedName name="R.27">#REF!</definedName>
    <definedName name="R.37">#REF!</definedName>
    <definedName name="R.40">#REF!</definedName>
    <definedName name="R.43">#REF!</definedName>
    <definedName name="R.46">#REF!</definedName>
    <definedName name="R.48">#REF!</definedName>
    <definedName name="R.49">#REF!</definedName>
    <definedName name="R.50">#REF!</definedName>
    <definedName name="R.51">#REF!</definedName>
    <definedName name="R.53">#REF!</definedName>
    <definedName name="R.56">#REF!</definedName>
    <definedName name="R.58">#REF!</definedName>
    <definedName name="R.76">#REF!</definedName>
    <definedName name="R.77">#REF!</definedName>
    <definedName name="R.80">#REF!</definedName>
    <definedName name="R.81">#REF!</definedName>
    <definedName name="R.83">#REF!</definedName>
    <definedName name="R.84">#REF!</definedName>
    <definedName name="R.89">#REF!</definedName>
    <definedName name="R_">#REF!</definedName>
    <definedName name="RAB_EE">#REF!</definedName>
    <definedName name="rab_ipltl">'[51]RAB 2'!$B$1:$H$161</definedName>
    <definedName name="rabat">#REF!</definedName>
    <definedName name="Ram">'[18]ANALISA SNI''13 '!$I$1604</definedName>
    <definedName name="RAMBU_1">#REF!</definedName>
    <definedName name="RAMBU_2">#REF!</definedName>
    <definedName name="RamKamper">'[58]ANALISA  (BARU)'!$G$483</definedName>
    <definedName name="Ramlisplank">#REF!</definedName>
    <definedName name="ramman">#REF!</definedName>
    <definedName name="RANGKA_PLAFOND_KAYU_60X60CM">[18]ANALISA1!$J$710</definedName>
    <definedName name="RangkaPartisi">'[18]ANALISA SNI''13 '!$I$1307</definedName>
    <definedName name="RangkaPlf105">#REF!</definedName>
    <definedName name="RangkaPlf105Kruing">'[18]ANALISA SNI''13 '!$I$1760</definedName>
    <definedName name="RangkaPlf105Meranti">'[18]ANALISA SNI''13 '!$I$1798</definedName>
    <definedName name="RangkaPlf105Mranti">#REF!</definedName>
    <definedName name="RangkaPlf11Kamper">'[18]ANALISA SNI''13 '!$I$1744</definedName>
    <definedName name="RangkaPlf11Kruing">'[18]ANALISA SNI''13 '!$I$1752</definedName>
    <definedName name="RangkaPlf3030Kamper">'[18]ANALISA SNI''13 '!$I$1852</definedName>
    <definedName name="RangkaPlf3060Kamper">'[18]ANALISA SNI''13 '!$I$1836</definedName>
    <definedName name="RangkPlf25Bks">#REF!</definedName>
    <definedName name="RangkPlf25BksKruing">'[18]ANALISA SNI''13 '!$I$1769</definedName>
    <definedName name="RangkPlf25BksMeranti">'[18]ANALISA SNI''13 '!$I$1807</definedName>
    <definedName name="RangkPlf25BksMranti">#REF!</definedName>
    <definedName name="RangkPlf50Bks">#REF!</definedName>
    <definedName name="RangkPlf50BksKruing">'[18]ANALISA SNI''13 '!$I$1779</definedName>
    <definedName name="RangkPlf50BksMeranti">'[18]ANALISA SNI''13 '!$I$1817</definedName>
    <definedName name="RangkPlf50BksMranti">#REF!</definedName>
    <definedName name="RangkPlf70BksMranti">#REF!</definedName>
    <definedName name="RAP">#REF!</definedName>
    <definedName name="RATE">#REF!</definedName>
    <definedName name="rayben3">#REF!</definedName>
    <definedName name="rayben5">#REF!</definedName>
    <definedName name="RD_125_E27_8W">'[20]Daftar Harga'!#REF!</definedName>
    <definedName name="RD_125_E27_SL_8W_Terpasang">'[20]Daftar Harga'!#REF!</definedName>
    <definedName name="RD_225_SL_1_x_20_W">'[20]Daftar Harga'!#REF!</definedName>
    <definedName name="RDU">#REF!</definedName>
    <definedName name="REAL">#REF!</definedName>
    <definedName name="red">#REF!</definedName>
    <definedName name="reett">'[116]Basic Price'!$F$110</definedName>
    <definedName name="REGO_SIKU100">#REF!</definedName>
    <definedName name="REK_EE">#REF!</definedName>
    <definedName name="rekap">{"Book1","4.09 FLORA DAN FAUNA.xls","4.22 PERLENGKAPAN SEKOLAH.xls"}</definedName>
    <definedName name="REKAP_1">#REF!</definedName>
    <definedName name="REKAP_2">#REF!</definedName>
    <definedName name="REKAP_3">#REF!</definedName>
    <definedName name="REKAP_4">#REF!</definedName>
    <definedName name="REKAPITULASI">STOP2:STOP2E</definedName>
    <definedName name="rekondisi_box_culvert">#REF!</definedName>
    <definedName name="remix175">#REF!</definedName>
    <definedName name="remix225">#REF!</definedName>
    <definedName name="remix250">'[5]HB '!$F$55</definedName>
    <definedName name="REN">#REF!</definedName>
    <definedName name="Reng">#REF!</definedName>
    <definedName name="rengjati">#REF!</definedName>
    <definedName name="Rengkamper">'[18]ANALISA SNI''13 '!$I$1580</definedName>
    <definedName name="RengKmpr">'[58]ANALISA  (BARU)'!$G$440</definedName>
    <definedName name="RER">'[118]Basic Price'!$F$8</definedName>
    <definedName name="RESULT">#REF!</definedName>
    <definedName name="rete">'[73]div-8'!#REF!</definedName>
    <definedName name="rew">{"Book1","4.09 FLORA DAN FAUNA.xls","4.22 PERLENGKAPAN SEKOLAH.xls"}</definedName>
    <definedName name="rfe">[179]BAHAN!$F$215</definedName>
    <definedName name="RFSL">#REF!</definedName>
    <definedName name="RGR">'[59]div-5'!#REF!</definedName>
    <definedName name="rhyre">'[73]div-8'!#REF!</definedName>
    <definedName name="RINCI">'[31]Rinc.Ged.A (G.Utama)'!$A$1</definedName>
    <definedName name="RINGBALOK_PRAKTIS">[18]ANALISA1!$J$363</definedName>
    <definedName name="RINSU">#REF!</definedName>
    <definedName name="RLABO">#REF!</definedName>
    <definedName name="RMISC">#REF!</definedName>
    <definedName name="Road_marking_tool">#REF!</definedName>
    <definedName name="roadmark">#REF!</definedName>
    <definedName name="Rocktile30">#REF!</definedName>
    <definedName name="roldoralm">#REF!</definedName>
    <definedName name="roldorstel">#REF!</definedName>
    <definedName name="roller">#REF!</definedName>
    <definedName name="Roller_cat_tembok">'[20]Daftar Harga'!$G$73</definedName>
    <definedName name="ROLLINGDOOR_ALUMINIUM">#REF!</definedName>
    <definedName name="roltba">'[5]HB '!$F$162</definedName>
    <definedName name="RoolD1">#REF!</definedName>
    <definedName name="RoolD2">#REF!</definedName>
    <definedName name="RoomList">[180]!RoomLookup[#Data]</definedName>
    <definedName name="rooster_bata">#REF!</definedName>
    <definedName name="Roset_SL_I_E27___Bohlam_25_W_Phillips">'[20]Daftar Harga'!#REF!</definedName>
    <definedName name="Roset_SL_I_E27___Bohlam_SL_E_20_W_Phillips">'[20]Daftar Harga'!#REF!</definedName>
    <definedName name="roster">'[181]BH-UP'!#REF!</definedName>
    <definedName name="ROUND">#REF!</definedName>
    <definedName name="ROUNDL">#REF!</definedName>
    <definedName name="ROUNDM">#REF!</definedName>
    <definedName name="RowTitleRegion1..E5" localSheetId="2">#REF!</definedName>
    <definedName name="RowTitleRegion1..E5" localSheetId="0">#REF!</definedName>
    <definedName name="RowTitleRegion1..E5">#REF!</definedName>
    <definedName name="Rp">'[5]HB '!#REF!</definedName>
    <definedName name="RPAIN">#REF!</definedName>
    <definedName name="RS">#REF!</definedName>
    <definedName name="RSLEE">#REF!</definedName>
    <definedName name="RSUBT">#REF!</definedName>
    <definedName name="RSUM1">#REF!</definedName>
    <definedName name="RSUM2">#REF!</definedName>
    <definedName name="RSUM3">#REF!</definedName>
    <definedName name="RTEST">#REF!</definedName>
    <definedName name="rtgwer">'[116]Basic Price'!$F$12</definedName>
    <definedName name="rtwtt">'[72]Basic Price'!$F$12</definedName>
    <definedName name="rubber_bearing">#REF!</definedName>
    <definedName name="Rucika_Wavin">#REF!</definedName>
    <definedName name="rukan_a">[182]TOWN!#REF!</definedName>
    <definedName name="rukan_aa">[182]TOWN!#REF!</definedName>
    <definedName name="rukan_b">[182]TOWN!#REF!</definedName>
    <definedName name="rukan_c">[182]TOWN!#REF!</definedName>
    <definedName name="rukan_cc">[182]TOWN!#REF!</definedName>
    <definedName name="rukan_d">[182]TOWN!#REF!</definedName>
    <definedName name="rukan_dd">[182]TOWN!#REF!</definedName>
    <definedName name="rukan_e">[182]TOWN!#REF!</definedName>
    <definedName name="rukan_ee">[182]TOWN!#REF!</definedName>
    <definedName name="Rumah_Panel_40_x_60_cm">'[20]Daftar Harga'!$G$383</definedName>
    <definedName name="Rumah_Panel_80_x_60_cm">'[20]Daftar Harga'!$G$384</definedName>
    <definedName name="rumput">'[5]HB '!$F$182</definedName>
    <definedName name="rumput_panaitan">'[20]Daftar Harga'!$G$438</definedName>
    <definedName name="RUTIN">'[14]%'!#REF!</definedName>
    <definedName name="RWE">'[59]div-5'!#REF!</definedName>
    <definedName name="rwew">[116]alat!$AW$39</definedName>
    <definedName name="s">'[183]harga bahan'!$K$118</definedName>
    <definedName name="S.21">#REF!</definedName>
    <definedName name="S.23">#REF!</definedName>
    <definedName name="S.24">#REF!</definedName>
    <definedName name="S.25">#REF!</definedName>
    <definedName name="S.26">#REF!</definedName>
    <definedName name="S.BARU">#REF!</definedName>
    <definedName name="S.LAMA.A">#REF!</definedName>
    <definedName name="S.LAMA.B">#REF!</definedName>
    <definedName name="S.LAMA.C">#REF!</definedName>
    <definedName name="SA">#REF!</definedName>
    <definedName name="SA.1">#REF!</definedName>
    <definedName name="SA.10">#REF!</definedName>
    <definedName name="SA.11">#REF!</definedName>
    <definedName name="SA.12">#REF!</definedName>
    <definedName name="SA.13">#REF!</definedName>
    <definedName name="SA.14">#REF!</definedName>
    <definedName name="SA.2">#REF!</definedName>
    <definedName name="SA.3">#REF!</definedName>
    <definedName name="SA.4">#REF!</definedName>
    <definedName name="SA.5">#REF!</definedName>
    <definedName name="SA.6">#REF!</definedName>
    <definedName name="SA.7">#REF!</definedName>
    <definedName name="SA.8">#REF!</definedName>
    <definedName name="SA.9">#REF!</definedName>
    <definedName name="saczv">'[59]div-2'!#REF!</definedName>
    <definedName name="SAH">#REF!</definedName>
    <definedName name="saklar">#REF!</definedName>
    <definedName name="Saklar__seri_Clipsal">'[20]Daftar Harga'!$G$394</definedName>
    <definedName name="Saklar__seri_Clipsal_Hotel">'[20]Daftar Harga'!$G$397</definedName>
    <definedName name="Saklar__Tunggal_Clipsal">'[20]Daftar Harga'!$G$393</definedName>
    <definedName name="Saklar__Tunggal_Clipsal_Hotel">'[20]Daftar Harga'!$G$396</definedName>
    <definedName name="Saklar_telepon">'[20]Daftar Harga'!$G$398</definedName>
    <definedName name="Saklar_TV">'[20]Daftar Harga'!$G$399</definedName>
    <definedName name="saklarg">'[5]HB '!#REF!</definedName>
    <definedName name="salm">[40]ANALISA!#REF!</definedName>
    <definedName name="SAMBUNGAN_LISTRIK">#REF!</definedName>
    <definedName name="Sanitasi">'[9]AN-SNI'!#REF!</definedName>
    <definedName name="sarana_pembantaian">'[184]UNTUNG RUGI'!$A$55</definedName>
    <definedName name="sare">'[5]HB '!$F$177</definedName>
    <definedName name="satalat">#REF!</definedName>
    <definedName name="satbah">#REF!</definedName>
    <definedName name="satper">#REF!</definedName>
    <definedName name="satuan">'[132]Harga bahan &amp; upah'!$E$8:$E$135</definedName>
    <definedName name="sayan">#REF!</definedName>
    <definedName name="SB.1">#REF!</definedName>
    <definedName name="SB.2">#REF!</definedName>
    <definedName name="SB.3">#REF!</definedName>
    <definedName name="SB.4">#REF!</definedName>
    <definedName name="SB.5">#REF!</definedName>
    <definedName name="SC.1">#REF!</definedName>
    <definedName name="scvszcv">'[59]div-2'!#REF!</definedName>
    <definedName name="sczscv">'[59]div-7'!#REF!</definedName>
    <definedName name="sd">[185]summary!#REF!</definedName>
    <definedName name="sda">[73]Analisa!#REF!</definedName>
    <definedName name="sdafa">'[59]div-7'!#REF!</definedName>
    <definedName name="sdas">'[73]div-8'!#REF!</definedName>
    <definedName name="sdasd">'[73]div-8'!#REF!</definedName>
    <definedName name="sdasz">'[59]div-7'!#REF!</definedName>
    <definedName name="sde">[117]BAHAN!$F$208</definedName>
    <definedName name="SDF">'[59]div-3'!#REF!</definedName>
    <definedName name="sdfadw">'[73]div-8'!$L$1:$V$61</definedName>
    <definedName name="SDFD">[118]alat!$AW$11</definedName>
    <definedName name="sdfewf">[73]Analisa!#REF!</definedName>
    <definedName name="SDFSFD">'[73]div-8'!$A$565:$J$693</definedName>
    <definedName name="sdfv">'[59]Basic Price'!#REF!</definedName>
    <definedName name="sdsd">[186]bahan!$A$79:$E$96</definedName>
    <definedName name="sdvsdvds">'[59]div-7'!#REF!</definedName>
    <definedName name="sdweqd">[73]Analisa!#REF!</definedName>
    <definedName name="segre40">[71]harsat!$G$33</definedName>
    <definedName name="segre50">[71]harsat!#REF!</definedName>
    <definedName name="sekgnd">#REF!</definedName>
    <definedName name="sektgl">#REF!</definedName>
    <definedName name="sekur_begisting">#REF!</definedName>
    <definedName name="selisih">#REF!</definedName>
    <definedName name="SEMEN">[84]HARGA!#REF!</definedName>
    <definedName name="semen_40_beton_K225">[57]analisa!#REF!</definedName>
    <definedName name="semen_40_beton_k350">[57]analisa!#REF!</definedName>
    <definedName name="semen_40_beton_rabat">[57]analisa!#REF!</definedName>
    <definedName name="semen_40_ps_batu_merah">[57]analisa!#REF!</definedName>
    <definedName name="semen_40_rekondisi_box_culvert">#REF!</definedName>
    <definedName name="semen_50">[68]BASIC!$F$147</definedName>
    <definedName name="semen_B_0">#REF!</definedName>
    <definedName name="semen_batu_kali">#REF!</definedName>
    <definedName name="semen_ctsb">#REF!</definedName>
    <definedName name="semen_K_1_2_5">#REF!</definedName>
    <definedName name="semen_K_2_2_5">#REF!</definedName>
    <definedName name="Semen_kg">#REF!</definedName>
    <definedName name="Semen_PAsang_batu_mortar">#REF!</definedName>
    <definedName name="Semen_Portland">'[9]UB-SNI'!#REF!</definedName>
    <definedName name="semen_putih">#REF!</definedName>
    <definedName name="Semen_sak">#REF!</definedName>
    <definedName name="semen_warna">#REF!</definedName>
    <definedName name="semen1">#REF!</definedName>
    <definedName name="semen50">#REF!</definedName>
    <definedName name="SEMENHOLCIM">'[177]H Satuan'!$F$19</definedName>
    <definedName name="semenpc">#REF!</definedName>
    <definedName name="semenpth">'[5]HB '!#REF!</definedName>
    <definedName name="semenwarna">'[5]HB '!$F$54</definedName>
    <definedName name="SEMUA">#REF!</definedName>
    <definedName name="Seng_BJLS_30___60_cm">#REF!</definedName>
    <definedName name="Seng_BJLS_80">'[20]Daftar Harga'!$G$239</definedName>
    <definedName name="Seng_BJLS30">'[81]RANGE BAHAN'!$B$40:$C$40</definedName>
    <definedName name="Seng_gelombang_BJLS_30">#REF!</definedName>
    <definedName name="sengbjls30">#REF!</definedName>
    <definedName name="sengdatar30">[71]harsat!#REF!</definedName>
    <definedName name="sengdatar40">[71]harsat!#REF!</definedName>
    <definedName name="senggel">'[5]HB '!#REF!</definedName>
    <definedName name="senggel30">[71]harsat!#REF!</definedName>
    <definedName name="senggel40">[71]harsat!#REF!</definedName>
    <definedName name="sengplat">#REF!</definedName>
    <definedName name="septic_tank10org">#REF!</definedName>
    <definedName name="SepticL100">'[18]ANALISA SNI''13 '!$I$2363</definedName>
    <definedName name="SepticL150">'[18]ANALISA SNI''13 '!$I$2345</definedName>
    <definedName name="sepu">[71]harsat!#REF!</definedName>
    <definedName name="serbuk_batu">#REF!</definedName>
    <definedName name="SERW">'[118]Basic Price'!$F$12</definedName>
    <definedName name="setgbr">#REF!</definedName>
    <definedName name="seti">[71]harsat!#REF!</definedName>
    <definedName name="Setuju">#REF!</definedName>
    <definedName name="sewa_alat">#REF!</definedName>
    <definedName name="Sewa_alat_ukur">#REF!</definedName>
    <definedName name="Sewa_Compressor___sprayer">'[20]Daftar Harga'!$G$454</definedName>
    <definedName name="SEWA_DT3_5">'[57]Harga Satuan Dasar'!#REF!</definedName>
    <definedName name="SEWA_DT5">'[57]Harga Satuan Dasar'!#REF!</definedName>
    <definedName name="sewa_dt5_gali_tanah_alat_berat">[57]analisa!#REF!</definedName>
    <definedName name="sewa_dt5_pengangkutan_tanah_keluar_proyek">[57]analisa!#REF!</definedName>
    <definedName name="sewa_dump_truck">#REF!</definedName>
    <definedName name="SEWA_EXC">'[57]Harga Satuan Dasar'!#REF!</definedName>
    <definedName name="sewa_exc_gali_tanah_alat_berat">[57]analisa!#REF!</definedName>
    <definedName name="sewa_excavator">#REF!</definedName>
    <definedName name="sewa_garu">#REF!</definedName>
    <definedName name="sewa_grobak">#REF!</definedName>
    <definedName name="sewa_kamera">#REF!</definedName>
    <definedName name="sewa_papan_ukur">#REF!</definedName>
    <definedName name="sewa_pick_up">#REF!</definedName>
    <definedName name="sewa_ponton">'[57]Harga Satuan Dasar'!#REF!</definedName>
    <definedName name="sewa_rol_meter">#REF!</definedName>
    <definedName name="Sewa_Stoom_8___10_ton">'[20]Daftar Harga'!$G$453</definedName>
    <definedName name="sewar">[71]harsat!$G$32</definedName>
    <definedName name="SF">'[59]div-7'!#REF!</definedName>
    <definedName name="sfdxfb">'[59]div-7'!#REF!</definedName>
    <definedName name="SFG">[118]alat!$AW$26</definedName>
    <definedName name="SFL">#REF!</definedName>
    <definedName name="sfvd100">#REF!</definedName>
    <definedName name="sg">#REF!</definedName>
    <definedName name="SHF">#REF!</definedName>
    <definedName name="SHOWER">#REF!</definedName>
    <definedName name="Shower_set_TOTO_TX309BMNV1">'[20]Daftar Harga'!#REF!</definedName>
    <definedName name="Siar12">#REF!</definedName>
    <definedName name="Siar15">'[18]ANALISA SNI''13 '!$I$1354</definedName>
    <definedName name="siaran12">#REF!</definedName>
    <definedName name="sifon">'[5]HB '!$F$161</definedName>
    <definedName name="sifon_wastafel">#REF!</definedName>
    <definedName name="Sikat_Botol_t._200_cm">'[20]Daftar Harga'!$G$424</definedName>
    <definedName name="siku">#REF!</definedName>
    <definedName name="siku40">'[5]HB '!$F$69</definedName>
    <definedName name="siku6b">[150]HB!#REF!</definedName>
    <definedName name="siku6k">'[5]HB '!#REF!</definedName>
    <definedName name="sinkromate">[48]harga!$F$175</definedName>
    <definedName name="siphon">#REF!</definedName>
    <definedName name="sirlak">#REF!</definedName>
    <definedName name="Sirlak_india">'[81]RANGE BAHAN'!$B$100:$C$100</definedName>
    <definedName name="sirt">#REF!</definedName>
    <definedName name="sirtu">#REF!</definedName>
    <definedName name="Sirtu_japanan">'[81]RANGE BAHAN'!$B$7:$C$7</definedName>
    <definedName name="SITE">#REF!</definedName>
    <definedName name="sklrgnd">#REF!</definedName>
    <definedName name="sklrtgl">#REF!</definedName>
    <definedName name="skop">#REF!</definedName>
    <definedName name="Skring_box_3_grop_biasa">'[20]Daftar Harga'!$G$385</definedName>
    <definedName name="skrup">#REF!</definedName>
    <definedName name="slang">'[5]HB '!$F$163</definedName>
    <definedName name="slank">#REF!</definedName>
    <definedName name="SLEE">#REF!</definedName>
    <definedName name="SLH">#REF!</definedName>
    <definedName name="Slicer_Month11">#N/A</definedName>
    <definedName name="Slicer_Quotation_number1">#N/A</definedName>
    <definedName name="SLOEF_100KG">[18]ANALISA1!$J$222</definedName>
    <definedName name="SLOEF_110KG">#REF!</definedName>
    <definedName name="SLOEF_120KG">[18]ANALISA1!$J$224</definedName>
    <definedName name="SLOEF_130KG">#REF!</definedName>
    <definedName name="SLOEF_140KG">#REF!</definedName>
    <definedName name="SLOEF_150KG">#REF!</definedName>
    <definedName name="SLOEF_160KG">#REF!</definedName>
    <definedName name="SLOEF_170KG">#REF!</definedName>
    <definedName name="SLOEF_180KG">#REF!</definedName>
    <definedName name="SLOEF_190KG">#REF!</definedName>
    <definedName name="SLOEF_200KG">#REF!</definedName>
    <definedName name="sloof">#REF!</definedName>
    <definedName name="sloof1520">#REF!</definedName>
    <definedName name="SloofFe100">'[18]ANALISA SNI''13 '!$I$874</definedName>
    <definedName name="SloofFe110">'[18]ANALISA SNI''13 '!$I$877</definedName>
    <definedName name="SloofFe120">'[18]ANALISA SNI''13 '!$I$878</definedName>
    <definedName name="SloofFe125">'[13]ANALISA SNI''13 '!#REF!</definedName>
    <definedName name="SloofFe130">'[18]ANALISA SNI''13 '!$I$879</definedName>
    <definedName name="SloofFe140">'[18]ANALISA SNI''13 '!$I$880</definedName>
    <definedName name="SloofFe150">'[18]ANALISA SNI''13 '!$I$881</definedName>
    <definedName name="SloofFe160">'[18]ANALISA SNI''13 '!$I$882</definedName>
    <definedName name="SloofFe170">'[18]ANALISA SNI''13 '!$I$883</definedName>
    <definedName name="SloofFe175">'[82]ANALISA SNI''07(ubh bgsting)'!$I$1032</definedName>
    <definedName name="SloofFe180">'[18]ANALISA SNI''13 '!$I$884</definedName>
    <definedName name="SloofFe190">'[18]ANALISA SNI''13 '!$I$885</definedName>
    <definedName name="SloofFe200">'[18]ANALISA SNI''13 '!$I$868</definedName>
    <definedName name="SloofFe210">'[18]ANALISA SNI''13 '!$I$886</definedName>
    <definedName name="SloofFe220">'[18]ANALISA SNI''13 '!$I$887</definedName>
    <definedName name="SloofFe230">'[18]ANALISA SNI''13 '!$I$888</definedName>
    <definedName name="SloofFe240">'[18]ANALISA SNI''13 '!$I$889</definedName>
    <definedName name="SloofFe250">'[18]ANALISA SNI''13 '!$I$890</definedName>
    <definedName name="SloofFe260">'[18]ANALISA SNI''13 '!$I$891</definedName>
    <definedName name="SloofFe270">'[18]ANALISA SNI''13 '!$I$892</definedName>
    <definedName name="SloofFe280">'[18]ANALISA SNI''13 '!$I$893</definedName>
    <definedName name="SloofFe300">'[18]ANALISA SNI''13 '!$I$911</definedName>
    <definedName name="SloofFe80">'[18]ANALISA SNI''13 '!$I$875</definedName>
    <definedName name="SloofFe90">'[18]ANALISA SNI''13 '!$I$876</definedName>
    <definedName name="SNI">#N/A</definedName>
    <definedName name="Socket_PE_2">'[20]Daftar Harga'!$G$312</definedName>
    <definedName name="SOH">#REF!</definedName>
    <definedName name="Soka_Kecil_t._100_cm">'[20]Daftar Harga'!$G$434</definedName>
    <definedName name="solar">#REF!</definedName>
    <definedName name="Solatip_Ledeng">'[20]Daftar Harga'!$G$309</definedName>
    <definedName name="Solignum___Residu">'[20]Daftar Harga'!$G$69</definedName>
    <definedName name="sopir">#REF!</definedName>
    <definedName name="SP">#REF!</definedName>
    <definedName name="SPEMBA">#REF!</definedName>
    <definedName name="SPENING">#REF!</definedName>
    <definedName name="spesi13">#REF!</definedName>
    <definedName name="spesi15">#REF!</definedName>
    <definedName name="Spigot_PE_2__ke_1">'[20]Daftar Harga'!$G$314</definedName>
    <definedName name="spirtus">#REF!</definedName>
    <definedName name="spk">#REF!</definedName>
    <definedName name="split">#REF!</definedName>
    <definedName name="spotter">#REF!</definedName>
    <definedName name="spp" hidden="1">#REF!</definedName>
    <definedName name="sprayer">[68]BASIC!$F$51</definedName>
    <definedName name="SPRAYER_HAMPAR_AC">[56]ANALIS!#REF!</definedName>
    <definedName name="sputih">[146]harga!$E$236</definedName>
    <definedName name="SREHAB">#REF!</definedName>
    <definedName name="ss">'[9]EE-SNI'!#REF!</definedName>
    <definedName name="SSD">'[59]div-7'!#REF!</definedName>
    <definedName name="SSE">#REF!</definedName>
    <definedName name="ssss">#REF!</definedName>
    <definedName name="st">#REF!</definedName>
    <definedName name="stampeng">#REF!</definedName>
    <definedName name="stamper">#REF!</definedName>
    <definedName name="stamper_gorong2_45sd75">#REF!</definedName>
    <definedName name="stamper_gorong2_75sd120">#REF!</definedName>
    <definedName name="Stamper_gorong2_sd45">#REF!</definedName>
    <definedName name="stan">#REF!</definedName>
    <definedName name="STANDAR_HARGA_SATUAN_UPAH">#REF!</definedName>
    <definedName name="standart">#REF!</definedName>
    <definedName name="StegerBambu">'[18]ANALISA SNI''13 '!$I$426</definedName>
    <definedName name="sten1">#REF!</definedName>
    <definedName name="sten12">'[5]HB '!$F$45</definedName>
    <definedName name="sten12t">'[5]HB '!#REF!</definedName>
    <definedName name="sten23">#REF!</definedName>
    <definedName name="sten35">#REF!</definedName>
    <definedName name="sten57">#REF!</definedName>
    <definedName name="stenslag">[48]harga!$F$267</definedName>
    <definedName name="Stone_Crusher">#REF!</definedName>
    <definedName name="STOP">#REF!</definedName>
    <definedName name="stop_kontak">#REF!</definedName>
    <definedName name="STOP2">#REF!</definedName>
    <definedName name="STOP2E">#REF!</definedName>
    <definedName name="STOPE">#REF!</definedName>
    <definedName name="stopkontak">'[5]HB '!#REF!</definedName>
    <definedName name="stopkontak3">#REF!</definedName>
    <definedName name="STR">#REF!</definedName>
    <definedName name="STRAUSSf30">#REF!</definedName>
    <definedName name="strip">#REF!</definedName>
    <definedName name="STRUKTUR">#REF!</definedName>
    <definedName name="stut">#REF!</definedName>
    <definedName name="StyleBali">'[58]ANALISA  (BARU)'!$G$722</definedName>
    <definedName name="SUBT">#REF!</definedName>
    <definedName name="SukRengKamper">'[18]ANALISA SNI''13 '!$I$1532</definedName>
    <definedName name="SUM2A">#REF!</definedName>
    <definedName name="sumbat">'[5]HB '!$F$150</definedName>
    <definedName name="SUMI">#REF!</definedName>
    <definedName name="SUP">#REF!</definedName>
    <definedName name="SUPFS">#REF!</definedName>
    <definedName name="SUPIR_TRUK">#REF!</definedName>
    <definedName name="SUPT">#REF!</definedName>
    <definedName name="Surabaya">'[9]UB-SNI'!#REF!</definedName>
    <definedName name="symbol">#REF!</definedName>
    <definedName name="t" localSheetId="2">#REF!</definedName>
    <definedName name="t" localSheetId="0">#REF!</definedName>
    <definedName name="t">#REF!</definedName>
    <definedName name="T_8_1_2">#REF!</definedName>
    <definedName name="T_URUG">[85]HARGA!$G$28</definedName>
    <definedName name="TA">[114]data!$B$9</definedName>
    <definedName name="TAB">#REF!</definedName>
    <definedName name="tabel1">#REF!</definedName>
    <definedName name="TABELMAT">'[167]harsat ars str'!$B$1:$D$65536</definedName>
    <definedName name="tackcoat">'[76]ANALISA-1'!#REF!</definedName>
    <definedName name="talang_seng">#REF!</definedName>
    <definedName name="TalangDatar">'[18]ANALISA SNI''13 '!$I$1734</definedName>
    <definedName name="TalangJurai">'[18]ANALISA SNI''13 '!$I$1725</definedName>
    <definedName name="Talangkaret">#REF!</definedName>
    <definedName name="TalangMiring">#REF!</definedName>
    <definedName name="TalangPVC6">#REF!</definedName>
    <definedName name="talangPVC8">#REF!</definedName>
    <definedName name="tali_air">#REF!</definedName>
    <definedName name="Tali_plastik">#REF!</definedName>
    <definedName name="talkaret">#REF!</definedName>
    <definedName name="tan_roll">#REF!</definedName>
    <definedName name="tan_urug">#REF!</definedName>
    <definedName name="TANAH">#REF!</definedName>
    <definedName name="Tanah_katel">#REF!</definedName>
    <definedName name="Tanah_Timbunan">'[20]Daftar Harga'!$G$22</definedName>
    <definedName name="tanah_U">#REF!</definedName>
    <definedName name="Tanah_urug">#REF!</definedName>
    <definedName name="Tanah_Urug_Katel__taman">#REF!</definedName>
    <definedName name="tANAH_URUG_URUG_TANAH_BIASA">#REF!</definedName>
    <definedName name="tanah_urug_urugan_tanah_padat">[56]ANALIS!#REF!</definedName>
    <definedName name="tanah_urug_URUGAN_TANAH_PILIHAN">#REF!</definedName>
    <definedName name="tanahtaman">'[5]HB '!$F$185</definedName>
    <definedName name="tanam_pohon">[57]analisa!#REF!</definedName>
    <definedName name="tanaman">#REF!</definedName>
    <definedName name="tandem_aspal_minor">#REF!</definedName>
    <definedName name="Tandem_roller">#REF!</definedName>
    <definedName name="tandem_roller_AC">#REF!</definedName>
    <definedName name="tandem_roller_ACL">#REF!</definedName>
    <definedName name="tandem_roller_ATB">#REF!</definedName>
    <definedName name="tandem_roller_ATBL">#REF!</definedName>
    <definedName name="tandem_roller_telford">#REF!</definedName>
    <definedName name="tang_air">#REF!</definedName>
    <definedName name="TanggaFe100">'[18]ANALISA SNI''13 '!$I$1113</definedName>
    <definedName name="TanggaFe110">'[18]ANALISA SNI''13 '!$I$1116</definedName>
    <definedName name="TanggaFe120">'[18]ANALISA SNI''13 '!$I$1117</definedName>
    <definedName name="TanggaFe125">#REF!</definedName>
    <definedName name="TanggaFe130">'[18]ANALISA SNI''13 '!$I$1118</definedName>
    <definedName name="TanggaFe140">'[18]ANALISA SNI''13 '!$I$1119</definedName>
    <definedName name="TanggaFe150">'[18]ANALISA SNI''13 '!$I$1120</definedName>
    <definedName name="TanggaFe160">'[18]ANALISA SNI''13 '!$I$1121</definedName>
    <definedName name="TanggaFe170">'[18]ANALISA SNI''13 '!$I$1122</definedName>
    <definedName name="TanggaFe175">#REF!</definedName>
    <definedName name="TanggaFe180">'[18]ANALISA SNI''13 '!$I$1123</definedName>
    <definedName name="TanggaFe190">'[18]ANALISA SNI''13 '!$I$1124</definedName>
    <definedName name="TanggaFe200">'[18]ANALISA SNI''13 '!$I$1107</definedName>
    <definedName name="TanggaFe210">'[18]ANALISA SNI''13 '!$I$1145</definedName>
    <definedName name="TanggaFe80">'[18]ANALISA SNI''13 '!$I$1114</definedName>
    <definedName name="TanggaFe90">'[18]ANALISA SNI''13 '!$I$1115</definedName>
    <definedName name="tanggal" localSheetId="2">#REF!</definedName>
    <definedName name="tanggal" localSheetId="0">#REF!</definedName>
    <definedName name="tanggal">#REF!</definedName>
    <definedName name="tanjd" hidden="1">[123]H.Satuan!#REF!</definedName>
    <definedName name="TANKER">#REF!</definedName>
    <definedName name="Tanur">'[51]Harga Bahan &amp; Upah'!$D$40</definedName>
    <definedName name="taro">#REF!</definedName>
    <definedName name="tasir">[71]harsat!#REF!</definedName>
    <definedName name="tasirtu">#REF!</definedName>
    <definedName name="taspal">#REF!</definedName>
    <definedName name="taur">[71]harsat!#REF!</definedName>
    <definedName name="tawg16">#REF!</definedName>
    <definedName name="TaxTV">10%</definedName>
    <definedName name="TaxXL">5%</definedName>
    <definedName name="tb">#REF!</definedName>
    <definedName name="TBAT">#REF!</definedName>
    <definedName name="tbatu">[71]harsat!$G$122</definedName>
    <definedName name="TBE">#REF!</definedName>
    <definedName name="tbesi">[71]harsat!$G$124</definedName>
    <definedName name="tbs">#REF!</definedName>
    <definedName name="tc">#REF!</definedName>
    <definedName name="TC_1">#REF!</definedName>
    <definedName name="TC_2">#REF!</definedName>
    <definedName name="tcat">[71]harsat!$G$125</definedName>
    <definedName name="tdoos">#REF!</definedName>
    <definedName name="teakwood">[144]bahan!$D$101</definedName>
    <definedName name="Teakwood__110x240x4mm">#REF!</definedName>
    <definedName name="Teakwood__120x240x4mm">#REF!</definedName>
    <definedName name="Teakwood_12_mm">'[20]Daftar Harga'!#REF!</definedName>
    <definedName name="Teakwood_3_mm">'[20]Daftar Harga'!#REF!</definedName>
    <definedName name="Teakwood_4mm">'[81]RANGE BAHAN'!$B$62:$C$62</definedName>
    <definedName name="Teakwood_9_mm">'[20]Daftar Harga'!#REF!</definedName>
    <definedName name="teakwood4">#REF!</definedName>
    <definedName name="teer">'[5]HB '!$F$104</definedName>
    <definedName name="tegel_abu2">#REF!</definedName>
    <definedName name="Tegel_keramik_20_x_20">#REF!</definedName>
    <definedName name="Tegel_keramik_20_x_25">#REF!</definedName>
    <definedName name="Tegel_keramik_20x20">'[81]RANGE BAHAN'!$B$22:$C$22</definedName>
    <definedName name="Tegel_keramik_20x25">'[81]RANGE BAHAN'!$B$23:$C$23</definedName>
    <definedName name="Tegel_keramik_30_x_30">#REF!</definedName>
    <definedName name="Tegel_keramik_30x30">'[81]RANGE BAHAN'!$B$24:$C$24</definedName>
    <definedName name="Tegel_keramik_40_x_40">#REF!</definedName>
    <definedName name="Tegel_keramik_40x40">'[81]RANGE BAHAN'!$B$25:$C$25</definedName>
    <definedName name="tegel_mozaik">#REF!</definedName>
    <definedName name="tegel_trot">#REF!</definedName>
    <definedName name="tegel_trotoar">#REF!</definedName>
    <definedName name="TegelPC1520">#REF!</definedName>
    <definedName name="TegelPC20">#REF!</definedName>
    <definedName name="TegelPCAbu1520">'[18]ANALISA SNI''13 '!$I$1963</definedName>
    <definedName name="TegelPCAbu2020">'[18]ANALISA SNI''13 '!$I$1944</definedName>
    <definedName name="TegelWarna2020">'[18]ANALISA SNI''13 '!$I$1954</definedName>
    <definedName name="TEMBOK_BATA_1_2">#REF!</definedName>
    <definedName name="TEMBOK_BATA_1_5">[18]ANALISA1!$J$486</definedName>
    <definedName name="TEMBOK_BATAKO">[18]ANALISA1!$J$503</definedName>
    <definedName name="TEMPAT_SABUN">#REF!</definedName>
    <definedName name="Tempat_Sabun_Setara_TOTO_Type_S_156_N">'[20]Daftar Harga'!#REF!</definedName>
    <definedName name="Tempat_Sabun_Soap_Holder_Setara_TOTO_Type_TS_7">'[20]Daftar Harga'!#REF!</definedName>
    <definedName name="Tempat_Tisue_TOTO_Ts_116_R">'[20]Daftar Harga'!#REF!</definedName>
    <definedName name="TEMPELAN_BATU_PALIMANAN">#REF!</definedName>
    <definedName name="TEMPELAN_PARAS_SARWAGENEP">#REF!</definedName>
    <definedName name="TenagaAtpAsbes">'[18]ANALISA SNI''13 '!$G$1652</definedName>
    <definedName name="TenagaUsukReng">'[18]ANALISA SNI''13 '!$G$1541</definedName>
    <definedName name="Tenslah_Pecah_Mesin_1_2_Cm">#REF!</definedName>
    <definedName name="Tenslah_Pecah_Mesin_12Cm">#REF!</definedName>
    <definedName name="Tenslah_Pecah_Mesin_2_3_Cm">#REF!</definedName>
    <definedName name="Tenslah_Pecah_Mesin_23Cm">#REF!</definedName>
    <definedName name="Tenslah_Pecah_Tangan_1_2_Cm">#REF!</definedName>
    <definedName name="Tenslah_Pecah_Tangan_12Cm">#REF!</definedName>
    <definedName name="Tenslah_Pecah_Tangan_2_3_Cm">#REF!</definedName>
    <definedName name="Tenslah_Pecah_Tangan_23cm">#REF!</definedName>
    <definedName name="Tenslah_Pecah_Tangan_3_5_Cm">#REF!</definedName>
    <definedName name="Tenslah_Pecah_Tangan_35Cm">#REF!</definedName>
    <definedName name="ter">{"Book1","4.09 FLORA DAN FAUNA.xls","4.22 PERLENGKAPAN SEKOLAH.xls"}</definedName>
    <definedName name="Terminal_Listrik_Plastik">'[20]Daftar Harga'!$G$382</definedName>
    <definedName name="Terpentin">'[20]Daftar Harga'!$G$64</definedName>
    <definedName name="TEST">#REF!</definedName>
    <definedName name="tgali">'[83]bahan+upah'!$E$251</definedName>
    <definedName name="TGL">#REF!</definedName>
    <definedName name="tglabu2020">#REF!</definedName>
    <definedName name="tgstainlis">#REF!</definedName>
    <definedName name="tgt">#REF!</definedName>
    <definedName name="thinner">#REF!</definedName>
    <definedName name="Thinner_Laba_Laba_ND">'[20]Daftar Harga'!$G$63</definedName>
    <definedName name="thinner_marka_jalan">#REF!</definedName>
    <definedName name="three_wheel_roller_lapen">#REF!</definedName>
    <definedName name="three_wheel_roller_macadam">#REF!</definedName>
    <definedName name="tiang_pagar_brc">'[57]Harga Satuan Dasar'!#REF!</definedName>
    <definedName name="tiang_pagar_brc_ps_tiang_pagar_brc">[57]analisa!#REF!</definedName>
    <definedName name="tiang_pancang">#REF!</definedName>
    <definedName name="tiang_pancang_pancang_beton">#REF!</definedName>
    <definedName name="tiangBRC">#REF!</definedName>
    <definedName name="TiangPancang">'[18]ANALISA SNI''13 '!$I$635</definedName>
    <definedName name="Tiangpancang3535">'[18]ANALISA SNI''13 '!$I$659</definedName>
    <definedName name="Tiangsaka">'[18]ANALISA SNI''13 '!$I$2399</definedName>
    <definedName name="Tiangsakakayu">'[13]ANALISA SNI''13 '!#REF!</definedName>
    <definedName name="tidf10">#REF!</definedName>
    <definedName name="tidf100">#REF!</definedName>
    <definedName name="tidf350">#REF!</definedName>
    <definedName name="Timbris">#REF!</definedName>
    <definedName name="timbris_pancang_beton">#REF!</definedName>
    <definedName name="TimbunanBatuGunungDiratakan">#REF!</definedName>
    <definedName name="TimbunanTanahPasirKembaliDiratakan">#REF!</definedName>
    <definedName name="time_switch">#REF!</definedName>
    <definedName name="Time_work">#REF!</definedName>
    <definedName name="tiner">#REF!</definedName>
    <definedName name="tire_roller">#REF!</definedName>
    <definedName name="Titik_lampu___instalasi">#REF!</definedName>
    <definedName name="TitleRegion1..D14" localSheetId="2">#REF!</definedName>
    <definedName name="TitleRegion1..D14" localSheetId="0">#REF!</definedName>
    <definedName name="TitleRegion1..D14">#REF!</definedName>
    <definedName name="Tk">#REF!</definedName>
    <definedName name="TK_01">'[2]LAL - PASAR PAGI '!$G$453</definedName>
    <definedName name="TK_03">'[2]LAL - PASAR PAGI '!$G$455</definedName>
    <definedName name="TK_03A">'[2]LAL - PASAR PAGI '!$G$456</definedName>
    <definedName name="TK_03B">'[140]HRG BHN'!$G$457</definedName>
    <definedName name="TK_04">'[2]LAL - PASAR PAGI '!$G$459</definedName>
    <definedName name="TK_04A">'[2]LAL - PASAR PAGI '!$G$460</definedName>
    <definedName name="TK_04B">'[140]HRG BHN'!$G$461</definedName>
    <definedName name="TK_13">'[2]LAL - PASAR PAGI '!$G$474</definedName>
    <definedName name="tk_batu">#REF!</definedName>
    <definedName name="tk_batu_aanstamping">[57]analisa!#REF!</definedName>
    <definedName name="tk_batu_batu_belah_1_4">[56]ANALIS!#REF!</definedName>
    <definedName name="tk_batu_beton_rabat">[57]analisa!#REF!</definedName>
    <definedName name="tk_batu_bongkar_gorong2">#REF!</definedName>
    <definedName name="tk_batu_pembongkaran_gorong2">[57]analisa!#REF!</definedName>
    <definedName name="tk_batu_pembongkaran_tembok">[57]analisa!#REF!</definedName>
    <definedName name="tk_batu_ps_batu_merah">[57]analisa!#REF!</definedName>
    <definedName name="tk_batu_rekondisi_box_culvert">#REF!</definedName>
    <definedName name="tk_besi">#REF!</definedName>
    <definedName name="tk_besi_pembesian">[57]analisa!#REF!</definedName>
    <definedName name="tk_besi_pintu1">#REF!</definedName>
    <definedName name="tk_besi_pintu2">#REF!</definedName>
    <definedName name="tk_besi_ps_tiang_pagar_brc">[57]analisa!#REF!</definedName>
    <definedName name="tk_cat">#REF!</definedName>
    <definedName name="tk_gali">#REF!</definedName>
    <definedName name="tk_gali_lumpur">#REF!</definedName>
    <definedName name="tk_kayu">#REF!</definedName>
    <definedName name="tk_kayu_acuan_beton">[57]analisa!#REF!</definedName>
    <definedName name="tk_kayu_beton_K225">[57]analisa!#REF!</definedName>
    <definedName name="tk_kayu_beton_k350">[57]analisa!#REF!</definedName>
    <definedName name="tk_listrik">#REF!</definedName>
    <definedName name="tk_pipa">#REF!</definedName>
    <definedName name="TK_PIPA_BESI">'[187]KUANTITAS-PIPA'!$J$14</definedName>
    <definedName name="tk_plitur">#REF!</definedName>
    <definedName name="tk_tanam">#REF!</definedName>
    <definedName name="tk_tebang">#REF!</definedName>
    <definedName name="tkapur">#REF!</definedName>
    <definedName name="tkayu">[71]harsat!$G$123</definedName>
    <definedName name="tkbatu">#REF!</definedName>
    <definedName name="tkbesi">#REF!</definedName>
    <definedName name="tkbk">'[51]Harga Bahan &amp; Upah'!$I$25</definedName>
    <definedName name="tkbs">'[51]Harga Bahan &amp; Upah'!$I$22</definedName>
    <definedName name="tkbt">'[162]Harga Bahan &amp; Upah'!$I$21</definedName>
    <definedName name="tkc">'[51]Harga Bahan &amp; Upah'!$I$22</definedName>
    <definedName name="tkcat">#REF!</definedName>
    <definedName name="tkgal">#REF!</definedName>
    <definedName name="tkgali">#REF!</definedName>
    <definedName name="tki">#REF!</definedName>
    <definedName name="tkitc10x2x0.6">#REF!</definedName>
    <definedName name="tkkayu">#REF!</definedName>
    <definedName name="tkky">'[51]Harga Bahan &amp; Upah'!$I$20</definedName>
    <definedName name="tklas">#REF!</definedName>
    <definedName name="tkledeng">'[188]HB me'!#REF!</definedName>
    <definedName name="tklist">#REF!</definedName>
    <definedName name="tklistrik">#REF!</definedName>
    <definedName name="tkls">'[170]REKAP 2008'!$I$24</definedName>
    <definedName name="tkpipa">#REF!</definedName>
    <definedName name="tkplitur">#REF!</definedName>
    <definedName name="TKY">'[158]Bahan&amp; upah'!$F$170</definedName>
    <definedName name="tkyu">#REF!</definedName>
    <definedName name="TL">#REF!</definedName>
    <definedName name="tl1x20">#REF!</definedName>
    <definedName name="tl1x36bimc">#REF!</definedName>
    <definedName name="tl1x40">#REF!</definedName>
    <definedName name="tl2x20">#REF!</definedName>
    <definedName name="tla2x18iac">#REF!</definedName>
    <definedName name="tla2x18iacbimc">#REF!</definedName>
    <definedName name="tlb1x18">#REF!</definedName>
    <definedName name="tlb1x36">#REF!</definedName>
    <definedName name="tlb1x36bimc">#REF!</definedName>
    <definedName name="tlb1x36w">#REF!</definedName>
    <definedName name="tlbk1x36">#REF!</definedName>
    <definedName name="tlbvs2x18">#REF!</definedName>
    <definedName name="tlbvs2x18bimc">#REF!</definedName>
    <definedName name="tlc20bimc">#REF!</definedName>
    <definedName name="tlidf250p">#REF!</definedName>
    <definedName name="tlistrik">[71]harsat!$G$128</definedName>
    <definedName name="TLOADER">#REF!</definedName>
    <definedName name="tltko2x36">#REF!</definedName>
    <definedName name="tltko2x36bimc">#REF!</definedName>
    <definedName name="tnh_urug">#REF!</definedName>
    <definedName name="tnhtanam">#REF!</definedName>
    <definedName name="tnhurug">#REF!</definedName>
    <definedName name="TOP">#REF!</definedName>
    <definedName name="TOTAL">#REF!</definedName>
    <definedName name="TOTAL_ME">#REF!</definedName>
    <definedName name="TOTALG">'[9]EE-SNI'!#REF!</definedName>
    <definedName name="totsip">'[189]BQ-SIPIL'!#REF!</definedName>
    <definedName name="town_a">#REF!</definedName>
    <definedName name="town_b">#REF!</definedName>
    <definedName name="town_c">#REF!</definedName>
    <definedName name="town_d">#REF!</definedName>
    <definedName name="town_e">#REF!</definedName>
    <definedName name="tpa">'[51]RAB 2'!$K$1:$Q$55</definedName>
    <definedName name="TPI">#REF!</definedName>
    <definedName name="tpipa">[71]harsat!$G$127</definedName>
    <definedName name="tplek3">#REF!</definedName>
    <definedName name="tplek4">[48]harga!$F$286</definedName>
    <definedName name="tplek6">[48]harga!$F$287</definedName>
    <definedName name="tpm">#REF!</definedName>
    <definedName name="TPOL">#REF!</definedName>
    <definedName name="tpolitur">#REF!</definedName>
    <definedName name="tr">'[57]Harga Satuan Dasar'!#REF!</definedName>
    <definedName name="tr_aspal_minor">#REF!</definedName>
    <definedName name="TR_HAMPAR_AC">[56]ANALIS!#REF!</definedName>
    <definedName name="Track_roller">#REF!</definedName>
    <definedName name="trafo_las_pintu1">#REF!</definedName>
    <definedName name="trafo_las_pintu2">#REF!</definedName>
    <definedName name="tralis">#REF!</definedName>
    <definedName name="traljend">#REF!</definedName>
    <definedName name="Trasram">#REF!</definedName>
    <definedName name="Tree_Wheel">#REF!</definedName>
    <definedName name="trg">[190]BAHAN!$F$60</definedName>
    <definedName name="trip110">#REF!</definedName>
    <definedName name="trip120">[150]HB!#REF!</definedName>
    <definedName name="tripalm110">#REF!</definedName>
    <definedName name="Triplek_3_mm">'[20]Daftar Harga'!$G$110</definedName>
    <definedName name="Triplek_4_mm">#REF!</definedName>
    <definedName name="Triplek_9_mm">'[81]RANGE BAHAN'!$B$59:$C$59</definedName>
    <definedName name="Triport">#REF!</definedName>
    <definedName name="triport_pancang_beton">#REF!</definedName>
    <definedName name="TRIX">#REF!</definedName>
    <definedName name="TRL">#REF!</definedName>
    <definedName name="TROLLER">#REF!</definedName>
    <definedName name="trrtet">'[116]Basic Price'!$F$114</definedName>
    <definedName name="truck_prime_coat">#REF!</definedName>
    <definedName name="truck_tack_coat">#REF!</definedName>
    <definedName name="truck_tangki">'[57]Harga Satuan Dasar'!#REF!</definedName>
    <definedName name="truck_tangki_air">[68]BASIC!$F$66</definedName>
    <definedName name="trucuk_150">#REF!</definedName>
    <definedName name="trucuk_250">#REF!</definedName>
    <definedName name="trucuk_kayu">#REF!</definedName>
    <definedName name="ts">'[40]DAFTAR UPAH DAN BAHAN'!$F$77</definedName>
    <definedName name="tscb">#REF!</definedName>
    <definedName name="tscs3w">#REF!</definedName>
    <definedName name="tscs6w">#REF!</definedName>
    <definedName name="tshs15">#REF!</definedName>
    <definedName name="tshs6w">#REF!</definedName>
    <definedName name="tski">#REF!</definedName>
    <definedName name="tskie">#REF!</definedName>
    <definedName name="tsnya2x1.5">#REF!</definedName>
    <definedName name="tsnyafrc">#REF!</definedName>
    <definedName name="tso">#REF!</definedName>
    <definedName name="ttkinst">'[5]HB '!#REF!</definedName>
    <definedName name="ttklampu">#REF!</definedName>
    <definedName name="ttkstop">#REF!</definedName>
    <definedName name="tuk_batu">#REF!</definedName>
    <definedName name="tuk_besi">#REF!</definedName>
    <definedName name="tuk_cat">#REF!</definedName>
    <definedName name="tuk_galtan">#REF!</definedName>
    <definedName name="tuk_kayu">#REF!</definedName>
    <definedName name="tuk_lis">#REF!</definedName>
    <definedName name="tuk_lump">#REF!</definedName>
    <definedName name="tuk_ma_aspl">#REF!</definedName>
    <definedName name="tukang">#REF!</definedName>
    <definedName name="tukang_B_0">#REF!</definedName>
    <definedName name="tukang_batu">'[143]UNIT PRICE'!$D$137</definedName>
    <definedName name="tukang_batu_kali">#REF!</definedName>
    <definedName name="TUKANG_BATU_SETENGAH_TERAMPIL">#REF!</definedName>
    <definedName name="TUKANG_BATU_TERAMPIL">#REF!</definedName>
    <definedName name="tukang_begisting">#REF!</definedName>
    <definedName name="Tukang_Besi">'[81]RANGE BAHAN'!$B$123:$C$123</definedName>
    <definedName name="TUKANG_BESI_BETON_SETENGAH_TERAMPIL">#REF!</definedName>
    <definedName name="TUKANG_BESI_BETON_TERAMPIL">#REF!</definedName>
    <definedName name="TUKANG_BESI_PROFIL_SETENGAH_TERAMPIL">#REF!</definedName>
    <definedName name="TUKANG_BESI_PROFIL_TERAMPIL">#REF!</definedName>
    <definedName name="TUKANG_BESI_TERAMPIL">'[20]Daftar Upah'!$D$25</definedName>
    <definedName name="Tukang_Cat">'[81]RANGE BAHAN'!$B$122:$C$122</definedName>
    <definedName name="TUKANG_CAT___PELITUR_SETENGAH_TERAMPIL">#REF!</definedName>
    <definedName name="TUKANG_CAT___PELITUR_TERAMPIL">#REF!</definedName>
    <definedName name="TUKANG_CAT_SETENGAH_TERAMPIL">'[20]Daftar Upah'!$D$19</definedName>
    <definedName name="TUKANG_CAT_TERAMPIL">'[20]Daftar Upah'!$D$24</definedName>
    <definedName name="Tukang_Gali">'[81]RANGE BAHAN'!$B$125:$C$125</definedName>
    <definedName name="TUKANG_GALI_TERAMPIL">'[20]Daftar Upah'!$D$26</definedName>
    <definedName name="Tukang_gorong2_45sd75">#REF!</definedName>
    <definedName name="Tukang_gorong2_75sd120">#REF!</definedName>
    <definedName name="Tukang_gorong2_sd45">#REF!</definedName>
    <definedName name="tukang_K_1_2_5">#REF!</definedName>
    <definedName name="tukang_K_2_2_5">#REF!</definedName>
    <definedName name="tukang_kayu">'[143]UNIT PRICE'!$D$138</definedName>
    <definedName name="TUKANG_KAYU_SETENGAH_TERAMPIL">#REF!</definedName>
    <definedName name="TUKANG_KAYU_TERAMPIL">#REF!</definedName>
    <definedName name="TUKANG_LISTRIK">'[20]Daftar Upah'!$D$27</definedName>
    <definedName name="tukang_marka">#REF!</definedName>
    <definedName name="tukang_marka_jalan">#REF!</definedName>
    <definedName name="tukang_memasak_aspal">[68]BASIC!$F$28</definedName>
    <definedName name="TUKANG_MEUBELAIR">#REF!</definedName>
    <definedName name="tukang_pancang_beton">#REF!</definedName>
    <definedName name="Tukang_PAsang_batu_mortar">#REF!</definedName>
    <definedName name="tukang_patok_hektometer">#REF!</definedName>
    <definedName name="tukang_patok_kilometer">#REF!</definedName>
    <definedName name="tukang_patok_pengarah">#REF!</definedName>
    <definedName name="tukang_pipa">'[143]UNIT PRICE'!$D$140</definedName>
    <definedName name="Tukang_Plitur">'[81]RANGE BAHAN'!$B$124:$C$124</definedName>
    <definedName name="tukang_sandaran">#REF!</definedName>
    <definedName name="TUKANG_TAMAN">#REF!</definedName>
    <definedName name="tukang_tulangan">#REF!</definedName>
    <definedName name="Tulangan_Besi_beton_U_24">'[20]Daftar Harga'!$G$227</definedName>
    <definedName name="Tulangan_gorong2_45sd75">#REF!</definedName>
    <definedName name="tulangan_gorong2_75sd120">#REF!</definedName>
    <definedName name="tulpolos">#REF!</definedName>
    <definedName name="tululir">#REF!</definedName>
    <definedName name="twood">#REF!</definedName>
    <definedName name="twood110">#REF!</definedName>
    <definedName name="twood122">#REF!</definedName>
    <definedName name="twoodalm">#REF!</definedName>
    <definedName name="TWR">[84]HARGA!$G$80</definedName>
    <definedName name="TYPE_C2">#REF!</definedName>
    <definedName name="TYPE_C3">#REF!</definedName>
    <definedName name="TYPICAL_FLOOR___7_LEVEL">#REF!</definedName>
    <definedName name="Tyre_roller">#REF!</definedName>
    <definedName name="tyro">#REF!</definedName>
    <definedName name="u">[135]BHN1!$F$165</definedName>
    <definedName name="U_24">#REF!</definedName>
    <definedName name="U_32">#REF!</definedName>
    <definedName name="U_bekisting">#REF!</definedName>
    <definedName name="U_beton123">#REF!</definedName>
    <definedName name="u_pasir_padat">#REF!</definedName>
    <definedName name="U_Pembesian_polos">#REF!</definedName>
    <definedName name="Ubin_kulit_Badak_20_x_20_cm__Polos">'[20]Daftar Harga'!#REF!</definedName>
    <definedName name="Ubin_kulit_Badak_20_x_20_cm__Warna">'[20]Daftar Harga'!#REF!</definedName>
    <definedName name="Ubin_kulit_Badak_30_x_30_cm__Polos">'[20]Daftar Harga'!#REF!</definedName>
    <definedName name="Ubin_kulit_Badak_30_x_30_cm__Warna">'[20]Daftar Harga'!#REF!</definedName>
    <definedName name="uitz">#REF!</definedName>
    <definedName name="uji">[85]HARGA!$G$127</definedName>
    <definedName name="UK">#REF!</definedName>
    <definedName name="UKK">#REF!</definedName>
    <definedName name="ulir">[48]harga!$F$38</definedName>
    <definedName name="uma_operator">#REF!</definedName>
    <definedName name="UMAN">#REF!</definedName>
    <definedName name="umeranti">[48]harga!$F$114</definedName>
    <definedName name="UPAH">#REF!</definedName>
    <definedName name="Upah.1">[191]HARGA!$G$13</definedName>
    <definedName name="Upah.art.48">#REF!</definedName>
    <definedName name="upah.f.16">#REF!</definedName>
    <definedName name="upah.f.22.a">#REF!</definedName>
    <definedName name="Upah.f.22.b">#REF!</definedName>
    <definedName name="Upah.f.27">#REF!</definedName>
    <definedName name="Upah.f.30">#REF!</definedName>
    <definedName name="Upah.f.37">#REF!</definedName>
    <definedName name="Upah.f.4">#REF!</definedName>
    <definedName name="Upah.g.27">#REF!</definedName>
    <definedName name="Upah.g.32">#REF!</definedName>
    <definedName name="Upah.g.50">#REF!</definedName>
    <definedName name="Upah.g.69.a">#REF!</definedName>
    <definedName name="Upah.g.69.b">#REF!</definedName>
    <definedName name="Upah.h.15">#REF!</definedName>
    <definedName name="Upah.h.2">#REF!</definedName>
    <definedName name="Upah.h.6">#REF!</definedName>
    <definedName name="Upah.k.23">#REF!</definedName>
    <definedName name="Upah_1">[66]HARGA!$G$16</definedName>
    <definedName name="Upah_2">[66]HARGA!$G$17</definedName>
    <definedName name="Upah_3">[66]HARGA!$G$18</definedName>
    <definedName name="Upah_4">[66]HARGA!$G$19</definedName>
    <definedName name="Upah_5">[66]HARGA!#REF!</definedName>
    <definedName name="UPAH_KERJA">#REF!</definedName>
    <definedName name="UpahArt.10">#REF!</definedName>
    <definedName name="UPL">#REF!</definedName>
    <definedName name="ura">[111]ANALISA!$C$13</definedName>
    <definedName name="URAIAN">#REF!</definedName>
    <definedName name="URAIAN21">#REF!</definedName>
    <definedName name="URAIAN22E">#REF!</definedName>
    <definedName name="URAIAN22L">#REF!</definedName>
    <definedName name="URAIAN231">#REF!</definedName>
    <definedName name="URAIAN232">#REF!</definedName>
    <definedName name="URAIAN233">#REF!</definedName>
    <definedName name="URAIAN234">#REF!</definedName>
    <definedName name="URAIAN234L">#REF!</definedName>
    <definedName name="Uraian236">[14]D2!#REF!</definedName>
    <definedName name="URAIAN241">#REF!</definedName>
    <definedName name="URAIAN242">#REF!</definedName>
    <definedName name="URAIAN243">#REF!</definedName>
    <definedName name="Uraian311">#REF!</definedName>
    <definedName name="Uraian312">#REF!</definedName>
    <definedName name="Uraian313">#REF!</definedName>
    <definedName name="Uraian314">#REF!</definedName>
    <definedName name="Uraian315">#REF!</definedName>
    <definedName name="Uraian319">[14]D3!#REF!</definedName>
    <definedName name="Uraian321">#REF!</definedName>
    <definedName name="Uraian322">#REF!</definedName>
    <definedName name="Uraian323">#REF!</definedName>
    <definedName name="URAIAN323L">#REF!</definedName>
    <definedName name="Uraian33">#REF!</definedName>
    <definedName name="Uraian331">[14]D3!#REF!</definedName>
    <definedName name="Uraian346">[14]D3!#REF!</definedName>
    <definedName name="URAIAN421">#REF!</definedName>
    <definedName name="URAIAN422">#REF!</definedName>
    <definedName name="URAIAN423">#REF!</definedName>
    <definedName name="URAIAN424">#REF!</definedName>
    <definedName name="URAIAN425">#REF!</definedName>
    <definedName name="URAIAN426">#REF!</definedName>
    <definedName name="URAIAN427">#REF!</definedName>
    <definedName name="URAIAN511">#REF!</definedName>
    <definedName name="URAIAN512">#REF!</definedName>
    <definedName name="URAIAN521">#REF!</definedName>
    <definedName name="URAIAN522">[14]D5!#REF!</definedName>
    <definedName name="URAIAN541">[14]D5!#REF!</definedName>
    <definedName name="URAIAN542">[14]D5!#REF!</definedName>
    <definedName name="URAIAN611">#REF!</definedName>
    <definedName name="URAIAN612">#REF!</definedName>
    <definedName name="URAIAN621">#REF!</definedName>
    <definedName name="URAIAN622">#REF!</definedName>
    <definedName name="URAIAN623">#REF!</definedName>
    <definedName name="URAIAN631">#REF!</definedName>
    <definedName name="URAIAN632">#REF!</definedName>
    <definedName name="URAIAN633">#REF!</definedName>
    <definedName name="URAIAN634">#REF!</definedName>
    <definedName name="URAIAN635">#REF!</definedName>
    <definedName name="URAIAN635A">#REF!</definedName>
    <definedName name="URAIAN636">#REF!</definedName>
    <definedName name="URAIAN641L">#REF!</definedName>
    <definedName name="URAIAN642">#REF!</definedName>
    <definedName name="URAIAN651">#REF!</definedName>
    <definedName name="URAIAN66">#REF!</definedName>
    <definedName name="URAIAN7101">#REF!</definedName>
    <definedName name="URAIAN7102">#REF!</definedName>
    <definedName name="URAIAN7103">#REF!</definedName>
    <definedName name="URAIAN711">#REF!</definedName>
    <definedName name="URAIAN712">'[14]D7(1)'!#REF!</definedName>
    <definedName name="URAIAN713">'[14]D7(1)'!#REF!</definedName>
    <definedName name="URAIAN714">#REF!</definedName>
    <definedName name="URAIAN715">'[14]D7(1)'!#REF!</definedName>
    <definedName name="URAIAN716">'[14]D7(1)'!#REF!</definedName>
    <definedName name="URAIAN717">'[14]D7(1)'!#REF!</definedName>
    <definedName name="URAIAN718">'[14]D7(1)'!#REF!</definedName>
    <definedName name="URAIAN721">#REF!</definedName>
    <definedName name="URAIAN731">#REF!</definedName>
    <definedName name="URAIAN732">#REF!</definedName>
    <definedName name="URAIAN733">#REF!</definedName>
    <definedName name="URAIAN734">#REF!</definedName>
    <definedName name="URAIAN735">#REF!</definedName>
    <definedName name="URAIAN73PL">#REF!</definedName>
    <definedName name="URAIAN73UL">#REF!</definedName>
    <definedName name="URAIAN744">'[14]D7(1)'!#REF!</definedName>
    <definedName name="URAIAN745">'[14]D7(1)'!#REF!</definedName>
    <definedName name="URAIAN751">#REF!</definedName>
    <definedName name="URAIAN752">#REF!</definedName>
    <definedName name="URAIAN7610">'[14]D7(1)'!#REF!</definedName>
    <definedName name="URAIAN7611">#REF!</definedName>
    <definedName name="URAIAN7612">#REF!</definedName>
    <definedName name="URAIAN7612a">'[14]D7(1)'!#REF!</definedName>
    <definedName name="URAIAN7613">#REF!</definedName>
    <definedName name="URAIAN7613a">'[14]D7(1)'!#REF!</definedName>
    <definedName name="URAIAN7614">#REF!</definedName>
    <definedName name="URAIAN7614a">'[14]D7(1)'!#REF!</definedName>
    <definedName name="URAIAN7614b">'[14]D7(1)'!#REF!</definedName>
    <definedName name="URAIAN7614d">'[14]D7(1)'!#REF!</definedName>
    <definedName name="URAIAN7614e">'[14]D7(1)'!#REF!</definedName>
    <definedName name="URAIAN7615">#REF!</definedName>
    <definedName name="URAIAN7616">#REF!</definedName>
    <definedName name="URAIAN7617">#REF!</definedName>
    <definedName name="URAIAN7618">'[14]D7(1)'!#REF!</definedName>
    <definedName name="URAIAN7619">'[14]D7(1)'!#REF!</definedName>
    <definedName name="URAIAN7620">#REF!</definedName>
    <definedName name="URAIAN7621">#REF!</definedName>
    <definedName name="URAIAN7625">#REF!</definedName>
    <definedName name="URAIAN7626">#REF!</definedName>
    <definedName name="URAIAN767">#REF!</definedName>
    <definedName name="URAIAN768">'[14]D7(1)'!#REF!</definedName>
    <definedName name="URAIAN769">'[14]D7(1)'!#REF!</definedName>
    <definedName name="URAIAN76x">'[14]D7(1)'!#REF!</definedName>
    <definedName name="URAIAN771">#REF!</definedName>
    <definedName name="URAIAN771a">#REF!</definedName>
    <definedName name="URAIAN771b">#REF!</definedName>
    <definedName name="URAIAN771c">#REF!</definedName>
    <definedName name="URAIAN771d">#REF!</definedName>
    <definedName name="URAIAN772a">#REF!</definedName>
    <definedName name="URAIAN772b">#REF!</definedName>
    <definedName name="URAIAN772c">#REF!</definedName>
    <definedName name="URAIAN772d">#REF!</definedName>
    <definedName name="URAIAN775">#REF!</definedName>
    <definedName name="URAIAN79">#REF!</definedName>
    <definedName name="URAIAN79L">#REF!</definedName>
    <definedName name="URAIAN811">#REF!</definedName>
    <definedName name="URAIAN812">#REF!</definedName>
    <definedName name="URAIAN813">#REF!</definedName>
    <definedName name="URAIAN814">#REF!</definedName>
    <definedName name="URAIAN815">#REF!</definedName>
    <definedName name="URAIAN817">#REF!</definedName>
    <definedName name="URAIAN818">#REF!</definedName>
    <definedName name="URAIAN819">#REF!</definedName>
    <definedName name="URAIAN82">#REF!</definedName>
    <definedName name="URAIAN83">#REF!</definedName>
    <definedName name="Uraian841">'[14]D8(1)'!#REF!</definedName>
    <definedName name="Uraian8410">'[14]D8(1)'!#REF!</definedName>
    <definedName name="Uraian842">'[14]D8(1)'!#REF!</definedName>
    <definedName name="Uraian843">#REF!</definedName>
    <definedName name="Uraian844">'[14]D8(1)'!#REF!</definedName>
    <definedName name="Uraian845">'[14]D8(1)'!#REF!</definedName>
    <definedName name="Uraian846">'[14]D8(1)'!#REF!</definedName>
    <definedName name="Uraian847">'[14]D8(1)'!#REF!</definedName>
    <definedName name="URAIAN910">#REF!</definedName>
    <definedName name="URAIAN911">#REF!</definedName>
    <definedName name="URAIAN912">#REF!</definedName>
    <definedName name="URAIAN913">#REF!</definedName>
    <definedName name="URAIAN914">#REF!</definedName>
    <definedName name="URAIAN915">#REF!</definedName>
    <definedName name="URAIAN916">#REF!</definedName>
    <definedName name="URAIAN917">#REF!</definedName>
    <definedName name="URAIAN918">#REF!</definedName>
    <definedName name="URAIAN919">#REF!</definedName>
    <definedName name="URAIAN94">#REF!</definedName>
    <definedName name="URAIAN95">#REF!</definedName>
    <definedName name="URAIAN96">#REF!</definedName>
    <definedName name="URAIAN97">#REF!</definedName>
    <definedName name="URAIAN98">#REF!</definedName>
    <definedName name="URAIAN99">#REF!</definedName>
    <definedName name="URAIANGEOTEKSTIL">#REF!</definedName>
    <definedName name="URAIANLatasirK">#REF!</definedName>
    <definedName name="URAIANLatasirKL">#REF!</definedName>
    <definedName name="Urg_Psr">'[58]ANALISA  (BARU)'!$G$258</definedName>
    <definedName name="Urg_Tanah_Kembali">'[58]ANALISA  (BARU)'!$G$248</definedName>
    <definedName name="Urg_Tnh_Lantai">'[58]ANALISA  (BARU)'!$G$253</definedName>
    <definedName name="Urg_Tnh_Padat">#REF!</definedName>
    <definedName name="UrgBTGunung">#REF!</definedName>
    <definedName name="UrgPasir">'[18]ANALISA SNI''13 '!$I$549</definedName>
    <definedName name="UrgSirtu">'[18]ANALISA SNI''13 '!$I$559</definedName>
    <definedName name="UrgTanahKembali">'[18]ANALISA SNI''13 '!$I$535</definedName>
    <definedName name="UrgTnhDipdtkan">'[18]ANALISA SNI''13 '!$I$544</definedName>
    <definedName name="URINOIR">#REF!</definedName>
    <definedName name="URINOIR__KACA___PENGGANTUNG">#REF!</definedName>
    <definedName name="URPIL_1">#REF!</definedName>
    <definedName name="URPIL_2">#REF!</definedName>
    <definedName name="URPIL_3">#REF!</definedName>
    <definedName name="URTANBIS_1">#REF!</definedName>
    <definedName name="URTANBIS_2">#REF!</definedName>
    <definedName name="URTANBIS_3">#REF!</definedName>
    <definedName name="URUG_KEMBALI">#REF!</definedName>
    <definedName name="URUGAN_KEMBALI">#REF!</definedName>
    <definedName name="URUGAN_KORAL_BIASA">#REF!</definedName>
    <definedName name="URUGAN_LIMESTONE">[18]ANALISA1!$J$56</definedName>
    <definedName name="URUGAN_P">[84]HARGA!#REF!</definedName>
    <definedName name="URUGAN_PASIR">[18]ANALISA1!$J$54</definedName>
    <definedName name="URUGAN_SIRTU">#REF!</definedName>
    <definedName name="URUGAN_TANAH">[18]ANALISA1!$J$55</definedName>
    <definedName name="Urugan_Tanah_Kemb">#REF!</definedName>
    <definedName name="URUGANKEMBALI">#REF!</definedName>
    <definedName name="URUGANPASIR">#REF!</definedName>
    <definedName name="URUGANSIRTU">#REF!</definedName>
    <definedName name="URUGANTANAH">#REF!</definedName>
    <definedName name="urugpasir">#REF!</definedName>
    <definedName name="usmran">#REF!</definedName>
    <definedName name="Usuk">#REF!</definedName>
    <definedName name="usuk_kamper">#REF!</definedName>
    <definedName name="Usuk_Kruing_Rng_Kmpr">'[58]ANALISA  (BARU)'!$G$441</definedName>
    <definedName name="usuk_meranti">#REF!</definedName>
    <definedName name="USUK_MRANTI">[192]Huruf!$I$79</definedName>
    <definedName name="usuk_reng">#REF!</definedName>
    <definedName name="Usukbekas">'[18]ANALISA SNI''13 '!$I$1572</definedName>
    <definedName name="Usukkamper">'[18]ANALISA SNI''13 '!$I$1549</definedName>
    <definedName name="Usukkmperketam">'[18]ANALISA SNI''13 '!$I$1557</definedName>
    <definedName name="Usukkruing">'[18]ANALISA SNI''13 '!$I$1565</definedName>
    <definedName name="UsukKruingRengKamper">'[18]ANALISA SNI''13 '!$I$1541</definedName>
    <definedName name="usukmer">'[5]HB '!$F$37</definedName>
    <definedName name="UsukReng">#REF!</definedName>
    <definedName name="Usukrengkamper">#REF!</definedName>
    <definedName name="Usukrengkamperekspose">#REF!</definedName>
    <definedName name="UTAIAN7614c">'[14]D7(1)'!#REF!</definedName>
    <definedName name="UTAMA">#REF!</definedName>
    <definedName name="V">#REF!</definedName>
    <definedName name="V_2">[193]Pipe!$A$12:$I$33</definedName>
    <definedName name="V_ROLLER">[84]HARGA!#REF!</definedName>
    <definedName name="vaa">'[59]div-7'!#REF!</definedName>
    <definedName name="vaas">[72]alat!$AW$26</definedName>
    <definedName name="vaf">'[59]div-7'!#REF!</definedName>
    <definedName name="val">[194]Pipe!$A$12:$I$31</definedName>
    <definedName name="VASDCF">[72]alat!$AW$15</definedName>
    <definedName name="vb_roller">'[57]Harga Satuan Dasar'!#REF!</definedName>
    <definedName name="vbf">'[59]div-7'!#REF!</definedName>
    <definedName name="vcnc">'[59]div-8'!#REF!</definedName>
    <definedName name="Vernis">#REF!</definedName>
    <definedName name="VernisKayu">'[18]ANALISA SNI''13 '!$I$2112</definedName>
    <definedName name="vertical_drain">#REF!</definedName>
    <definedName name="VFSAD">'[73]div-8'!#REF!</definedName>
    <definedName name="vfssdf">'[59]Basic Price'!#REF!</definedName>
    <definedName name="vi">'[134]RAB RIIL kayu'!#REF!</definedName>
    <definedName name="vibrator">#REF!</definedName>
    <definedName name="vibrator_roller">[68]BASIC!$F$67</definedName>
    <definedName name="vibro">#REF!</definedName>
    <definedName name="Vibro_roller">#REF!</definedName>
    <definedName name="vibro_roller__agregat_A_pelebaran">#REF!</definedName>
    <definedName name="vibro_roller_agregat_A_peninggian">#REF!</definedName>
    <definedName name="vibro_roller_agregat_B_pelebaran">#REF!</definedName>
    <definedName name="vibro_roller_agregat_B_peninggian">#REF!</definedName>
    <definedName name="vibro_roller_bahu_jalan">#REF!</definedName>
    <definedName name="vibro_roller_penyiapan_badan_jalan">#REF!</definedName>
    <definedName name="VIBRO_ROLLER_URUG_TANAH_BIASA">#REF!</definedName>
    <definedName name="vibro_roller_URUGAN_TANAH_PILIHAN">#REF!</definedName>
    <definedName name="Vibro_tandem">#REF!</definedName>
    <definedName name="vii">'[134]RAB RIIL kayu'!#REF!</definedName>
    <definedName name="viii">'[134]RAB RIIL kayu'!#REF!</definedName>
    <definedName name="viro">#REF!</definedName>
    <definedName name="vntf100">#REF!</definedName>
    <definedName name="vntf80">#REF!</definedName>
    <definedName name="vol">#REF!</definedName>
    <definedName name="VOLUME">#REF!</definedName>
    <definedName name="VROLLER">#REF!</definedName>
    <definedName name="VS">'[59]div-7'!#REF!</definedName>
    <definedName name="vsdfv">'[59]Basic Price'!#REF!</definedName>
    <definedName name="Vu_Lain">#REF!</definedName>
    <definedName name="VUP">#REF!</definedName>
    <definedName name="VVV" hidden="1">[12]LOADDAT!#REF!</definedName>
    <definedName name="vzsd">'[59]div-8'!#REF!</definedName>
    <definedName name="W">#REF!</definedName>
    <definedName name="w_loader_agregat_A_pelebaran">#REF!</definedName>
    <definedName name="w_loader_agregat_A_peninggian">#REF!</definedName>
    <definedName name="w_loader_agregat_B_pelebaran">#REF!</definedName>
    <definedName name="w_loader_agregat_B_peninggian">#REF!</definedName>
    <definedName name="w_loader_bahu_jalan">#REF!</definedName>
    <definedName name="w_loader_lapen">#REF!</definedName>
    <definedName name="w_loader_macadam">#REF!</definedName>
    <definedName name="w_loader_telford">#REF!</definedName>
    <definedName name="wafel2020">#REF!</definedName>
    <definedName name="Wall_Fashing_Rainbow">'[20]Daftar Harga'!#REF!</definedName>
    <definedName name="Wall_Filler_ICI">'[20]Daftar Harga'!$G$58</definedName>
    <definedName name="walles">[68]BASIC!$F$68</definedName>
    <definedName name="WALLES_HAMPAR_AC">[56]ANALIS!#REF!</definedName>
    <definedName name="walles_LPB_A">[56]ANALIS!#REF!</definedName>
    <definedName name="walles_LPB_B">[56]ANALIS!#REF!</definedName>
    <definedName name="Waregu_t._100_cm">'[20]Daftar Harga'!$G$428</definedName>
    <definedName name="WARTO" hidden="1">{#N/A,#N/A,FALSE,"REK";#N/A,#N/A,FALSE,"rab"}</definedName>
    <definedName name="wastafel">#REF!</definedName>
    <definedName name="Wastafel_komplit_INA">'[81]RANGE BAHAN'!$B$71:$C$71</definedName>
    <definedName name="Wastafel_komplit_toto">#REF!</definedName>
    <definedName name="Wastafel_Lengkap_TOTO_LW_240_CJ_LW240_HFJ">'[20]Daftar Harga'!#REF!</definedName>
    <definedName name="wat_pump">#REF!</definedName>
    <definedName name="water">#REF!</definedName>
    <definedName name="Water_Pump">#REF!</definedName>
    <definedName name="water_pump_pengeringan">#REF!</definedName>
    <definedName name="water_tank_agregat_A_pelebaran">#REF!</definedName>
    <definedName name="water_tank_agregat_A_peninggian">#REF!</definedName>
    <definedName name="water_tank_agregat_B_pelebaran">#REF!</definedName>
    <definedName name="water_tank_agregat_B_peninggian">#REF!</definedName>
    <definedName name="water_tank_B_0">#REF!</definedName>
    <definedName name="water_tank_bahu_jalan">#REF!</definedName>
    <definedName name="water_tank_batu_kali">#REF!</definedName>
    <definedName name="water_tank_ctsb">#REF!</definedName>
    <definedName name="water_tank_K_1_2_5">#REF!</definedName>
    <definedName name="water_tank_K_2_2_5">#REF!</definedName>
    <definedName name="Water_tank_truck">#REF!</definedName>
    <definedName name="water_tank_truck_LPB_A">[56]ANALIS!#REF!</definedName>
    <definedName name="water_tank_truck_LPB_B">[56]ANALIS!#REF!</definedName>
    <definedName name="Water_tank_truck_PAsang_batu_mortar">#REF!</definedName>
    <definedName name="water_tank_truck_penyiapan_badan_jalan">#REF!</definedName>
    <definedName name="WATER_TANK_TRUCK_URUG_TANAH_BIASA">#REF!</definedName>
    <definedName name="water_tank_truck_URUGAN_TANAH_PILIHAN">#REF!</definedName>
    <definedName name="watermur">'[5]HB '!$F$159</definedName>
    <definedName name="Waterproff">#REF!</definedName>
    <definedName name="Waterproffing">#REF!</definedName>
    <definedName name="waterproofing">'[5]HB '!$F$165</definedName>
    <definedName name="waterstop">'[5]HB '!$F$166</definedName>
    <definedName name="watertank_agregat_A_pelebaran">#REF!</definedName>
    <definedName name="wedus" hidden="1">#REF!</definedName>
    <definedName name="WEE">[59]Rutin!#REF!</definedName>
    <definedName name="wel_loder_1.7">#REF!</definedName>
    <definedName name="welding">#REF!</definedName>
    <definedName name="WEQ">'[59]div-2'!#REF!</definedName>
    <definedName name="WER">'[72]Basic Price'!$F$12</definedName>
    <definedName name="wewr">'[59]div-7'!#REF!</definedName>
    <definedName name="wf">'[5]HB '!#REF!</definedName>
    <definedName name="whales">'[57]Harga Satuan Dasar'!#REF!</definedName>
    <definedName name="Wheel_loader">#REF!</definedName>
    <definedName name="WHEEL_LOADER_AC">[56]ANALIS!#REF!</definedName>
    <definedName name="wheel_loader_aspal_minor">#REF!</definedName>
    <definedName name="Wheel_loader_URUGAN_TANAH_PILIHAN">#REF!</definedName>
    <definedName name="windak">#REF!</definedName>
    <definedName name="wiremesh_6">#REF!</definedName>
    <definedName name="WLOADER">#REF!</definedName>
    <definedName name="wls">[19]SAP!#REF!</definedName>
    <definedName name="Wood_filler">'[20]Daftar Harga'!$G$50</definedName>
    <definedName name="WQ">'[59]Kuantitas &amp; Harga'!#REF!</definedName>
    <definedName name="WQEQW">'[195]Kuantitas &amp; Harga'!$B$130:$J$166</definedName>
    <definedName name="wqw">#REF!</definedName>
    <definedName name="wr">[196]A!#REF!</definedName>
    <definedName name="wrn.AAA." hidden="1">{#N/A,#N/A,FALSE,"REK";#N/A,#N/A,FALSE,"Bq-ARS"}</definedName>
    <definedName name="wrn.chi._.tiÆt." hidden="1">{#N/A,#N/A,FALSE,"Chi tiÆt"}</definedName>
    <definedName name="wrn.Full._.Report." hidden="1">{#N/A,#N/A,TRUE,"Front";#N/A,#N/A,TRUE,"Simple Letter";#N/A,#N/A,TRUE,"Inside";#N/A,#N/A,TRUE,"Contents";#N/A,#N/A,TRUE,"Basis";#N/A,#N/A,TRUE,"Inclusions";#N/A,#N/A,TRUE,"Exclusions";#N/A,#N/A,TRUE,"Areas";#N/A,#N/A,TRUE,"Summary";#N/A,#N/A,TRUE,"Detail"}</definedName>
    <definedName name="wrn.rtpl." hidden="1">{#N/A,#N/A,FALSE,"REK-S-TPL";#N/A,#N/A,FALSE,"REK-TPML";#N/A,#N/A,FALSE,"RAB-TEMPEL"}</definedName>
    <definedName name="wrn.ry." hidden="1">{#N/A,#N/A,FALSE,"REK";#N/A,#N/A,FALSE,"rab"}</definedName>
    <definedName name="WST">#REF!</definedName>
    <definedName name="wtc">#REF!</definedName>
    <definedName name="wuwung">#REF!</definedName>
    <definedName name="wuwung_Gjawa">#REF!</definedName>
    <definedName name="WW">[59]Analisa!#REF!</definedName>
    <definedName name="WWEW">'[59]div-2'!#REF!</definedName>
    <definedName name="x">'[134]RAB RIIL kayu'!#REF!</definedName>
    <definedName name="xcc">'[59]div-2'!#REF!</definedName>
    <definedName name="xcvb">'[59]Basic Price'!#REF!</definedName>
    <definedName name="xcz">'[59]div-7'!#REF!</definedName>
    <definedName name="xczxv">'[59]Basic Price'!#REF!</definedName>
    <definedName name="xdvdszv">'[59]div-7'!#REF!</definedName>
    <definedName name="xi">'[134]RAB RIIL kayu'!#REF!</definedName>
    <definedName name="xvx">'[59]div-7'!#REF!</definedName>
    <definedName name="xvz">'[59]div-8'!#REF!</definedName>
    <definedName name="xz">'[59]div-8'!#REF!</definedName>
    <definedName name="xzc">'[59]Kuantitas &amp; Harga'!#REF!</definedName>
    <definedName name="y">[135]BHN1!$F$166</definedName>
    <definedName name="yayuk" hidden="1">#REF!</definedName>
    <definedName name="yes">{"Book1","4.09 FLORA DAN FAUNA.xls","4.22 PERLENGKAPAN SEKOLAH.xls"}</definedName>
    <definedName name="yety">[120]alat!$AW$12</definedName>
    <definedName name="yiyitan">#REF!</definedName>
    <definedName name="Z" hidden="1">#REF!</definedName>
    <definedName name="Z_C5F07B99_5B9B_4D7E_8E51_7715CFFC23CA_.wvu.Rows" hidden="1">[197]Estimate!$A$32:$IV$42,[197]Estimate!$A$56:$IV$63,[197]Estimate!$A$69:$IV$72,[197]Estimate!$A$85:$IV$90,[197]Estimate!$A$103:$IV$108,[197]Estimate!$A$125:$IV$126,[197]Estimate!$A$142:$IV$147,[197]Estimate!$A$151:$IV$154,[197]Estimate!$A$158:$IV$191,[197]Estimate!$A$193:$IV$194,[197]Estimate!$A$198:$IV$225,[197]Estimate!$A$227:$IV$232,[197]Estimate!$A$253:$IV$254,[197]Estimate!$A$265:$IV$274,[197]Estimate!$A$287:$IV$316,[197]Estimate!$A$319:$IV$354</definedName>
    <definedName name="zczxzxczxczx">'[9]AN-SNI'!#REF!</definedName>
    <definedName name="zxc">'[59]div-2'!#REF!</definedName>
    <definedName name="zz">[6]alat!$BP$127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6" l="1"/>
  <c r="E3" i="6"/>
  <c r="E2" i="6"/>
  <c r="E6" i="6" s="1"/>
  <c r="G22" i="3" l="1"/>
  <c r="G21" i="3"/>
  <c r="F20" i="3"/>
  <c r="G20" i="3" s="1"/>
  <c r="G19" i="3"/>
  <c r="F17" i="3"/>
  <c r="G17" i="3" s="1"/>
  <c r="H45" i="2" s="1"/>
  <c r="F16" i="3"/>
  <c r="G16" i="3" s="1"/>
  <c r="H44" i="2" s="1"/>
  <c r="F15" i="3"/>
  <c r="G15" i="3" s="1"/>
  <c r="F14" i="3"/>
  <c r="G14" i="3" s="1"/>
  <c r="H41" i="2" s="1"/>
  <c r="F13" i="3"/>
  <c r="G13" i="3" s="1"/>
  <c r="H39" i="2" s="1"/>
  <c r="F12" i="3"/>
  <c r="G12" i="3" s="1"/>
  <c r="H40" i="2" s="1"/>
  <c r="F11" i="3"/>
  <c r="G11" i="3" s="1"/>
  <c r="G23" i="3" l="1"/>
  <c r="H43" i="2"/>
  <c r="J57" i="2"/>
  <c r="J56" i="2" l="1"/>
  <c r="J55" i="2"/>
  <c r="J29" i="2"/>
  <c r="J20" i="2"/>
  <c r="J58" i="2" l="1"/>
  <c r="J59" i="2" s="1"/>
  <c r="J60" i="2" l="1"/>
  <c r="J61" i="2" s="1"/>
</calcChain>
</file>

<file path=xl/sharedStrings.xml><?xml version="1.0" encoding="utf-8"?>
<sst xmlns="http://schemas.openxmlformats.org/spreadsheetml/2006/main" count="183" uniqueCount="127">
  <si>
    <t>Nomor</t>
  </si>
  <si>
    <t>Kepada Yth,</t>
  </si>
  <si>
    <t>Tanggal</t>
  </si>
  <si>
    <t>Reff</t>
  </si>
  <si>
    <t>Pembayaran</t>
  </si>
  <si>
    <t>Validity</t>
  </si>
  <si>
    <t>30 days</t>
  </si>
  <si>
    <t>Currency</t>
  </si>
  <si>
    <t>Rupiah</t>
  </si>
  <si>
    <t>No</t>
  </si>
  <si>
    <t>Total</t>
  </si>
  <si>
    <t>:</t>
  </si>
  <si>
    <t>Biaya</t>
  </si>
  <si>
    <t>Fullpayment</t>
  </si>
  <si>
    <t>Hormat kami,</t>
  </si>
  <si>
    <t>PT. Cakrawala Bima Instrument</t>
  </si>
  <si>
    <t>Pekerjaan kalibrasi dilakukan terhadap Sensor Aquas untuk parameter:</t>
  </si>
  <si>
    <t>- pH</t>
  </si>
  <si>
    <t>dan juga kalibrasi pada Sensor Photonic untuk parameter :</t>
  </si>
  <si>
    <t>Tiap probe yang ada pada sensor tersebut akan dicelupkan ke larutan CRM (Certified Reference Material) standart yang sudah diketahui nilainya, sebagai koreksi dan pengkalibrasi untuk kedua sensor tersebut.</t>
  </si>
  <si>
    <t>Tanpa Pergantian Alat (sensor)</t>
  </si>
  <si>
    <t>A</t>
  </si>
  <si>
    <t>Vol</t>
  </si>
  <si>
    <t>Sat</t>
  </si>
  <si>
    <t>1.</t>
  </si>
  <si>
    <t>a</t>
  </si>
  <si>
    <t>Cleaning unit &amp; area</t>
  </si>
  <si>
    <t>Cleaning sensor</t>
  </si>
  <si>
    <t>b</t>
  </si>
  <si>
    <t>c</t>
  </si>
  <si>
    <t>d</t>
  </si>
  <si>
    <t>Pengecekkan &amp; pengukuran power sistem (Panel power, Battery, Inverter, &amp; Solar Panel</t>
  </si>
  <si>
    <t>Pengecekkan status software aplikasi di Datalogger</t>
  </si>
  <si>
    <t>e</t>
  </si>
  <si>
    <t>Pengecekkan Hardware Datalogger dan Data Collector</t>
  </si>
  <si>
    <t>f</t>
  </si>
  <si>
    <t>g</t>
  </si>
  <si>
    <t>Pengecekkan dan pembersihan bak sampling beserta saluran inlet &amp; outlet</t>
  </si>
  <si>
    <t>Pengecekkan status paket data</t>
  </si>
  <si>
    <t>2.</t>
  </si>
  <si>
    <t>Kunjungan</t>
  </si>
  <si>
    <t>B</t>
  </si>
  <si>
    <t>Pergantian Alat (Sensor)</t>
  </si>
  <si>
    <t>Penggantian &amp; repair sparepart yang rusak (Corrective Maintenance)</t>
  </si>
  <si>
    <t>Data Logger</t>
  </si>
  <si>
    <t>C</t>
  </si>
  <si>
    <t>Pcs</t>
  </si>
  <si>
    <t>Set</t>
  </si>
  <si>
    <t>Note : Harga yang tertera pada poin B hanya untuk harga pergantian sensor, jika akan melakukan Preventive Maintenance &amp; Kalibrasi maka harus ditambahkan dengan harga pada bagian A poin 1 dan 2</t>
  </si>
  <si>
    <t>Deskripsi</t>
  </si>
  <si>
    <t>Marketing Division</t>
  </si>
  <si>
    <t>Transportasi darat</t>
  </si>
  <si>
    <t>opsional</t>
  </si>
  <si>
    <t>Teknisi/Engineering cost</t>
  </si>
  <si>
    <t>.</t>
  </si>
  <si>
    <t>Grand Total</t>
  </si>
  <si>
    <t>Jasa Preventive Maintenance (Lingkup Pekerjaan)</t>
  </si>
  <si>
    <t>Diskon</t>
  </si>
  <si>
    <t>Sensor Aquas (pH)</t>
  </si>
  <si>
    <t>Sensor Photonic (COD, TSS)</t>
  </si>
  <si>
    <t>RENCANA ANGGARAN BIAYA MAINTENANCE &amp; VALIDASI SPARING</t>
  </si>
  <si>
    <t>PPN</t>
  </si>
  <si>
    <t xml:space="preserve">Phone. </t>
  </si>
  <si>
    <t>Email</t>
  </si>
  <si>
    <t>Ls</t>
  </si>
  <si>
    <t>Meal</t>
  </si>
  <si>
    <r>
      <rPr>
        <b/>
        <sz val="12"/>
        <color theme="1"/>
        <rFont val="Calibri"/>
        <family val="2"/>
        <scheme val="minor"/>
      </rPr>
      <t>Note:</t>
    </r>
    <r>
      <rPr>
        <sz val="12"/>
        <color theme="1"/>
        <rFont val="Calibri"/>
        <family val="2"/>
        <scheme val="minor"/>
      </rPr>
      <t xml:space="preserve">
1. Harga untuk 1x kunjungan
2. Harga tidak termasuk biaya pergantian alat dan sensor yang rusak
3. Harga berlaku selama belum ada kenaikan pajak, jika ada kenaikan pajak maka harga akan disesuaikan dengan tarif pajak terbaru</t>
    </r>
  </si>
  <si>
    <t>Hotel</t>
  </si>
  <si>
    <t>BOQ PEMBELIAN ALAT SPARING</t>
  </si>
  <si>
    <t>Lokasi: WWTP Lippo Cikarang
Nama PT: PT Lippo Cikarang
PURCHASE REQUESTION FORM</t>
  </si>
  <si>
    <t xml:space="preserve"> </t>
  </si>
  <si>
    <t>NO</t>
  </si>
  <si>
    <t>NAMA BARANG</t>
  </si>
  <si>
    <t xml:space="preserve">MERK / MODEL / TYPE </t>
  </si>
  <si>
    <t>QTY</t>
  </si>
  <si>
    <t xml:space="preserve">SATUAN </t>
  </si>
  <si>
    <t>ESTIMASI
HARGA SATUAN</t>
  </si>
  <si>
    <t>HARGA</t>
  </si>
  <si>
    <t xml:space="preserve">KETERANGAN </t>
  </si>
  <si>
    <t>Multiparameter Transmitter</t>
  </si>
  <si>
    <t>Envilife / Datalogger-01</t>
  </si>
  <si>
    <t>PC</t>
  </si>
  <si>
    <t>Perangkat Akusisi data sensor  ( incl garansi 1 th )</t>
  </si>
  <si>
    <t>COD  &amp; TSS Sensor</t>
  </si>
  <si>
    <t>Photonic / MultiProbe/DIP Probe UV254</t>
  </si>
  <si>
    <t>Multiprobe: COD &amp; TSS ( Incl masa Garansi 1 th )</t>
  </si>
  <si>
    <t>pH Sensor</t>
  </si>
  <si>
    <t>Aquas /SingleProbe/Max2</t>
  </si>
  <si>
    <t>pc</t>
  </si>
  <si>
    <t>Single Probe Sensor pH ( Incl masa Garansi 1 th )</t>
  </si>
  <si>
    <t>Ammonium</t>
  </si>
  <si>
    <t>Single Probe Sensor Ammonium ( Incl masa Garansi 1 th )</t>
  </si>
  <si>
    <t>TSS, CODeq, pH Sensor, Amonium Assembly</t>
  </si>
  <si>
    <t xml:space="preserve">
1. Instalasi &amp; Testcom
2. Engineering Validasi
3. Kalibrasi KAN 
</t>
  </si>
  <si>
    <t>Mekanik Sparing &amp; Panel Kelistrikan</t>
  </si>
  <si>
    <t xml:space="preserve">Envilife </t>
  </si>
  <si>
    <t>Material Lokal : Mekanik Sampling  Sparing ,  Panel Kelistrikan &amp; Datalooger</t>
  </si>
  <si>
    <t>Cable Sensor</t>
  </si>
  <si>
    <t>Kabel Sensor , Kabel Pwr, Lan Kabel, Subduct</t>
  </si>
  <si>
    <t>KLHK Connectivity Software and Data Visualization</t>
  </si>
  <si>
    <t>Support Konektivitas dengan server KLH dan free Cloud Server selama 1 th</t>
  </si>
  <si>
    <t>Project Management, Basic engineering, Design &amp; System Architecture, Documentation</t>
  </si>
  <si>
    <t xml:space="preserve">1. MCO / Survey
2. Asplan &amp; As Build drawing
3. Project Management ( Dokumen SOP Operasi &amp; Maintenance , Pengiriman dll)
4. Visit Maintenance 
</t>
  </si>
  <si>
    <t>Commissioning of System (Commissioning visit 
for 3 days)</t>
  </si>
  <si>
    <t>Incl. SoW no 5</t>
  </si>
  <si>
    <t>Installation of system</t>
  </si>
  <si>
    <t xml:space="preserve">Total </t>
  </si>
  <si>
    <t>Sensor Ammonium</t>
  </si>
  <si>
    <t>Sensor Debit</t>
  </si>
  <si>
    <t>- Ammonium</t>
  </si>
  <si>
    <t>Validasi Sensor+CRM ( Teknisi CBI )</t>
  </si>
  <si>
    <t>- COD &amp; TSS</t>
  </si>
  <si>
    <t xml:space="preserve">Mobilisasi Engineering Cost </t>
  </si>
  <si>
    <t>sewa</t>
  </si>
  <si>
    <t>bbm</t>
  </si>
  <si>
    <t>tol</t>
  </si>
  <si>
    <t>Perbaikan data pembacaan dilakukan secara remote</t>
  </si>
  <si>
    <t>Kejadian</t>
  </si>
  <si>
    <t>Opsional</t>
  </si>
  <si>
    <t>Layanan support perbaikan pembacaan data sparing ( secara remote ) - ( request di luar jam kerja &amp; hari kerja )</t>
  </si>
  <si>
    <t xml:space="preserve">Layanan support perbaikan pembacaan data sparing ( secara remote ) - ( request di jam kerja &amp; hari kerja ) </t>
  </si>
  <si>
    <t>free</t>
  </si>
  <si>
    <t>CQC08260429</t>
  </si>
  <si>
    <t>Visit</t>
  </si>
  <si>
    <t>Bapak Atta</t>
  </si>
  <si>
    <t>Kawasan Industri Lippo Cikarang</t>
  </si>
  <si>
    <t>+62 896-1428-0759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</si>
</sst>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quot;Rp&quot;* #,##0_-;\-&quot;Rp&quot;* #,##0_-;_-&quot;Rp&quot;* &quot;-&quot;_-;_-@_-"/>
    <numFmt numFmtId="43" formatCode="_-* #,##0.00_-;\-* #,##0.00_-;_-* &quot;-&quot;??_-;_-@_-"/>
    <numFmt numFmtId="164" formatCode="_(* #,##0_);_(* \(#,##0\);_(* &quot;-&quot;_);_(@_)"/>
    <numFmt numFmtId="165" formatCode="_(&quot;Rp&quot;* #,##0_);_(&quot;Rp&quot;* \(#,##0\);_(&quot;Rp&quot;* &quot;-&quot;_);_(@_)"/>
    <numFmt numFmtId="166" formatCode="0&quot;.&quot;"/>
    <numFmt numFmtId="167" formatCode="[$-421]dd\ mmmm\ yyyy;@"/>
    <numFmt numFmtId="168" formatCode="_-[$Rp-421]* #,##0_-;\-[$Rp-421]* #,##0_-;_-[$Rp-421]* &quot;-&quot;??_-;_-@_-"/>
    <numFmt numFmtId="169" formatCode="_-[$Rp-421]* #,##0.00_-;\-[$Rp-421]* #,##0.00_-;_-[$Rp-421]* &quot;-&quot;??_-;_-@_-"/>
    <numFmt numFmtId="170" formatCode="_-[$Rp-3809]* #,##0.00_-;\-[$Rp-3809]* #,##0.00_-;_-[$Rp-3809]* &quot;-&quot;??_-;_-@_-"/>
  </numFmts>
  <fonts count="30">
    <font>
      <sz val="11"/>
      <color theme="1"/>
      <name val="Calibri"/>
      <charset val="134"/>
      <scheme val="minor"/>
    </font>
    <font>
      <sz val="11"/>
      <color theme="1"/>
      <name val="Calibri"/>
      <family val="2"/>
      <scheme val="minor"/>
    </font>
    <font>
      <sz val="11"/>
      <color theme="1"/>
      <name val="Calibri"/>
      <family val="2"/>
      <scheme val="minor"/>
    </font>
    <font>
      <u/>
      <sz val="11"/>
      <color theme="10"/>
      <name val="Calibri"/>
      <family val="2"/>
      <scheme val="minor"/>
    </font>
    <font>
      <sz val="10"/>
      <color theme="1"/>
      <name val="Calibri"/>
      <family val="2"/>
      <scheme val="minor"/>
    </font>
    <font>
      <sz val="11"/>
      <color theme="5" tint="-0.24994659260841701"/>
      <name val="Calibri"/>
      <family val="2"/>
      <scheme val="minor"/>
    </font>
    <font>
      <sz val="11"/>
      <color theme="1"/>
      <name val="Calibri"/>
      <family val="2"/>
      <scheme val="minor"/>
    </font>
    <font>
      <b/>
      <sz val="11"/>
      <name val="Arial"/>
      <family val="2"/>
    </font>
    <font>
      <sz val="11"/>
      <color rgb="FF000000"/>
      <name val="Arial"/>
      <family val="2"/>
    </font>
    <font>
      <sz val="11"/>
      <color theme="1"/>
      <name val="Arial"/>
      <family val="2"/>
    </font>
    <font>
      <b/>
      <sz val="11"/>
      <color theme="1"/>
      <name val="Arial"/>
      <family val="2"/>
    </font>
    <font>
      <sz val="11"/>
      <name val="Arial"/>
      <family val="2"/>
    </font>
    <font>
      <b/>
      <sz val="12"/>
      <color theme="1"/>
      <name val="Calibri"/>
      <family val="2"/>
      <scheme val="minor"/>
    </font>
    <font>
      <b/>
      <sz val="20"/>
      <color theme="1"/>
      <name val="Arial"/>
      <family val="2"/>
    </font>
    <font>
      <b/>
      <sz val="12"/>
      <color theme="0"/>
      <name val="Calibri"/>
      <family val="2"/>
      <scheme val="minor"/>
    </font>
    <font>
      <b/>
      <sz val="11"/>
      <color theme="1"/>
      <name val="Calibri"/>
      <family val="2"/>
      <scheme val="minor"/>
    </font>
    <font>
      <b/>
      <sz val="12"/>
      <name val="Calibri"/>
      <family val="2"/>
      <scheme val="minor"/>
    </font>
    <font>
      <sz val="12"/>
      <name val="Calibri"/>
      <family val="2"/>
      <scheme val="minor"/>
    </font>
    <font>
      <sz val="12"/>
      <color theme="1"/>
      <name val="Calibri"/>
      <family val="2"/>
      <scheme val="minor"/>
    </font>
    <font>
      <sz val="12"/>
      <color theme="1"/>
      <name val="Arial"/>
      <family val="2"/>
    </font>
    <font>
      <b/>
      <sz val="16"/>
      <color theme="1"/>
      <name val="Calibri"/>
      <family val="2"/>
      <scheme val="minor"/>
    </font>
    <font>
      <u/>
      <sz val="11"/>
      <color theme="1"/>
      <name val="Arial"/>
      <family val="2"/>
    </font>
    <font>
      <sz val="12"/>
      <name val="Arial"/>
      <family val="2"/>
    </font>
    <font>
      <b/>
      <sz val="12"/>
      <name val="Arial"/>
      <family val="2"/>
    </font>
    <font>
      <b/>
      <sz val="12"/>
      <color theme="1"/>
      <name val="Arial"/>
      <family val="2"/>
    </font>
    <font>
      <u/>
      <sz val="12"/>
      <color theme="10"/>
      <name val="Arial"/>
      <family val="2"/>
    </font>
    <font>
      <b/>
      <sz val="72"/>
      <color theme="1"/>
      <name val="Calibri"/>
      <family val="2"/>
      <scheme val="minor"/>
    </font>
    <font>
      <b/>
      <sz val="48"/>
      <color theme="1"/>
      <name val="Calibri"/>
      <family val="2"/>
      <scheme val="minor"/>
    </font>
    <font>
      <sz val="48"/>
      <color theme="1"/>
      <name val="Calibri"/>
      <family val="2"/>
      <scheme val="minor"/>
    </font>
    <font>
      <sz val="11"/>
      <color theme="1"/>
      <name val="Calibri"/>
      <charset val="134"/>
      <scheme val="minor"/>
    </font>
  </fonts>
  <fills count="7">
    <fill>
      <patternFill patternType="none"/>
    </fill>
    <fill>
      <patternFill patternType="gray125"/>
    </fill>
    <fill>
      <patternFill patternType="solid">
        <fgColor rgb="FF002060"/>
        <bgColor indexed="64"/>
      </patternFill>
    </fill>
    <fill>
      <patternFill patternType="solid">
        <fgColor theme="5"/>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s>
  <borders count="38">
    <border>
      <left/>
      <right/>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double">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right style="thin">
        <color auto="1"/>
      </right>
      <top style="thin">
        <color indexed="64"/>
      </top>
      <bottom/>
      <diagonal/>
    </border>
    <border>
      <left style="medium">
        <color indexed="64"/>
      </left>
      <right/>
      <top style="medium">
        <color indexed="64"/>
      </top>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bottom/>
      <diagonal/>
    </border>
    <border>
      <left style="thin">
        <color auto="1"/>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style="thin">
        <color auto="1"/>
      </right>
      <top/>
      <bottom style="thin">
        <color auto="1"/>
      </bottom>
      <diagonal/>
    </border>
    <border>
      <left/>
      <right style="medium">
        <color indexed="64"/>
      </right>
      <top style="thin">
        <color indexed="64"/>
      </top>
      <bottom/>
      <diagonal/>
    </border>
    <border>
      <left style="medium">
        <color indexed="64"/>
      </left>
      <right style="thin">
        <color auto="1"/>
      </right>
      <top style="thin">
        <color auto="1"/>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auto="1"/>
      </left>
      <right style="thin">
        <color auto="1"/>
      </right>
      <top/>
      <bottom style="medium">
        <color indexed="64"/>
      </bottom>
      <diagonal/>
    </border>
    <border>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auto="1"/>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style="thin">
        <color auto="1"/>
      </left>
      <right style="thin">
        <color auto="1"/>
      </right>
      <top/>
      <bottom style="thin">
        <color auto="1"/>
      </bottom>
      <diagonal/>
    </border>
  </borders>
  <cellStyleXfs count="10">
    <xf numFmtId="0" fontId="0" fillId="0" borderId="0"/>
    <xf numFmtId="0" fontId="3" fillId="0" borderId="0" applyNumberFormat="0" applyFill="0" applyBorder="0" applyAlignment="0" applyProtection="0"/>
    <xf numFmtId="0" fontId="4" fillId="0" borderId="0"/>
    <xf numFmtId="164" fontId="4" fillId="0" borderId="0" applyFont="0" applyFill="0" applyBorder="0" applyAlignment="0" applyProtection="0"/>
    <xf numFmtId="42" fontId="4" fillId="0" borderId="0" applyFont="0" applyFill="0" applyBorder="0" applyAlignment="0" applyProtection="0"/>
    <xf numFmtId="165" fontId="6" fillId="0" borderId="0" applyFont="0" applyFill="0" applyBorder="0" applyAlignment="0" applyProtection="0"/>
    <xf numFmtId="0" fontId="5" fillId="0" borderId="0">
      <alignment wrapText="1"/>
    </xf>
    <xf numFmtId="0" fontId="1" fillId="0" borderId="0"/>
    <xf numFmtId="42" fontId="1" fillId="0" borderId="0" applyFont="0" applyFill="0" applyBorder="0" applyAlignment="0" applyProtection="0"/>
    <xf numFmtId="43" fontId="29" fillId="0" borderId="0" applyFont="0" applyFill="0" applyBorder="0" applyAlignment="0" applyProtection="0"/>
  </cellStyleXfs>
  <cellXfs count="206">
    <xf numFmtId="0" fontId="0" fillId="0" borderId="0" xfId="0"/>
    <xf numFmtId="0" fontId="9" fillId="0" borderId="0" xfId="2" applyFont="1" applyAlignment="1">
      <alignment vertical="center"/>
    </xf>
    <xf numFmtId="0" fontId="8" fillId="0" borderId="0" xfId="2" applyFont="1" applyAlignment="1">
      <alignment vertical="center"/>
    </xf>
    <xf numFmtId="0" fontId="10" fillId="0" borderId="0" xfId="2" applyFont="1" applyAlignment="1">
      <alignment vertical="center"/>
    </xf>
    <xf numFmtId="0" fontId="9" fillId="0" borderId="0" xfId="2" applyFont="1" applyAlignment="1">
      <alignment horizontal="center" vertical="center"/>
    </xf>
    <xf numFmtId="0" fontId="9" fillId="0" borderId="0" xfId="2" applyFont="1" applyAlignment="1">
      <alignment horizontal="left" vertical="center"/>
    </xf>
    <xf numFmtId="0" fontId="10" fillId="0" borderId="0" xfId="2" applyFont="1" applyAlignment="1">
      <alignment horizontal="left" vertical="center"/>
    </xf>
    <xf numFmtId="166" fontId="9" fillId="0" borderId="0" xfId="2" applyNumberFormat="1" applyFont="1" applyAlignment="1">
      <alignment horizontal="right" vertical="center"/>
    </xf>
    <xf numFmtId="166" fontId="10" fillId="0" borderId="0" xfId="2" applyNumberFormat="1" applyFont="1" applyAlignment="1">
      <alignment horizontal="right" vertical="center"/>
    </xf>
    <xf numFmtId="166" fontId="9" fillId="0" borderId="0" xfId="2" applyNumberFormat="1" applyFont="1" applyAlignment="1">
      <alignment horizontal="center" vertical="center"/>
    </xf>
    <xf numFmtId="0" fontId="11" fillId="0" borderId="0" xfId="2" applyFont="1" applyAlignment="1">
      <alignment vertical="center"/>
    </xf>
    <xf numFmtId="165" fontId="11" fillId="0" borderId="0" xfId="2" applyNumberFormat="1" applyFont="1" applyAlignment="1">
      <alignment vertical="center"/>
    </xf>
    <xf numFmtId="9" fontId="9" fillId="0" borderId="0" xfId="2" applyNumberFormat="1" applyFont="1" applyAlignment="1">
      <alignment vertical="center"/>
    </xf>
    <xf numFmtId="166" fontId="9" fillId="0" borderId="4" xfId="2" applyNumberFormat="1" applyFont="1" applyBorder="1" applyAlignment="1">
      <alignment horizontal="right" vertical="center"/>
    </xf>
    <xf numFmtId="166" fontId="9" fillId="0" borderId="4" xfId="2" applyNumberFormat="1" applyFont="1" applyBorder="1" applyAlignment="1">
      <alignment horizontal="center" vertical="center"/>
    </xf>
    <xf numFmtId="166" fontId="9" fillId="0" borderId="4" xfId="2" applyNumberFormat="1" applyFont="1" applyBorder="1" applyAlignment="1">
      <alignment horizontal="left" vertical="center"/>
    </xf>
    <xf numFmtId="166" fontId="9" fillId="0" borderId="0" xfId="2" applyNumberFormat="1" applyFont="1" applyAlignment="1">
      <alignment horizontal="left" vertical="center"/>
    </xf>
    <xf numFmtId="0" fontId="10" fillId="0" borderId="0" xfId="2" applyFont="1"/>
    <xf numFmtId="0" fontId="3" fillId="0" borderId="0" xfId="1"/>
    <xf numFmtId="0" fontId="3" fillId="0" borderId="0" xfId="1" applyAlignment="1">
      <alignment vertical="center"/>
    </xf>
    <xf numFmtId="168" fontId="9" fillId="0" borderId="0" xfId="2" applyNumberFormat="1" applyFont="1" applyAlignment="1">
      <alignment vertical="center"/>
    </xf>
    <xf numFmtId="168" fontId="9" fillId="0" borderId="4" xfId="2" applyNumberFormat="1" applyFont="1" applyBorder="1" applyAlignment="1">
      <alignment horizontal="right" vertical="center"/>
    </xf>
    <xf numFmtId="168" fontId="9" fillId="0" borderId="0" xfId="2" applyNumberFormat="1" applyFont="1" applyAlignment="1">
      <alignment horizontal="right" vertical="center"/>
    </xf>
    <xf numFmtId="0" fontId="7" fillId="0" borderId="0" xfId="2" applyFont="1" applyAlignment="1">
      <alignment horizontal="left" vertical="center"/>
    </xf>
    <xf numFmtId="0" fontId="16" fillId="0" borderId="3" xfId="0" applyFont="1" applyBorder="1" applyAlignment="1">
      <alignment horizontal="center"/>
    </xf>
    <xf numFmtId="0" fontId="19" fillId="0" borderId="0" xfId="2" applyFont="1" applyAlignment="1">
      <alignment vertical="center"/>
    </xf>
    <xf numFmtId="0" fontId="16" fillId="3" borderId="9" xfId="0" applyFont="1" applyFill="1" applyBorder="1" applyAlignment="1">
      <alignment horizontal="center" vertical="center"/>
    </xf>
    <xf numFmtId="0" fontId="18" fillId="0" borderId="3" xfId="0" applyFont="1" applyBorder="1" applyAlignment="1">
      <alignment vertical="center" wrapText="1"/>
    </xf>
    <xf numFmtId="0" fontId="18" fillId="0" borderId="3" xfId="0" quotePrefix="1" applyFont="1" applyBorder="1" applyAlignment="1">
      <alignment vertical="top"/>
    </xf>
    <xf numFmtId="0" fontId="16" fillId="3" borderId="2" xfId="0" applyFont="1" applyFill="1" applyBorder="1" applyAlignment="1">
      <alignment horizontal="center" vertical="center"/>
    </xf>
    <xf numFmtId="0" fontId="18" fillId="0" borderId="1" xfId="0" quotePrefix="1" applyFont="1" applyBorder="1" applyAlignment="1">
      <alignment horizontal="left" vertical="top" wrapText="1"/>
    </xf>
    <xf numFmtId="0" fontId="17" fillId="0" borderId="7" xfId="0" applyFont="1" applyBorder="1" applyAlignment="1">
      <alignment horizontal="center"/>
    </xf>
    <xf numFmtId="0" fontId="16" fillId="0" borderId="7" xfId="0" applyFont="1" applyBorder="1" applyAlignment="1">
      <alignment horizontal="center"/>
    </xf>
    <xf numFmtId="0" fontId="18" fillId="0" borderId="7" xfId="0" applyFont="1" applyBorder="1" applyAlignment="1">
      <alignment vertical="center" wrapText="1"/>
    </xf>
    <xf numFmtId="0" fontId="18" fillId="0" borderId="7" xfId="0" quotePrefix="1" applyFont="1" applyBorder="1" applyAlignment="1">
      <alignment vertical="top"/>
    </xf>
    <xf numFmtId="0" fontId="18" fillId="0" borderId="0" xfId="2" applyFont="1" applyAlignment="1">
      <alignment horizontal="center" vertical="center"/>
    </xf>
    <xf numFmtId="0" fontId="18" fillId="0" borderId="2" xfId="0" quotePrefix="1" applyFont="1" applyBorder="1" applyAlignment="1">
      <alignment horizontal="left" vertical="top" wrapText="1"/>
    </xf>
    <xf numFmtId="0" fontId="18" fillId="0" borderId="11" xfId="0" quotePrefix="1" applyFont="1" applyBorder="1" applyAlignment="1">
      <alignment horizontal="left" vertical="top" wrapText="1"/>
    </xf>
    <xf numFmtId="0" fontId="12" fillId="0" borderId="3" xfId="0" applyFont="1" applyBorder="1" applyAlignment="1">
      <alignment horizontal="center" vertical="center" wrapText="1"/>
    </xf>
    <xf numFmtId="0" fontId="12" fillId="0" borderId="8" xfId="0" applyFont="1" applyBorder="1" applyAlignment="1">
      <alignment horizontal="center" vertical="center"/>
    </xf>
    <xf numFmtId="0" fontId="9" fillId="0" borderId="0" xfId="2" quotePrefix="1" applyFont="1" applyAlignment="1">
      <alignment horizontal="left" vertical="center" wrapText="1"/>
    </xf>
    <xf numFmtId="0" fontId="21" fillId="0" borderId="0" xfId="2" applyFont="1" applyAlignment="1">
      <alignment horizontal="left" vertical="center"/>
    </xf>
    <xf numFmtId="0" fontId="0" fillId="0" borderId="0" xfId="0" applyAlignment="1">
      <alignment horizontal="center"/>
    </xf>
    <xf numFmtId="0" fontId="2" fillId="0" borderId="0" xfId="0" applyFont="1" applyAlignment="1">
      <alignment vertical="center"/>
    </xf>
    <xf numFmtId="0" fontId="15" fillId="0" borderId="0" xfId="0" applyFont="1" applyAlignment="1">
      <alignment horizontal="center" vertical="center"/>
    </xf>
    <xf numFmtId="0" fontId="16" fillId="0" borderId="0" xfId="0" applyFont="1" applyAlignment="1">
      <alignment horizontal="center" vertical="center"/>
    </xf>
    <xf numFmtId="168" fontId="15" fillId="0" borderId="0" xfId="0" applyNumberFormat="1" applyFont="1"/>
    <xf numFmtId="168" fontId="16" fillId="0" borderId="0" xfId="0" applyNumberFormat="1" applyFont="1" applyAlignment="1">
      <alignment horizontal="right" vertical="center"/>
    </xf>
    <xf numFmtId="168" fontId="16" fillId="0" borderId="0" xfId="0" applyNumberFormat="1" applyFont="1" applyAlignment="1">
      <alignment horizontal="center" vertical="center"/>
    </xf>
    <xf numFmtId="0" fontId="18" fillId="0" borderId="0" xfId="2" applyFont="1" applyAlignment="1">
      <alignment vertical="center" wrapText="1"/>
    </xf>
    <xf numFmtId="0" fontId="18" fillId="0" borderId="3" xfId="0" quotePrefix="1" applyFont="1" applyBorder="1" applyAlignment="1">
      <alignment horizontal="center" vertical="center" wrapText="1"/>
    </xf>
    <xf numFmtId="0" fontId="18" fillId="0" borderId="8" xfId="0" quotePrefix="1" applyFont="1" applyBorder="1" applyAlignment="1">
      <alignment horizontal="center" vertical="center" wrapText="1"/>
    </xf>
    <xf numFmtId="0" fontId="18" fillId="0" borderId="3" xfId="0" applyFont="1" applyBorder="1" applyAlignment="1">
      <alignment horizontal="center" vertical="center" wrapText="1"/>
    </xf>
    <xf numFmtId="0" fontId="18" fillId="0" borderId="8" xfId="0" applyFont="1" applyBorder="1" applyAlignment="1">
      <alignment horizontal="center" vertical="center"/>
    </xf>
    <xf numFmtId="0" fontId="17" fillId="0" borderId="10" xfId="0" applyFont="1" applyBorder="1" applyAlignment="1">
      <alignment horizontal="center"/>
    </xf>
    <xf numFmtId="0" fontId="18" fillId="0" borderId="1" xfId="0" applyFont="1" applyBorder="1"/>
    <xf numFmtId="168" fontId="18" fillId="0" borderId="1" xfId="0" applyNumberFormat="1" applyFont="1" applyBorder="1"/>
    <xf numFmtId="0" fontId="19" fillId="0" borderId="0" xfId="0" applyFont="1" applyAlignment="1">
      <alignment vertical="center"/>
    </xf>
    <xf numFmtId="0" fontId="19" fillId="0" borderId="0" xfId="0" quotePrefix="1" applyFont="1" applyAlignment="1">
      <alignment vertical="center"/>
    </xf>
    <xf numFmtId="1" fontId="19" fillId="0" borderId="0" xfId="0" applyNumberFormat="1" applyFont="1" applyAlignment="1">
      <alignment horizontal="left" vertical="center"/>
    </xf>
    <xf numFmtId="0" fontId="17" fillId="0" borderId="2" xfId="0" applyFont="1" applyBorder="1" applyAlignment="1">
      <alignment horizontal="center"/>
    </xf>
    <xf numFmtId="0" fontId="17" fillId="0" borderId="3" xfId="0" applyFont="1" applyBorder="1" applyAlignment="1">
      <alignment horizontal="center"/>
    </xf>
    <xf numFmtId="0" fontId="19" fillId="0" borderId="0" xfId="0" applyFont="1" applyAlignment="1">
      <alignment horizontal="left"/>
    </xf>
    <xf numFmtId="168" fontId="19" fillId="0" borderId="0" xfId="2" applyNumberFormat="1" applyFont="1" applyAlignment="1">
      <alignment vertical="center"/>
    </xf>
    <xf numFmtId="0" fontId="22" fillId="0" borderId="0" xfId="2" applyFont="1" applyAlignment="1">
      <alignment vertical="center"/>
    </xf>
    <xf numFmtId="0" fontId="23" fillId="0" borderId="0" xfId="2" applyFont="1" applyAlignment="1">
      <alignment horizontal="center" vertical="center"/>
    </xf>
    <xf numFmtId="165" fontId="22" fillId="0" borderId="0" xfId="2" applyNumberFormat="1" applyFont="1" applyAlignment="1">
      <alignment vertical="center"/>
    </xf>
    <xf numFmtId="167" fontId="22" fillId="0" borderId="0" xfId="2" quotePrefix="1" applyNumberFormat="1" applyFont="1" applyAlignment="1">
      <alignment horizontal="left" vertical="center"/>
    </xf>
    <xf numFmtId="0" fontId="24" fillId="0" borderId="0" xfId="0" applyFont="1" applyAlignment="1">
      <alignment horizontal="left"/>
    </xf>
    <xf numFmtId="0" fontId="16" fillId="0" borderId="10" xfId="0" applyFont="1" applyBorder="1" applyAlignment="1">
      <alignment horizontal="left"/>
    </xf>
    <xf numFmtId="0" fontId="17" fillId="0" borderId="7" xfId="0" applyFont="1" applyBorder="1" applyAlignment="1">
      <alignment horizontal="center" vertical="center"/>
    </xf>
    <xf numFmtId="0" fontId="10" fillId="0" borderId="0" xfId="2" applyFont="1" applyAlignment="1">
      <alignment horizontal="center" vertical="center"/>
    </xf>
    <xf numFmtId="9" fontId="9" fillId="0" borderId="0" xfId="2" applyNumberFormat="1" applyFont="1" applyAlignment="1">
      <alignment horizontal="center" vertical="center"/>
    </xf>
    <xf numFmtId="168" fontId="9" fillId="0" borderId="0" xfId="2" applyNumberFormat="1" applyFont="1" applyAlignment="1">
      <alignment horizontal="center" vertical="center"/>
    </xf>
    <xf numFmtId="169" fontId="9" fillId="0" borderId="0" xfId="2" applyNumberFormat="1" applyFont="1" applyAlignment="1">
      <alignment horizontal="center" vertical="center"/>
    </xf>
    <xf numFmtId="0" fontId="22" fillId="0" borderId="0" xfId="2" quotePrefix="1" applyFont="1" applyAlignment="1">
      <alignment horizontal="left" vertical="center"/>
    </xf>
    <xf numFmtId="0" fontId="25" fillId="0" borderId="0" xfId="1" applyFont="1" applyAlignment="1">
      <alignment vertical="center"/>
    </xf>
    <xf numFmtId="0" fontId="19" fillId="0" borderId="0" xfId="0" applyFont="1"/>
    <xf numFmtId="0" fontId="19" fillId="0" borderId="0" xfId="2" applyFont="1" applyAlignment="1">
      <alignment horizontal="left" vertical="center"/>
    </xf>
    <xf numFmtId="0" fontId="14" fillId="2" borderId="12" xfId="0" applyFont="1" applyFill="1" applyBorder="1" applyAlignment="1">
      <alignment horizontal="center" vertical="center"/>
    </xf>
    <xf numFmtId="20" fontId="16" fillId="3" borderId="15" xfId="0" quotePrefix="1" applyNumberFormat="1" applyFont="1" applyFill="1" applyBorder="1" applyAlignment="1">
      <alignment horizontal="center" vertical="center"/>
    </xf>
    <xf numFmtId="0" fontId="16" fillId="3" borderId="16" xfId="0" applyFont="1" applyFill="1" applyBorder="1" applyAlignment="1">
      <alignment horizontal="center" vertical="center"/>
    </xf>
    <xf numFmtId="0" fontId="16" fillId="0" borderId="17" xfId="0" quotePrefix="1" applyFont="1" applyBorder="1" applyAlignment="1">
      <alignment horizontal="center"/>
    </xf>
    <xf numFmtId="168" fontId="17" fillId="0" borderId="18" xfId="0" applyNumberFormat="1" applyFont="1" applyBorder="1" applyAlignment="1">
      <alignment horizontal="center" vertical="center"/>
    </xf>
    <xf numFmtId="168" fontId="17" fillId="0" borderId="19" xfId="0" applyNumberFormat="1" applyFont="1" applyBorder="1" applyAlignment="1">
      <alignment horizontal="center" vertical="center"/>
    </xf>
    <xf numFmtId="0" fontId="16" fillId="0" borderId="17" xfId="0" applyFont="1" applyBorder="1" applyAlignment="1">
      <alignment horizontal="center"/>
    </xf>
    <xf numFmtId="168" fontId="17" fillId="0" borderId="19" xfId="0" applyNumberFormat="1" applyFont="1" applyBorder="1" applyAlignment="1">
      <alignment horizontal="center"/>
    </xf>
    <xf numFmtId="168" fontId="16" fillId="0" borderId="18" xfId="0" applyNumberFormat="1" applyFont="1" applyBorder="1" applyAlignment="1">
      <alignment horizontal="center"/>
    </xf>
    <xf numFmtId="0" fontId="0" fillId="0" borderId="17" xfId="0" applyBorder="1" applyAlignment="1">
      <alignment horizontal="center"/>
    </xf>
    <xf numFmtId="168" fontId="0" fillId="0" borderId="18" xfId="0" applyNumberFormat="1" applyBorder="1"/>
    <xf numFmtId="0" fontId="18" fillId="0" borderId="17" xfId="0" applyFont="1" applyBorder="1" applyAlignment="1">
      <alignment horizontal="center"/>
    </xf>
    <xf numFmtId="168" fontId="18" fillId="0" borderId="18" xfId="0" applyNumberFormat="1" applyFont="1" applyBorder="1"/>
    <xf numFmtId="0" fontId="18" fillId="0" borderId="20" xfId="0" applyFont="1" applyBorder="1" applyAlignment="1">
      <alignment horizontal="center"/>
    </xf>
    <xf numFmtId="0" fontId="18" fillId="0" borderId="21" xfId="0" applyFont="1" applyBorder="1" applyAlignment="1">
      <alignment horizontal="center"/>
    </xf>
    <xf numFmtId="168" fontId="16" fillId="0" borderId="19" xfId="0" applyNumberFormat="1" applyFont="1" applyBorder="1" applyAlignment="1">
      <alignment horizontal="center"/>
    </xf>
    <xf numFmtId="168" fontId="18" fillId="0" borderId="22" xfId="0" applyNumberFormat="1" applyFont="1" applyBorder="1"/>
    <xf numFmtId="20" fontId="16" fillId="0" borderId="17" xfId="0" quotePrefix="1" applyNumberFormat="1" applyFont="1" applyBorder="1" applyAlignment="1">
      <alignment horizontal="center" vertical="center"/>
    </xf>
    <xf numFmtId="0" fontId="6" fillId="0" borderId="19" xfId="0" quotePrefix="1" applyFont="1" applyBorder="1" applyAlignment="1">
      <alignment vertical="center" wrapText="1"/>
    </xf>
    <xf numFmtId="0" fontId="15" fillId="3" borderId="23" xfId="0" applyFont="1" applyFill="1" applyBorder="1" applyAlignment="1">
      <alignment horizontal="center" vertical="center"/>
    </xf>
    <xf numFmtId="0" fontId="15" fillId="0" borderId="23" xfId="0" applyFont="1" applyBorder="1" applyAlignment="1">
      <alignment horizontal="center" vertical="center"/>
    </xf>
    <xf numFmtId="0" fontId="15" fillId="0" borderId="17" xfId="0" applyFont="1" applyBorder="1" applyAlignment="1">
      <alignment horizontal="center" vertical="center"/>
    </xf>
    <xf numFmtId="168" fontId="16" fillId="4" borderId="16" xfId="0" applyNumberFormat="1" applyFont="1" applyFill="1" applyBorder="1" applyAlignment="1">
      <alignment horizontal="center" vertical="center"/>
    </xf>
    <xf numFmtId="168" fontId="16" fillId="4" borderId="27" xfId="0" applyNumberFormat="1" applyFont="1" applyFill="1" applyBorder="1" applyAlignment="1">
      <alignment horizontal="center" vertical="center"/>
    </xf>
    <xf numFmtId="0" fontId="17" fillId="0" borderId="10"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center"/>
    </xf>
    <xf numFmtId="0" fontId="17" fillId="0" borderId="0" xfId="0" applyFont="1" applyAlignment="1">
      <alignment horizontal="center" vertical="center"/>
    </xf>
    <xf numFmtId="0" fontId="17" fillId="0" borderId="0" xfId="0" applyFont="1" applyAlignment="1">
      <alignment horizontal="left"/>
    </xf>
    <xf numFmtId="0" fontId="17" fillId="0" borderId="0" xfId="0" applyFont="1" applyAlignment="1">
      <alignment horizontal="center"/>
    </xf>
    <xf numFmtId="0" fontId="18" fillId="0" borderId="0" xfId="0" quotePrefix="1" applyFont="1" applyAlignment="1">
      <alignment vertical="center"/>
    </xf>
    <xf numFmtId="0" fontId="18" fillId="0" borderId="0" xfId="0" applyFont="1" applyAlignment="1">
      <alignment vertical="center" wrapText="1"/>
    </xf>
    <xf numFmtId="0" fontId="18" fillId="0" borderId="0" xfId="0" quotePrefix="1" applyFont="1" applyAlignment="1">
      <alignment horizontal="left" vertical="top" wrapText="1"/>
    </xf>
    <xf numFmtId="0" fontId="18" fillId="0" borderId="0" xfId="0" applyFont="1"/>
    <xf numFmtId="0" fontId="16" fillId="0" borderId="0" xfId="0" applyFont="1" applyAlignment="1">
      <alignment horizontal="left" vertical="center"/>
    </xf>
    <xf numFmtId="0" fontId="6" fillId="0" borderId="0" xfId="0" quotePrefix="1" applyFont="1" applyAlignment="1">
      <alignment vertical="center" wrapText="1"/>
    </xf>
    <xf numFmtId="0" fontId="17" fillId="0" borderId="0" xfId="0" applyFont="1" applyAlignment="1">
      <alignment horizontal="left" vertical="center"/>
    </xf>
    <xf numFmtId="0" fontId="15" fillId="0" borderId="28" xfId="0" applyFont="1" applyBorder="1" applyAlignment="1">
      <alignment horizontal="center" vertical="center"/>
    </xf>
    <xf numFmtId="0" fontId="18" fillId="0" borderId="29" xfId="2" applyFont="1" applyBorder="1" applyAlignment="1">
      <alignment horizontal="center" vertical="center"/>
    </xf>
    <xf numFmtId="0" fontId="17" fillId="0" borderId="29" xfId="0" applyFont="1" applyBorder="1" applyAlignment="1">
      <alignment horizontal="left" vertical="center"/>
    </xf>
    <xf numFmtId="0" fontId="16" fillId="0" borderId="29" xfId="0" applyFont="1" applyBorder="1" applyAlignment="1">
      <alignment horizontal="left" vertical="center"/>
    </xf>
    <xf numFmtId="0" fontId="17" fillId="0" borderId="30" xfId="0" applyFont="1" applyBorder="1" applyAlignment="1">
      <alignment horizontal="center" vertical="center"/>
    </xf>
    <xf numFmtId="0" fontId="17" fillId="0" borderId="31" xfId="0" applyFont="1" applyBorder="1" applyAlignment="1">
      <alignment horizontal="center" vertical="center"/>
    </xf>
    <xf numFmtId="168" fontId="17" fillId="0" borderId="33" xfId="0" applyNumberFormat="1" applyFont="1" applyBorder="1" applyAlignment="1">
      <alignment horizontal="center" vertical="center"/>
    </xf>
    <xf numFmtId="168" fontId="16" fillId="4" borderId="36" xfId="0" applyNumberFormat="1" applyFont="1" applyFill="1" applyBorder="1" applyAlignment="1">
      <alignment horizontal="center" vertical="center"/>
    </xf>
    <xf numFmtId="0" fontId="1" fillId="0" borderId="0" xfId="7" applyAlignment="1">
      <alignment horizontal="center"/>
    </xf>
    <xf numFmtId="0" fontId="1" fillId="0" borderId="0" xfId="7"/>
    <xf numFmtId="0" fontId="1" fillId="0" borderId="0" xfId="7" applyAlignment="1">
      <alignment horizontal="left"/>
    </xf>
    <xf numFmtId="0" fontId="27" fillId="0" borderId="0" xfId="7" applyFont="1" applyAlignment="1">
      <alignment vertical="center"/>
    </xf>
    <xf numFmtId="0" fontId="27" fillId="0" borderId="0" xfId="7" applyFont="1" applyAlignment="1">
      <alignment horizontal="left" vertical="center"/>
    </xf>
    <xf numFmtId="0" fontId="28" fillId="0" borderId="9" xfId="7" applyFont="1" applyBorder="1" applyAlignment="1">
      <alignment horizontal="center" vertical="center"/>
    </xf>
    <xf numFmtId="0" fontId="28" fillId="6" borderId="9" xfId="7" applyFont="1" applyFill="1" applyBorder="1" applyAlignment="1">
      <alignment horizontal="center" vertical="center" wrapText="1"/>
    </xf>
    <xf numFmtId="0" fontId="28" fillId="0" borderId="9" xfId="7" applyFont="1" applyBorder="1" applyAlignment="1">
      <alignment horizontal="left" vertical="center" wrapText="1"/>
    </xf>
    <xf numFmtId="170" fontId="28" fillId="0" borderId="9" xfId="7" applyNumberFormat="1" applyFont="1" applyBorder="1" applyAlignment="1">
      <alignment horizontal="center" vertical="center"/>
    </xf>
    <xf numFmtId="42" fontId="28" fillId="0" borderId="9" xfId="8" applyFont="1" applyFill="1" applyBorder="1" applyAlignment="1">
      <alignment horizontal="center" vertical="center"/>
    </xf>
    <xf numFmtId="0" fontId="28" fillId="0" borderId="9" xfId="7" applyFont="1" applyBorder="1" applyAlignment="1">
      <alignment horizontal="center" vertical="center" wrapText="1"/>
    </xf>
    <xf numFmtId="42" fontId="28" fillId="0" borderId="9" xfId="7" applyNumberFormat="1" applyFont="1" applyBorder="1" applyAlignment="1">
      <alignment horizontal="center" vertical="center"/>
    </xf>
    <xf numFmtId="0" fontId="28" fillId="0" borderId="2" xfId="7" applyFont="1" applyBorder="1" applyAlignment="1">
      <alignment horizontal="center" vertical="center" wrapText="1"/>
    </xf>
    <xf numFmtId="0" fontId="28" fillId="0" borderId="9" xfId="7" applyFont="1" applyBorder="1" applyAlignment="1">
      <alignment horizontal="left" wrapText="1"/>
    </xf>
    <xf numFmtId="0" fontId="27" fillId="0" borderId="9" xfId="7" applyFont="1" applyBorder="1" applyAlignment="1">
      <alignment horizontal="center" vertical="center"/>
    </xf>
    <xf numFmtId="0" fontId="28" fillId="0" borderId="37" xfId="7" applyFont="1" applyBorder="1" applyAlignment="1">
      <alignment horizontal="center" vertical="center"/>
    </xf>
    <xf numFmtId="0" fontId="28" fillId="0" borderId="2" xfId="7" applyFont="1" applyBorder="1" applyAlignment="1">
      <alignment horizontal="left" vertical="top" wrapText="1"/>
    </xf>
    <xf numFmtId="0" fontId="28" fillId="0" borderId="0" xfId="7" applyFont="1"/>
    <xf numFmtId="0" fontId="28" fillId="0" borderId="9" xfId="7" applyFont="1" applyBorder="1" applyAlignment="1">
      <alignment horizontal="left" vertical="center"/>
    </xf>
    <xf numFmtId="0" fontId="28" fillId="0" borderId="9" xfId="7" applyFont="1" applyBorder="1" applyAlignment="1">
      <alignment vertical="center" wrapText="1"/>
    </xf>
    <xf numFmtId="0" fontId="28" fillId="0" borderId="0" xfId="7" applyFont="1" applyAlignment="1">
      <alignment horizontal="left"/>
    </xf>
    <xf numFmtId="0" fontId="27" fillId="0" borderId="9" xfId="7" applyFont="1" applyBorder="1"/>
    <xf numFmtId="42" fontId="27" fillId="0" borderId="9" xfId="7" applyNumberFormat="1" applyFont="1" applyBorder="1"/>
    <xf numFmtId="168" fontId="18" fillId="0" borderId="7" xfId="0" applyNumberFormat="1" applyFont="1" applyBorder="1" applyAlignment="1">
      <alignment horizontal="center"/>
    </xf>
    <xf numFmtId="168" fontId="18" fillId="0" borderId="8" xfId="0" applyNumberFormat="1" applyFont="1" applyBorder="1" applyAlignment="1">
      <alignment horizontal="center"/>
    </xf>
    <xf numFmtId="43" fontId="0" fillId="0" borderId="0" xfId="9" applyFont="1"/>
    <xf numFmtId="0" fontId="16" fillId="0" borderId="7" xfId="0" applyFont="1" applyBorder="1" applyAlignment="1">
      <alignment horizontal="left"/>
    </xf>
    <xf numFmtId="168" fontId="17" fillId="0" borderId="7" xfId="0" applyNumberFormat="1" applyFont="1" applyBorder="1" applyAlignment="1">
      <alignment horizontal="center"/>
    </xf>
    <xf numFmtId="168" fontId="17" fillId="0" borderId="8" xfId="0" applyNumberFormat="1" applyFont="1" applyBorder="1" applyAlignment="1">
      <alignment horizontal="center"/>
    </xf>
    <xf numFmtId="168" fontId="12" fillId="0" borderId="7" xfId="0" applyNumberFormat="1" applyFont="1" applyBorder="1" applyAlignment="1">
      <alignment horizontal="center"/>
    </xf>
    <xf numFmtId="168" fontId="12" fillId="0" borderId="8" xfId="0" applyNumberFormat="1" applyFont="1" applyBorder="1" applyAlignment="1">
      <alignment horizontal="center"/>
    </xf>
    <xf numFmtId="168" fontId="16" fillId="3" borderId="5" xfId="0" applyNumberFormat="1" applyFont="1" applyFill="1" applyBorder="1" applyAlignment="1">
      <alignment horizontal="center" vertical="center"/>
    </xf>
    <xf numFmtId="168" fontId="16" fillId="3" borderId="6" xfId="0" applyNumberFormat="1" applyFont="1" applyFill="1" applyBorder="1" applyAlignment="1">
      <alignment horizontal="center" vertical="center"/>
    </xf>
    <xf numFmtId="168" fontId="18" fillId="0" borderId="10" xfId="0" applyNumberFormat="1" applyFont="1" applyBorder="1" applyAlignment="1">
      <alignment horizontal="center"/>
    </xf>
    <xf numFmtId="168" fontId="18" fillId="0" borderId="11" xfId="0" applyNumberFormat="1" applyFont="1" applyBorder="1" applyAlignment="1">
      <alignment horizontal="center"/>
    </xf>
    <xf numFmtId="168" fontId="18" fillId="0" borderId="7" xfId="0" applyNumberFormat="1" applyFont="1" applyBorder="1" applyAlignment="1">
      <alignment horizontal="center"/>
    </xf>
    <xf numFmtId="168" fontId="18" fillId="0" borderId="8" xfId="0" applyNumberFormat="1" applyFont="1" applyBorder="1" applyAlignment="1">
      <alignment horizontal="center"/>
    </xf>
    <xf numFmtId="0" fontId="16" fillId="3" borderId="9" xfId="0" applyFont="1" applyFill="1" applyBorder="1" applyAlignment="1">
      <alignment horizontal="left" vertical="center"/>
    </xf>
    <xf numFmtId="0" fontId="18" fillId="0" borderId="7" xfId="0" quotePrefix="1" applyFont="1" applyBorder="1" applyAlignment="1">
      <alignment horizontal="left" vertical="top" wrapText="1"/>
    </xf>
    <xf numFmtId="0" fontId="18" fillId="0" borderId="0" xfId="0" quotePrefix="1" applyFont="1" applyAlignment="1">
      <alignment horizontal="left" vertical="top" wrapText="1"/>
    </xf>
    <xf numFmtId="0" fontId="16" fillId="0" borderId="7" xfId="0" applyFont="1" applyBorder="1" applyAlignment="1">
      <alignment horizontal="left" vertical="top" wrapText="1"/>
    </xf>
    <xf numFmtId="0" fontId="16" fillId="0" borderId="0" xfId="0" applyFont="1" applyAlignment="1">
      <alignment horizontal="left" vertical="top" wrapText="1"/>
    </xf>
    <xf numFmtId="0" fontId="16" fillId="0" borderId="19" xfId="0" applyFont="1" applyBorder="1" applyAlignment="1">
      <alignment horizontal="left" vertical="top" wrapText="1"/>
    </xf>
    <xf numFmtId="168" fontId="17" fillId="0" borderId="10" xfId="0" applyNumberFormat="1" applyFont="1" applyBorder="1" applyAlignment="1">
      <alignment horizontal="center"/>
    </xf>
    <xf numFmtId="168" fontId="17" fillId="0" borderId="11" xfId="0" applyNumberFormat="1" applyFont="1" applyBorder="1" applyAlignment="1">
      <alignment horizontal="center"/>
    </xf>
    <xf numFmtId="0" fontId="13" fillId="0" borderId="0" xfId="2" applyFont="1" applyAlignment="1">
      <alignment horizontal="left" vertical="center"/>
    </xf>
    <xf numFmtId="0" fontId="9" fillId="0" borderId="0" xfId="2" applyFont="1" applyAlignment="1">
      <alignment horizontal="left" vertical="center"/>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xf>
    <xf numFmtId="0" fontId="19" fillId="0" borderId="0" xfId="0" applyFont="1" applyAlignment="1">
      <alignment horizontal="left" vertical="center" wrapText="1"/>
    </xf>
    <xf numFmtId="0" fontId="10" fillId="0" borderId="0" xfId="2" quotePrefix="1" applyFont="1" applyAlignment="1">
      <alignment vertical="center" wrapText="1"/>
    </xf>
    <xf numFmtId="0" fontId="18" fillId="0" borderId="0" xfId="2" applyFont="1" applyAlignment="1">
      <alignment horizontal="left" vertical="center" wrapText="1"/>
    </xf>
    <xf numFmtId="168" fontId="17" fillId="0" borderId="10" xfId="0" applyNumberFormat="1" applyFont="1" applyBorder="1" applyAlignment="1">
      <alignment horizontal="center" vertical="center"/>
    </xf>
    <xf numFmtId="168" fontId="17" fillId="0" borderId="11" xfId="0" applyNumberFormat="1" applyFont="1" applyBorder="1" applyAlignment="1">
      <alignment horizontal="center" vertical="center"/>
    </xf>
    <xf numFmtId="168" fontId="17" fillId="0" borderId="7" xfId="0" applyNumberFormat="1" applyFont="1" applyBorder="1" applyAlignment="1">
      <alignment horizontal="center" vertical="center"/>
    </xf>
    <xf numFmtId="168" fontId="17" fillId="0" borderId="8" xfId="0" applyNumberFormat="1" applyFont="1" applyBorder="1" applyAlignment="1">
      <alignment horizontal="center" vertical="center"/>
    </xf>
    <xf numFmtId="168" fontId="17" fillId="0" borderId="30" xfId="0" applyNumberFormat="1" applyFont="1" applyBorder="1" applyAlignment="1">
      <alignment horizontal="center" vertical="center"/>
    </xf>
    <xf numFmtId="168" fontId="17" fillId="0" borderId="32" xfId="0" applyNumberFormat="1" applyFont="1" applyBorder="1" applyAlignment="1">
      <alignment horizontal="center" vertical="center"/>
    </xf>
    <xf numFmtId="168" fontId="16" fillId="5" borderId="34" xfId="0" applyNumberFormat="1" applyFont="1" applyFill="1" applyBorder="1" applyAlignment="1">
      <alignment horizontal="left" vertical="center"/>
    </xf>
    <xf numFmtId="168" fontId="16" fillId="5" borderId="35" xfId="0" applyNumberFormat="1" applyFont="1" applyFill="1" applyBorder="1" applyAlignment="1">
      <alignment horizontal="left" vertical="center"/>
    </xf>
    <xf numFmtId="168" fontId="16" fillId="5" borderId="24" xfId="0" applyNumberFormat="1" applyFont="1" applyFill="1" applyBorder="1" applyAlignment="1">
      <alignment horizontal="left" vertical="center"/>
    </xf>
    <xf numFmtId="168" fontId="16" fillId="5" borderId="6" xfId="0" applyNumberFormat="1" applyFont="1" applyFill="1" applyBorder="1" applyAlignment="1">
      <alignment horizontal="left" vertical="center"/>
    </xf>
    <xf numFmtId="168" fontId="16" fillId="5" borderId="25" xfId="0" applyNumberFormat="1" applyFont="1" applyFill="1" applyBorder="1" applyAlignment="1">
      <alignment horizontal="left" vertical="center"/>
    </xf>
    <xf numFmtId="168" fontId="16" fillId="5" borderId="26" xfId="0" applyNumberFormat="1" applyFont="1" applyFill="1" applyBorder="1" applyAlignment="1">
      <alignment horizontal="left" vertical="center"/>
    </xf>
    <xf numFmtId="0" fontId="28" fillId="0" borderId="5" xfId="7" applyFont="1" applyBorder="1" applyAlignment="1">
      <alignment horizontal="center" vertical="center" wrapText="1"/>
    </xf>
    <xf numFmtId="0" fontId="28" fillId="0" borderId="6" xfId="7" applyFont="1" applyBorder="1" applyAlignment="1">
      <alignment horizontal="center" vertical="center" wrapText="1"/>
    </xf>
    <xf numFmtId="0" fontId="28" fillId="0" borderId="5" xfId="7" applyFont="1" applyBorder="1" applyAlignment="1">
      <alignment horizontal="left" vertical="center" wrapText="1"/>
    </xf>
    <xf numFmtId="0" fontId="28" fillId="0" borderId="6" xfId="7" applyFont="1" applyBorder="1" applyAlignment="1">
      <alignment horizontal="left" vertical="center" wrapText="1"/>
    </xf>
    <xf numFmtId="0" fontId="26" fillId="0" borderId="0" xfId="7" applyFont="1" applyAlignment="1">
      <alignment horizontal="center" vertical="center"/>
    </xf>
    <xf numFmtId="0" fontId="27" fillId="0" borderId="0" xfId="7" applyFont="1" applyAlignment="1">
      <alignment horizontal="left" vertical="center" wrapText="1"/>
    </xf>
    <xf numFmtId="0" fontId="27" fillId="0" borderId="9" xfId="7" applyFont="1" applyBorder="1" applyAlignment="1">
      <alignment horizontal="center" vertical="center"/>
    </xf>
    <xf numFmtId="0" fontId="27" fillId="0" borderId="9" xfId="7" applyFont="1" applyBorder="1" applyAlignment="1">
      <alignment horizontal="center" vertical="center" wrapText="1"/>
    </xf>
    <xf numFmtId="0" fontId="27" fillId="0" borderId="9" xfId="7" applyFont="1" applyBorder="1" applyAlignment="1">
      <alignment horizontal="left" vertical="center" wrapText="1"/>
    </xf>
    <xf numFmtId="0" fontId="27" fillId="0" borderId="2" xfId="7" applyFont="1" applyBorder="1" applyAlignment="1">
      <alignment horizontal="center" vertical="center"/>
    </xf>
    <xf numFmtId="0" fontId="27" fillId="0" borderId="37" xfId="7" applyFont="1" applyBorder="1" applyAlignment="1">
      <alignment horizontal="center" vertical="center"/>
    </xf>
    <xf numFmtId="164" fontId="27" fillId="0" borderId="2" xfId="7" applyNumberFormat="1" applyFont="1" applyBorder="1" applyAlignment="1">
      <alignment horizontal="center" vertical="center" wrapText="1"/>
    </xf>
    <xf numFmtId="164" fontId="27" fillId="0" borderId="37" xfId="7" applyNumberFormat="1" applyFont="1" applyBorder="1" applyAlignment="1">
      <alignment horizontal="center" vertical="center" wrapText="1"/>
    </xf>
    <xf numFmtId="164" fontId="27" fillId="0" borderId="9" xfId="7" applyNumberFormat="1" applyFont="1" applyBorder="1" applyAlignment="1">
      <alignment horizontal="center" vertical="center"/>
    </xf>
  </cellXfs>
  <cellStyles count="10">
    <cellStyle name="Comma" xfId="9" builtinId="3"/>
    <cellStyle name="Comma [0] 2" xfId="3" xr:uid="{00000000-0005-0000-0000-000001000000}"/>
    <cellStyle name="Currency [0] 2" xfId="4" xr:uid="{00000000-0005-0000-0000-000002000000}"/>
    <cellStyle name="Currency [0] 3" xfId="5" xr:uid="{00000000-0005-0000-0000-000003000000}"/>
    <cellStyle name="Currency [0] 4" xfId="8" xr:uid="{00000000-0005-0000-0000-000004000000}"/>
    <cellStyle name="Hyperlink" xfId="1" builtinId="8"/>
    <cellStyle name="Normal" xfId="0" builtinId="0"/>
    <cellStyle name="Normal 2" xfId="2" xr:uid="{00000000-0005-0000-0000-000007000000}"/>
    <cellStyle name="Normal 2 2" xfId="6" xr:uid="{00000000-0005-0000-0000-000008000000}"/>
    <cellStyle name="Normal 3" xfId="7" xr:uid="{00000000-0005-0000-0000-000009000000}"/>
  </cellStyles>
  <dxfs count="2">
    <dxf>
      <font>
        <b val="0"/>
        <i/>
        <sz val="10"/>
        <color rgb="FFC00000"/>
        <name val="Calibri Light"/>
        <scheme val="none"/>
      </font>
    </dxf>
    <dxf>
      <font>
        <sz val="10"/>
        <color theme="1"/>
        <name val="Cambria"/>
        <scheme val="none"/>
      </font>
    </dxf>
  </dxfs>
  <tableStyles count="1" defaultTableStyle="TableStyleMedium2" defaultPivotStyle="PivotStyleLight16">
    <tableStyle name="Family Budget 2 2" pivot="0" table="0" count="10" xr9:uid="{00000000-0011-0000-FFFF-FFFF00000000}">
      <tableStyleElement type="wholeTable" dxfId="1"/>
      <tableStyleElement type="headerRow" dxfId="0"/>
    </tableStyle>
  </tableStyles>
  <extLst>
    <ext xmlns:x14="http://schemas.microsoft.com/office/spreadsheetml/2009/9/main" uri="{46F421CA-312F-682f-3DD2-61675219B42D}">
      <x14:dxfs count="8">
        <dxf>
          <font>
            <color theme="0" tint="-0.34998626667073579"/>
          </font>
          <fill>
            <patternFill patternType="solid">
              <bgColor theme="0" tint="-4.9989318521683403E-2"/>
            </patternFill>
          </fill>
          <border>
            <left style="thin">
              <color rgb="FF999999"/>
            </left>
            <right style="thin">
              <color rgb="FF999999"/>
            </right>
            <top style="thin">
              <color rgb="FF999999"/>
            </top>
            <bottom style="thin">
              <color rgb="FF999999"/>
            </bottom>
            <vertical/>
            <horizontal/>
          </border>
        </dxf>
        <dxf>
          <font>
            <color theme="0" tint="-0.34998626667073579"/>
          </font>
          <fill>
            <patternFill patternType="solid">
              <bgColor theme="0" tint="-0.14993743705557422"/>
            </patternFill>
          </fill>
          <border>
            <left style="thin">
              <color rgb="FF999999"/>
            </left>
            <right style="thin">
              <color rgb="FF999999"/>
            </right>
            <top style="thin">
              <color rgb="FF999999"/>
            </top>
            <bottom style="thin">
              <color rgb="FF999999"/>
            </bottom>
            <vertical/>
            <horizontal/>
          </border>
        </dxf>
        <dxf>
          <font>
            <color rgb="FF000000"/>
            <name val="Cambria"/>
            <scheme val="none"/>
          </font>
          <fill>
            <patternFill patternType="solid">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bgColor theme="4" tint="0.59996337778862885"/>
            </pattern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bgColor theme="0"/>
            </patternFill>
          </fill>
          <border>
            <left style="thin">
              <color rgb="FFCCCCCC"/>
            </left>
            <right style="thin">
              <color rgb="FFCCCCCC"/>
            </right>
            <top style="thin">
              <color rgb="FFCCCCCC"/>
            </top>
            <bottom style="thin">
              <color rgb="FFCCCCCC"/>
            </bottom>
            <vertical/>
            <horizontal/>
          </border>
        </dxf>
        <dxf>
          <font>
            <b val="0"/>
            <i val="0"/>
            <sz val="10"/>
            <color rgb="FFC00000"/>
            <name val="Cambria"/>
            <scheme val="none"/>
          </font>
          <fill>
            <patternFill patternType="solid">
              <fgColor theme="6" tint="0.59999389629810485"/>
              <bgColor theme="0" tint="-4.9989318521683403E-2"/>
            </pattern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z val="10"/>
            <color theme="1" tint="0.24994659260841701"/>
            <name val="Cambria"/>
            <scheme val="none"/>
          </font>
          <fill>
            <patternFill patternType="none"/>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Family Budget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4.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63" Type="http://schemas.openxmlformats.org/officeDocument/2006/relationships/externalLink" Target="externalLinks/externalLink60.xml"/><Relationship Id="rId84" Type="http://schemas.openxmlformats.org/officeDocument/2006/relationships/externalLink" Target="externalLinks/externalLink81.xml"/><Relationship Id="rId138" Type="http://schemas.openxmlformats.org/officeDocument/2006/relationships/externalLink" Target="externalLinks/externalLink135.xml"/><Relationship Id="rId159" Type="http://schemas.openxmlformats.org/officeDocument/2006/relationships/externalLink" Target="externalLinks/externalLink156.xml"/><Relationship Id="rId170" Type="http://schemas.openxmlformats.org/officeDocument/2006/relationships/externalLink" Target="externalLinks/externalLink167.xml"/><Relationship Id="rId191" Type="http://schemas.openxmlformats.org/officeDocument/2006/relationships/externalLink" Target="externalLinks/externalLink188.xml"/><Relationship Id="rId205" Type="http://schemas.openxmlformats.org/officeDocument/2006/relationships/calcChain" Target="calcChain.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53" Type="http://schemas.openxmlformats.org/officeDocument/2006/relationships/externalLink" Target="externalLinks/externalLink50.xml"/><Relationship Id="rId74" Type="http://schemas.openxmlformats.org/officeDocument/2006/relationships/externalLink" Target="externalLinks/externalLink71.xml"/><Relationship Id="rId128" Type="http://schemas.openxmlformats.org/officeDocument/2006/relationships/externalLink" Target="externalLinks/externalLink125.xml"/><Relationship Id="rId149" Type="http://schemas.openxmlformats.org/officeDocument/2006/relationships/externalLink" Target="externalLinks/externalLink146.xml"/><Relationship Id="rId5" Type="http://schemas.openxmlformats.org/officeDocument/2006/relationships/externalLink" Target="externalLinks/externalLink2.xml"/><Relationship Id="rId95" Type="http://schemas.openxmlformats.org/officeDocument/2006/relationships/externalLink" Target="externalLinks/externalLink92.xml"/><Relationship Id="rId160" Type="http://schemas.openxmlformats.org/officeDocument/2006/relationships/externalLink" Target="externalLinks/externalLink157.xml"/><Relationship Id="rId181" Type="http://schemas.openxmlformats.org/officeDocument/2006/relationships/externalLink" Target="externalLinks/externalLink178.xml"/><Relationship Id="rId22" Type="http://schemas.openxmlformats.org/officeDocument/2006/relationships/externalLink" Target="externalLinks/externalLink19.xml"/><Relationship Id="rId43" Type="http://schemas.openxmlformats.org/officeDocument/2006/relationships/externalLink" Target="externalLinks/externalLink40.xml"/><Relationship Id="rId64" Type="http://schemas.openxmlformats.org/officeDocument/2006/relationships/externalLink" Target="externalLinks/externalLink61.xml"/><Relationship Id="rId118" Type="http://schemas.openxmlformats.org/officeDocument/2006/relationships/externalLink" Target="externalLinks/externalLink115.xml"/><Relationship Id="rId139" Type="http://schemas.openxmlformats.org/officeDocument/2006/relationships/externalLink" Target="externalLinks/externalLink136.xml"/><Relationship Id="rId85" Type="http://schemas.openxmlformats.org/officeDocument/2006/relationships/externalLink" Target="externalLinks/externalLink82.xml"/><Relationship Id="rId150" Type="http://schemas.openxmlformats.org/officeDocument/2006/relationships/externalLink" Target="externalLinks/externalLink147.xml"/><Relationship Id="rId171" Type="http://schemas.openxmlformats.org/officeDocument/2006/relationships/externalLink" Target="externalLinks/externalLink168.xml"/><Relationship Id="rId192" Type="http://schemas.openxmlformats.org/officeDocument/2006/relationships/externalLink" Target="externalLinks/externalLink189.xml"/><Relationship Id="rId12" Type="http://schemas.openxmlformats.org/officeDocument/2006/relationships/externalLink" Target="externalLinks/externalLink9.xml"/><Relationship Id="rId33" Type="http://schemas.openxmlformats.org/officeDocument/2006/relationships/externalLink" Target="externalLinks/externalLink30.xml"/><Relationship Id="rId108" Type="http://schemas.openxmlformats.org/officeDocument/2006/relationships/externalLink" Target="externalLinks/externalLink105.xml"/><Relationship Id="rId129" Type="http://schemas.openxmlformats.org/officeDocument/2006/relationships/externalLink" Target="externalLinks/externalLink126.xml"/><Relationship Id="rId54" Type="http://schemas.openxmlformats.org/officeDocument/2006/relationships/externalLink" Target="externalLinks/externalLink51.xml"/><Relationship Id="rId75" Type="http://schemas.openxmlformats.org/officeDocument/2006/relationships/externalLink" Target="externalLinks/externalLink72.xml"/><Relationship Id="rId96" Type="http://schemas.openxmlformats.org/officeDocument/2006/relationships/externalLink" Target="externalLinks/externalLink93.xml"/><Relationship Id="rId140" Type="http://schemas.openxmlformats.org/officeDocument/2006/relationships/externalLink" Target="externalLinks/externalLink137.xml"/><Relationship Id="rId161" Type="http://schemas.openxmlformats.org/officeDocument/2006/relationships/externalLink" Target="externalLinks/externalLink158.xml"/><Relationship Id="rId182" Type="http://schemas.openxmlformats.org/officeDocument/2006/relationships/externalLink" Target="externalLinks/externalLink179.xml"/><Relationship Id="rId6" Type="http://schemas.openxmlformats.org/officeDocument/2006/relationships/externalLink" Target="externalLinks/externalLink3.xml"/><Relationship Id="rId23" Type="http://schemas.openxmlformats.org/officeDocument/2006/relationships/externalLink" Target="externalLinks/externalLink20.xml"/><Relationship Id="rId119" Type="http://schemas.openxmlformats.org/officeDocument/2006/relationships/externalLink" Target="externalLinks/externalLink116.xml"/><Relationship Id="rId44" Type="http://schemas.openxmlformats.org/officeDocument/2006/relationships/externalLink" Target="externalLinks/externalLink41.xml"/><Relationship Id="rId65" Type="http://schemas.openxmlformats.org/officeDocument/2006/relationships/externalLink" Target="externalLinks/externalLink62.xml"/><Relationship Id="rId86" Type="http://schemas.openxmlformats.org/officeDocument/2006/relationships/externalLink" Target="externalLinks/externalLink83.xml"/><Relationship Id="rId130" Type="http://schemas.openxmlformats.org/officeDocument/2006/relationships/externalLink" Target="externalLinks/externalLink127.xml"/><Relationship Id="rId151" Type="http://schemas.openxmlformats.org/officeDocument/2006/relationships/externalLink" Target="externalLinks/externalLink148.xml"/><Relationship Id="rId172" Type="http://schemas.openxmlformats.org/officeDocument/2006/relationships/externalLink" Target="externalLinks/externalLink169.xml"/><Relationship Id="rId193" Type="http://schemas.openxmlformats.org/officeDocument/2006/relationships/externalLink" Target="externalLinks/externalLink190.xml"/><Relationship Id="rId13" Type="http://schemas.openxmlformats.org/officeDocument/2006/relationships/externalLink" Target="externalLinks/externalLink10.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20" Type="http://schemas.openxmlformats.org/officeDocument/2006/relationships/externalLink" Target="externalLinks/externalLink117.xml"/><Relationship Id="rId141" Type="http://schemas.openxmlformats.org/officeDocument/2006/relationships/externalLink" Target="externalLinks/externalLink138.xml"/><Relationship Id="rId7" Type="http://schemas.openxmlformats.org/officeDocument/2006/relationships/externalLink" Target="externalLinks/externalLink4.xml"/><Relationship Id="rId162" Type="http://schemas.openxmlformats.org/officeDocument/2006/relationships/externalLink" Target="externalLinks/externalLink159.xml"/><Relationship Id="rId183" Type="http://schemas.openxmlformats.org/officeDocument/2006/relationships/externalLink" Target="externalLinks/externalLink180.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externalLink" Target="externalLinks/externalLink112.xml"/><Relationship Id="rId131" Type="http://schemas.openxmlformats.org/officeDocument/2006/relationships/externalLink" Target="externalLinks/externalLink128.xml"/><Relationship Id="rId136" Type="http://schemas.openxmlformats.org/officeDocument/2006/relationships/externalLink" Target="externalLinks/externalLink133.xml"/><Relationship Id="rId157" Type="http://schemas.openxmlformats.org/officeDocument/2006/relationships/externalLink" Target="externalLinks/externalLink154.xml"/><Relationship Id="rId178" Type="http://schemas.openxmlformats.org/officeDocument/2006/relationships/externalLink" Target="externalLinks/externalLink175.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52" Type="http://schemas.openxmlformats.org/officeDocument/2006/relationships/externalLink" Target="externalLinks/externalLink149.xml"/><Relationship Id="rId173" Type="http://schemas.openxmlformats.org/officeDocument/2006/relationships/externalLink" Target="externalLinks/externalLink170.xml"/><Relationship Id="rId194" Type="http://schemas.openxmlformats.org/officeDocument/2006/relationships/externalLink" Target="externalLinks/externalLink191.xml"/><Relationship Id="rId199" Type="http://schemas.openxmlformats.org/officeDocument/2006/relationships/externalLink" Target="externalLinks/externalLink196.xml"/><Relationship Id="rId203" Type="http://schemas.openxmlformats.org/officeDocument/2006/relationships/styles" Target="styles.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126" Type="http://schemas.openxmlformats.org/officeDocument/2006/relationships/externalLink" Target="externalLinks/externalLink123.xml"/><Relationship Id="rId147" Type="http://schemas.openxmlformats.org/officeDocument/2006/relationships/externalLink" Target="externalLinks/externalLink144.xml"/><Relationship Id="rId168" Type="http://schemas.openxmlformats.org/officeDocument/2006/relationships/externalLink" Target="externalLinks/externalLink165.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121" Type="http://schemas.openxmlformats.org/officeDocument/2006/relationships/externalLink" Target="externalLinks/externalLink118.xml"/><Relationship Id="rId142" Type="http://schemas.openxmlformats.org/officeDocument/2006/relationships/externalLink" Target="externalLinks/externalLink139.xml"/><Relationship Id="rId163" Type="http://schemas.openxmlformats.org/officeDocument/2006/relationships/externalLink" Target="externalLinks/externalLink160.xml"/><Relationship Id="rId184" Type="http://schemas.openxmlformats.org/officeDocument/2006/relationships/externalLink" Target="externalLinks/externalLink181.xml"/><Relationship Id="rId189" Type="http://schemas.openxmlformats.org/officeDocument/2006/relationships/externalLink" Target="externalLinks/externalLink186.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116" Type="http://schemas.openxmlformats.org/officeDocument/2006/relationships/externalLink" Target="externalLinks/externalLink113.xml"/><Relationship Id="rId137" Type="http://schemas.openxmlformats.org/officeDocument/2006/relationships/externalLink" Target="externalLinks/externalLink134.xml"/><Relationship Id="rId158" Type="http://schemas.openxmlformats.org/officeDocument/2006/relationships/externalLink" Target="externalLinks/externalLink155.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111" Type="http://schemas.openxmlformats.org/officeDocument/2006/relationships/externalLink" Target="externalLinks/externalLink108.xml"/><Relationship Id="rId132" Type="http://schemas.openxmlformats.org/officeDocument/2006/relationships/externalLink" Target="externalLinks/externalLink129.xml"/><Relationship Id="rId153" Type="http://schemas.openxmlformats.org/officeDocument/2006/relationships/externalLink" Target="externalLinks/externalLink150.xml"/><Relationship Id="rId174" Type="http://schemas.openxmlformats.org/officeDocument/2006/relationships/externalLink" Target="externalLinks/externalLink171.xml"/><Relationship Id="rId179" Type="http://schemas.openxmlformats.org/officeDocument/2006/relationships/externalLink" Target="externalLinks/externalLink176.xml"/><Relationship Id="rId195" Type="http://schemas.openxmlformats.org/officeDocument/2006/relationships/externalLink" Target="externalLinks/externalLink192.xml"/><Relationship Id="rId190" Type="http://schemas.openxmlformats.org/officeDocument/2006/relationships/externalLink" Target="externalLinks/externalLink187.xml"/><Relationship Id="rId204" Type="http://schemas.openxmlformats.org/officeDocument/2006/relationships/sharedStrings" Target="sharedStrings.xml"/><Relationship Id="rId15" Type="http://schemas.openxmlformats.org/officeDocument/2006/relationships/externalLink" Target="externalLinks/externalLink12.xml"/><Relationship Id="rId36" Type="http://schemas.openxmlformats.org/officeDocument/2006/relationships/externalLink" Target="externalLinks/externalLink33.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 Id="rId127" Type="http://schemas.openxmlformats.org/officeDocument/2006/relationships/externalLink" Target="externalLinks/externalLink12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52" Type="http://schemas.openxmlformats.org/officeDocument/2006/relationships/externalLink" Target="externalLinks/externalLink49.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122" Type="http://schemas.openxmlformats.org/officeDocument/2006/relationships/externalLink" Target="externalLinks/externalLink119.xml"/><Relationship Id="rId143" Type="http://schemas.openxmlformats.org/officeDocument/2006/relationships/externalLink" Target="externalLinks/externalLink140.xml"/><Relationship Id="rId148" Type="http://schemas.openxmlformats.org/officeDocument/2006/relationships/externalLink" Target="externalLinks/externalLink145.xml"/><Relationship Id="rId164" Type="http://schemas.openxmlformats.org/officeDocument/2006/relationships/externalLink" Target="externalLinks/externalLink161.xml"/><Relationship Id="rId169" Type="http://schemas.openxmlformats.org/officeDocument/2006/relationships/externalLink" Target="externalLinks/externalLink166.xml"/><Relationship Id="rId185" Type="http://schemas.openxmlformats.org/officeDocument/2006/relationships/externalLink" Target="externalLinks/externalLink182.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80" Type="http://schemas.openxmlformats.org/officeDocument/2006/relationships/externalLink" Target="externalLinks/externalLink177.xml"/><Relationship Id="rId26" Type="http://schemas.openxmlformats.org/officeDocument/2006/relationships/externalLink" Target="externalLinks/externalLink23.xml"/><Relationship Id="rId47" Type="http://schemas.openxmlformats.org/officeDocument/2006/relationships/externalLink" Target="externalLinks/externalLink44.xml"/><Relationship Id="rId68" Type="http://schemas.openxmlformats.org/officeDocument/2006/relationships/externalLink" Target="externalLinks/externalLink65.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33" Type="http://schemas.openxmlformats.org/officeDocument/2006/relationships/externalLink" Target="externalLinks/externalLink130.xml"/><Relationship Id="rId154" Type="http://schemas.openxmlformats.org/officeDocument/2006/relationships/externalLink" Target="externalLinks/externalLink151.xml"/><Relationship Id="rId175" Type="http://schemas.openxmlformats.org/officeDocument/2006/relationships/externalLink" Target="externalLinks/externalLink172.xml"/><Relationship Id="rId196" Type="http://schemas.openxmlformats.org/officeDocument/2006/relationships/externalLink" Target="externalLinks/externalLink193.xml"/><Relationship Id="rId200" Type="http://schemas.openxmlformats.org/officeDocument/2006/relationships/externalLink" Target="externalLinks/externalLink197.xml"/><Relationship Id="rId16" Type="http://schemas.openxmlformats.org/officeDocument/2006/relationships/externalLink" Target="externalLinks/externalLink13.xml"/><Relationship Id="rId37" Type="http://schemas.openxmlformats.org/officeDocument/2006/relationships/externalLink" Target="externalLinks/externalLink34.xml"/><Relationship Id="rId58" Type="http://schemas.openxmlformats.org/officeDocument/2006/relationships/externalLink" Target="externalLinks/externalLink55.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123" Type="http://schemas.openxmlformats.org/officeDocument/2006/relationships/externalLink" Target="externalLinks/externalLink120.xml"/><Relationship Id="rId144" Type="http://schemas.openxmlformats.org/officeDocument/2006/relationships/externalLink" Target="externalLinks/externalLink141.xml"/><Relationship Id="rId90" Type="http://schemas.openxmlformats.org/officeDocument/2006/relationships/externalLink" Target="externalLinks/externalLink87.xml"/><Relationship Id="rId165" Type="http://schemas.openxmlformats.org/officeDocument/2006/relationships/externalLink" Target="externalLinks/externalLink162.xml"/><Relationship Id="rId186" Type="http://schemas.openxmlformats.org/officeDocument/2006/relationships/externalLink" Target="externalLinks/externalLink183.xml"/><Relationship Id="rId27" Type="http://schemas.openxmlformats.org/officeDocument/2006/relationships/externalLink" Target="externalLinks/externalLink24.xml"/><Relationship Id="rId48" Type="http://schemas.openxmlformats.org/officeDocument/2006/relationships/externalLink" Target="externalLinks/externalLink45.xml"/><Relationship Id="rId69" Type="http://schemas.openxmlformats.org/officeDocument/2006/relationships/externalLink" Target="externalLinks/externalLink66.xml"/><Relationship Id="rId113" Type="http://schemas.openxmlformats.org/officeDocument/2006/relationships/externalLink" Target="externalLinks/externalLink110.xml"/><Relationship Id="rId134" Type="http://schemas.openxmlformats.org/officeDocument/2006/relationships/externalLink" Target="externalLinks/externalLink131.xml"/><Relationship Id="rId80" Type="http://schemas.openxmlformats.org/officeDocument/2006/relationships/externalLink" Target="externalLinks/externalLink77.xml"/><Relationship Id="rId155" Type="http://schemas.openxmlformats.org/officeDocument/2006/relationships/externalLink" Target="externalLinks/externalLink152.xml"/><Relationship Id="rId176" Type="http://schemas.openxmlformats.org/officeDocument/2006/relationships/externalLink" Target="externalLinks/externalLink173.xml"/><Relationship Id="rId197" Type="http://schemas.openxmlformats.org/officeDocument/2006/relationships/externalLink" Target="externalLinks/externalLink194.xml"/><Relationship Id="rId201" Type="http://schemas.openxmlformats.org/officeDocument/2006/relationships/externalLink" Target="externalLinks/externalLink198.xml"/><Relationship Id="rId17" Type="http://schemas.openxmlformats.org/officeDocument/2006/relationships/externalLink" Target="externalLinks/externalLink14.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24" Type="http://schemas.openxmlformats.org/officeDocument/2006/relationships/externalLink" Target="externalLinks/externalLink121.xml"/><Relationship Id="rId70" Type="http://schemas.openxmlformats.org/officeDocument/2006/relationships/externalLink" Target="externalLinks/externalLink67.xml"/><Relationship Id="rId91" Type="http://schemas.openxmlformats.org/officeDocument/2006/relationships/externalLink" Target="externalLinks/externalLink88.xml"/><Relationship Id="rId145" Type="http://schemas.openxmlformats.org/officeDocument/2006/relationships/externalLink" Target="externalLinks/externalLink142.xml"/><Relationship Id="rId166" Type="http://schemas.openxmlformats.org/officeDocument/2006/relationships/externalLink" Target="externalLinks/externalLink163.xml"/><Relationship Id="rId187" Type="http://schemas.openxmlformats.org/officeDocument/2006/relationships/externalLink" Target="externalLinks/externalLink184.xml"/><Relationship Id="rId1" Type="http://schemas.openxmlformats.org/officeDocument/2006/relationships/worksheet" Target="worksheets/sheet1.xml"/><Relationship Id="rId28" Type="http://schemas.openxmlformats.org/officeDocument/2006/relationships/externalLink" Target="externalLinks/externalLink25.xml"/><Relationship Id="rId49" Type="http://schemas.openxmlformats.org/officeDocument/2006/relationships/externalLink" Target="externalLinks/externalLink46.xml"/><Relationship Id="rId114" Type="http://schemas.openxmlformats.org/officeDocument/2006/relationships/externalLink" Target="externalLinks/externalLink111.xml"/><Relationship Id="rId60" Type="http://schemas.openxmlformats.org/officeDocument/2006/relationships/externalLink" Target="externalLinks/externalLink57.xml"/><Relationship Id="rId81" Type="http://schemas.openxmlformats.org/officeDocument/2006/relationships/externalLink" Target="externalLinks/externalLink78.xml"/><Relationship Id="rId135" Type="http://schemas.openxmlformats.org/officeDocument/2006/relationships/externalLink" Target="externalLinks/externalLink132.xml"/><Relationship Id="rId156" Type="http://schemas.openxmlformats.org/officeDocument/2006/relationships/externalLink" Target="externalLinks/externalLink153.xml"/><Relationship Id="rId177" Type="http://schemas.openxmlformats.org/officeDocument/2006/relationships/externalLink" Target="externalLinks/externalLink174.xml"/><Relationship Id="rId198" Type="http://schemas.openxmlformats.org/officeDocument/2006/relationships/externalLink" Target="externalLinks/externalLink195.xml"/><Relationship Id="rId202" Type="http://schemas.openxmlformats.org/officeDocument/2006/relationships/theme" Target="theme/theme1.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50" Type="http://schemas.openxmlformats.org/officeDocument/2006/relationships/externalLink" Target="externalLinks/externalLink47.xml"/><Relationship Id="rId104" Type="http://schemas.openxmlformats.org/officeDocument/2006/relationships/externalLink" Target="externalLinks/externalLink101.xml"/><Relationship Id="rId125" Type="http://schemas.openxmlformats.org/officeDocument/2006/relationships/externalLink" Target="externalLinks/externalLink122.xml"/><Relationship Id="rId146" Type="http://schemas.openxmlformats.org/officeDocument/2006/relationships/externalLink" Target="externalLinks/externalLink143.xml"/><Relationship Id="rId167" Type="http://schemas.openxmlformats.org/officeDocument/2006/relationships/externalLink" Target="externalLinks/externalLink164.xml"/><Relationship Id="rId188" Type="http://schemas.openxmlformats.org/officeDocument/2006/relationships/externalLink" Target="externalLinks/externalLink185.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2" Type="http://schemas.openxmlformats.org/officeDocument/2006/relationships/worksheet" Target="worksheets/sheet2.xml"/><Relationship Id="rId29" Type="http://schemas.openxmlformats.org/officeDocument/2006/relationships/externalLink" Target="externalLinks/externalLink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92364</xdr:colOff>
      <xdr:row>1</xdr:row>
      <xdr:rowOff>9646</xdr:rowOff>
    </xdr:from>
    <xdr:to>
      <xdr:col>4</xdr:col>
      <xdr:colOff>2226714</xdr:colOff>
      <xdr:row>5</xdr:row>
      <xdr:rowOff>67895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24955" b="16230"/>
        <a:stretch/>
      </xdr:blipFill>
      <xdr:spPr bwMode="auto">
        <a:xfrm>
          <a:off x="323273" y="229010"/>
          <a:ext cx="8660831" cy="1131976"/>
        </a:xfrm>
        <a:prstGeom prst="rect">
          <a:avLst/>
        </a:prstGeom>
        <a:noFill/>
        <a:ln>
          <a:noFill/>
        </a:ln>
      </xdr:spPr>
    </xdr:pic>
    <xdr:clientData/>
  </xdr:twoCellAnchor>
  <xdr:twoCellAnchor editAs="oneCell">
    <xdr:from>
      <xdr:col>7</xdr:col>
      <xdr:colOff>900545</xdr:colOff>
      <xdr:row>0</xdr:row>
      <xdr:rowOff>198054</xdr:rowOff>
    </xdr:from>
    <xdr:to>
      <xdr:col>9</xdr:col>
      <xdr:colOff>1510902</xdr:colOff>
      <xdr:row>4</xdr:row>
      <xdr:rowOff>131921</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6806" r="1521" b="15108"/>
        <a:stretch/>
      </xdr:blipFill>
      <xdr:spPr bwMode="auto">
        <a:xfrm>
          <a:off x="11684000" y="198054"/>
          <a:ext cx="2446084" cy="100759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20</xdr:row>
      <xdr:rowOff>0</xdr:rowOff>
    </xdr:from>
    <xdr:ext cx="304800" cy="304800"/>
    <xdr:sp macro="" textlink="">
      <xdr:nvSpPr>
        <xdr:cNvPr id="2" name="AutoShape 8" descr="Jual Seal Tape ONDA di Lapak KIAN CITRA ABADI | Bukalapak">
          <a:extLst>
            <a:ext uri="{FF2B5EF4-FFF2-40B4-BE49-F238E27FC236}">
              <a16:creationId xmlns:a16="http://schemas.microsoft.com/office/drawing/2014/main" id="{00000000-0008-0000-0200-000002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3" name="AutoShape 8" descr="Jual Seal Tape ONDA di Lapak KIAN CITRA ABADI | Bukalapak">
          <a:extLst>
            <a:ext uri="{FF2B5EF4-FFF2-40B4-BE49-F238E27FC236}">
              <a16:creationId xmlns:a16="http://schemas.microsoft.com/office/drawing/2014/main" id="{00000000-0008-0000-0200-000003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4" name="AutoShape 8" descr="Jual Seal Tape ONDA di Lapak KIAN CITRA ABADI | Bukalapak">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261938</xdr:colOff>
      <xdr:row>20</xdr:row>
      <xdr:rowOff>0</xdr:rowOff>
    </xdr:from>
    <xdr:ext cx="304800" cy="304800"/>
    <xdr:sp macro="" textlink="">
      <xdr:nvSpPr>
        <xdr:cNvPr id="5" name="AutoShape 8" descr="Jual Seal Tape ONDA di Lapak KIAN CITRA ABADI | Bukalapak">
          <a:extLst>
            <a:ext uri="{FF2B5EF4-FFF2-40B4-BE49-F238E27FC236}">
              <a16:creationId xmlns:a16="http://schemas.microsoft.com/office/drawing/2014/main" id="{00000000-0008-0000-0200-000005000000}"/>
            </a:ext>
          </a:extLst>
        </xdr:cNvPr>
        <xdr:cNvSpPr>
          <a:spLocks noChangeAspect="1" noChangeArrowheads="1"/>
        </xdr:cNvSpPr>
      </xdr:nvSpPr>
      <xdr:spPr bwMode="auto">
        <a:xfrm>
          <a:off x="8864918"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6" name="AutoShape 8" descr="Jual Seal Tape ONDA di Lapak KIAN CITRA ABADI | Bukalapak">
          <a:extLst>
            <a:ext uri="{FF2B5EF4-FFF2-40B4-BE49-F238E27FC236}">
              <a16:creationId xmlns:a16="http://schemas.microsoft.com/office/drawing/2014/main" id="{00000000-0008-0000-0200-000006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7" name="AutoShape 8" descr="Jual Seal Tape ONDA di Lapak KIAN CITRA ABADI | Bukalapak">
          <a:extLst>
            <a:ext uri="{FF2B5EF4-FFF2-40B4-BE49-F238E27FC236}">
              <a16:creationId xmlns:a16="http://schemas.microsoft.com/office/drawing/2014/main" id="{00000000-0008-0000-0200-000007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8" name="AutoShape 8" descr="Jual Seal Tape ONDA di Lapak KIAN CITRA ABADI | Bukalapak">
          <a:extLst>
            <a:ext uri="{FF2B5EF4-FFF2-40B4-BE49-F238E27FC236}">
              <a16:creationId xmlns:a16="http://schemas.microsoft.com/office/drawing/2014/main" id="{00000000-0008-0000-0200-000008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9" name="AutoShape 8" descr="Jual Seal Tape ONDA di Lapak KIAN CITRA ABADI | Bukalapak">
          <a:extLst>
            <a:ext uri="{FF2B5EF4-FFF2-40B4-BE49-F238E27FC236}">
              <a16:creationId xmlns:a16="http://schemas.microsoft.com/office/drawing/2014/main" id="{00000000-0008-0000-0200-000009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10" name="AutoShape 8" descr="Jual Seal Tape ONDA di Lapak KIAN CITRA ABADI | Bukalapak">
          <a:extLst>
            <a:ext uri="{FF2B5EF4-FFF2-40B4-BE49-F238E27FC236}">
              <a16:creationId xmlns:a16="http://schemas.microsoft.com/office/drawing/2014/main" id="{00000000-0008-0000-0200-00000A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4800"/>
    <xdr:sp macro="" textlink="">
      <xdr:nvSpPr>
        <xdr:cNvPr id="11" name="AutoShape 7" descr="Lem Silicon Dextone Sealant/Lem Kaca Dextone/Lem Tembak 300ml - Hitam">
          <a:extLst>
            <a:ext uri="{FF2B5EF4-FFF2-40B4-BE49-F238E27FC236}">
              <a16:creationId xmlns:a16="http://schemas.microsoft.com/office/drawing/2014/main" id="{00000000-0008-0000-0200-00000B000000}"/>
            </a:ext>
          </a:extLst>
        </xdr:cNvPr>
        <xdr:cNvSpPr>
          <a:spLocks noChangeAspect="1" noChangeArrowheads="1"/>
        </xdr:cNvSpPr>
      </xdr:nvSpPr>
      <xdr:spPr bwMode="auto">
        <a:xfrm>
          <a:off x="37566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20</xdr:row>
      <xdr:rowOff>0</xdr:rowOff>
    </xdr:from>
    <xdr:ext cx="304800" cy="304800"/>
    <xdr:sp macro="" textlink="">
      <xdr:nvSpPr>
        <xdr:cNvPr id="12" name="AutoShape 2" descr="Isolasi Listrik Nito">
          <a:extLst>
            <a:ext uri="{FF2B5EF4-FFF2-40B4-BE49-F238E27FC236}">
              <a16:creationId xmlns:a16="http://schemas.microsoft.com/office/drawing/2014/main" id="{00000000-0008-0000-0200-00000C000000}"/>
            </a:ext>
          </a:extLst>
        </xdr:cNvPr>
        <xdr:cNvSpPr>
          <a:spLocks noChangeAspect="1" noChangeArrowheads="1"/>
        </xdr:cNvSpPr>
      </xdr:nvSpPr>
      <xdr:spPr bwMode="auto">
        <a:xfrm>
          <a:off x="24993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4800"/>
    <xdr:sp macro="" textlink="">
      <xdr:nvSpPr>
        <xdr:cNvPr id="13" name="AutoShape 7" descr="Lem Silicon Dextone Sealant/Lem Kaca Dextone/Lem Tembak 300ml - Hitam">
          <a:extLst>
            <a:ext uri="{FF2B5EF4-FFF2-40B4-BE49-F238E27FC236}">
              <a16:creationId xmlns:a16="http://schemas.microsoft.com/office/drawing/2014/main" id="{00000000-0008-0000-0200-00000D000000}"/>
            </a:ext>
          </a:extLst>
        </xdr:cNvPr>
        <xdr:cNvSpPr>
          <a:spLocks noChangeAspect="1" noChangeArrowheads="1"/>
        </xdr:cNvSpPr>
      </xdr:nvSpPr>
      <xdr:spPr bwMode="auto">
        <a:xfrm>
          <a:off x="37566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14" name="AutoShape 8" descr="Jual Seal Tape ONDA di Lapak KIAN CITRA ABADI | Bukalapak">
          <a:extLst>
            <a:ext uri="{FF2B5EF4-FFF2-40B4-BE49-F238E27FC236}">
              <a16:creationId xmlns:a16="http://schemas.microsoft.com/office/drawing/2014/main" id="{00000000-0008-0000-0200-00000E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15" name="AutoShape 8" descr="Jual Seal Tape ONDA di Lapak KIAN CITRA ABADI | Bukalapak">
          <a:extLst>
            <a:ext uri="{FF2B5EF4-FFF2-40B4-BE49-F238E27FC236}">
              <a16:creationId xmlns:a16="http://schemas.microsoft.com/office/drawing/2014/main" id="{00000000-0008-0000-0200-00000F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4800"/>
    <xdr:sp macro="" textlink="">
      <xdr:nvSpPr>
        <xdr:cNvPr id="16" name="AutoShape 7" descr="Lem Silicon Dextone Sealant/Lem Kaca Dextone/Lem Tembak 300ml - Hitam">
          <a:extLst>
            <a:ext uri="{FF2B5EF4-FFF2-40B4-BE49-F238E27FC236}">
              <a16:creationId xmlns:a16="http://schemas.microsoft.com/office/drawing/2014/main" id="{00000000-0008-0000-0200-000010000000}"/>
            </a:ext>
          </a:extLst>
        </xdr:cNvPr>
        <xdr:cNvSpPr>
          <a:spLocks noChangeAspect="1" noChangeArrowheads="1"/>
        </xdr:cNvSpPr>
      </xdr:nvSpPr>
      <xdr:spPr bwMode="auto">
        <a:xfrm>
          <a:off x="37566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17" name="AutoShape 8" descr="Jual Seal Tape ONDA di Lapak KIAN CITRA ABADI | Bukalapak">
          <a:extLst>
            <a:ext uri="{FF2B5EF4-FFF2-40B4-BE49-F238E27FC236}">
              <a16:creationId xmlns:a16="http://schemas.microsoft.com/office/drawing/2014/main" id="{00000000-0008-0000-0200-000011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18" name="AutoShape 8" descr="Jual Seal Tape ONDA di Lapak KIAN CITRA ABADI | Bukalapak">
          <a:extLst>
            <a:ext uri="{FF2B5EF4-FFF2-40B4-BE49-F238E27FC236}">
              <a16:creationId xmlns:a16="http://schemas.microsoft.com/office/drawing/2014/main" id="{00000000-0008-0000-0200-000012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19" name="AutoShape 8" descr="Jual Seal Tape ONDA di Lapak KIAN CITRA ABADI | Bukalapak">
          <a:extLst>
            <a:ext uri="{FF2B5EF4-FFF2-40B4-BE49-F238E27FC236}">
              <a16:creationId xmlns:a16="http://schemas.microsoft.com/office/drawing/2014/main" id="{00000000-0008-0000-0200-000013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xdr:row>
      <xdr:rowOff>0</xdr:rowOff>
    </xdr:from>
    <xdr:ext cx="304800" cy="304800"/>
    <xdr:sp macro="" textlink="">
      <xdr:nvSpPr>
        <xdr:cNvPr id="20" name="AutoShape 8" descr="Jual Seal Tape ONDA di Lapak KIAN CITRA ABADI | Bukalapak">
          <a:extLst>
            <a:ext uri="{FF2B5EF4-FFF2-40B4-BE49-F238E27FC236}">
              <a16:creationId xmlns:a16="http://schemas.microsoft.com/office/drawing/2014/main" id="{00000000-0008-0000-0200-000014000000}"/>
            </a:ext>
          </a:extLst>
        </xdr:cNvPr>
        <xdr:cNvSpPr>
          <a:spLocks noChangeAspect="1" noChangeArrowheads="1"/>
        </xdr:cNvSpPr>
      </xdr:nvSpPr>
      <xdr:spPr bwMode="auto">
        <a:xfrm>
          <a:off x="127254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20</xdr:row>
      <xdr:rowOff>0</xdr:rowOff>
    </xdr:from>
    <xdr:ext cx="304800" cy="304800"/>
    <xdr:sp macro="" textlink="">
      <xdr:nvSpPr>
        <xdr:cNvPr id="21"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15000000}"/>
            </a:ext>
          </a:extLst>
        </xdr:cNvPr>
        <xdr:cNvSpPr>
          <a:spLocks noChangeAspect="1" noChangeArrowheads="1"/>
        </xdr:cNvSpPr>
      </xdr:nvSpPr>
      <xdr:spPr bwMode="auto">
        <a:xfrm>
          <a:off x="24993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304800" cy="304800"/>
    <xdr:sp macro="" textlink="">
      <xdr:nvSpPr>
        <xdr:cNvPr id="22" name="AutoShape 7" descr="Lem Silicon Dextone Sealant/Lem Kaca Dextone/Lem Tembak 300ml - Hitam">
          <a:extLst>
            <a:ext uri="{FF2B5EF4-FFF2-40B4-BE49-F238E27FC236}">
              <a16:creationId xmlns:a16="http://schemas.microsoft.com/office/drawing/2014/main" id="{00000000-0008-0000-0200-000016000000}"/>
            </a:ext>
          </a:extLst>
        </xdr:cNvPr>
        <xdr:cNvSpPr>
          <a:spLocks noChangeAspect="1" noChangeArrowheads="1"/>
        </xdr:cNvSpPr>
      </xdr:nvSpPr>
      <xdr:spPr bwMode="auto">
        <a:xfrm>
          <a:off x="45620940" y="21816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304800" cy="304800"/>
    <xdr:sp macro="" textlink="">
      <xdr:nvSpPr>
        <xdr:cNvPr id="23" name="AutoShape 7" descr="Lem Silicon Dextone Sealant/Lem Kaca Dextone/Lem Tembak 300ml - Hitam">
          <a:extLst>
            <a:ext uri="{FF2B5EF4-FFF2-40B4-BE49-F238E27FC236}">
              <a16:creationId xmlns:a16="http://schemas.microsoft.com/office/drawing/2014/main" id="{00000000-0008-0000-0200-000017000000}"/>
            </a:ext>
          </a:extLst>
        </xdr:cNvPr>
        <xdr:cNvSpPr>
          <a:spLocks noChangeAspect="1" noChangeArrowheads="1"/>
        </xdr:cNvSpPr>
      </xdr:nvSpPr>
      <xdr:spPr bwMode="auto">
        <a:xfrm>
          <a:off x="45620940" y="21816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14</xdr:row>
      <xdr:rowOff>0</xdr:rowOff>
    </xdr:from>
    <xdr:ext cx="304800" cy="304800"/>
    <xdr:sp macro="" textlink="">
      <xdr:nvSpPr>
        <xdr:cNvPr id="24" name="AutoShape 7" descr="Lem Silicon Dextone Sealant/Lem Kaca Dextone/Lem Tembak 300ml - Hitam">
          <a:extLst>
            <a:ext uri="{FF2B5EF4-FFF2-40B4-BE49-F238E27FC236}">
              <a16:creationId xmlns:a16="http://schemas.microsoft.com/office/drawing/2014/main" id="{00000000-0008-0000-0200-000018000000}"/>
            </a:ext>
          </a:extLst>
        </xdr:cNvPr>
        <xdr:cNvSpPr>
          <a:spLocks noChangeAspect="1" noChangeArrowheads="1"/>
        </xdr:cNvSpPr>
      </xdr:nvSpPr>
      <xdr:spPr bwMode="auto">
        <a:xfrm>
          <a:off x="45620940" y="21816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3429000</xdr:colOff>
      <xdr:row>23</xdr:row>
      <xdr:rowOff>635000</xdr:rowOff>
    </xdr:from>
    <xdr:ext cx="304800" cy="304800"/>
    <xdr:sp macro="" textlink="">
      <xdr:nvSpPr>
        <xdr:cNvPr id="25" name="AutoShape 1" descr="https://encrypted-tbn3.gstatic.com/shopping?q=tbn:ANd9GcRhp5v6dYlTbneRzZWHYLz0XbojSABCNlQoMuF0xHinV1jOMbs339znM4JAgx98_X7_QVnMjilkBWEJVjYMD4LJbWfU2oUtcCl7We3U2SIPfhKPIR6rI3bT&amp;usqp=CAE">
          <a:extLst>
            <a:ext uri="{FF2B5EF4-FFF2-40B4-BE49-F238E27FC236}">
              <a16:creationId xmlns:a16="http://schemas.microsoft.com/office/drawing/2014/main" id="{00000000-0008-0000-0200-000019000000}"/>
            </a:ext>
          </a:extLst>
        </xdr:cNvPr>
        <xdr:cNvSpPr>
          <a:spLocks noChangeAspect="1" noChangeArrowheads="1"/>
        </xdr:cNvSpPr>
      </xdr:nvSpPr>
      <xdr:spPr bwMode="auto">
        <a:xfrm>
          <a:off x="19019520" y="43451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26" name="AutoShape 8" descr="Jual Seal Tape ONDA di Lapak KIAN CITRA ABADI | Bukalapak">
          <a:extLst>
            <a:ext uri="{FF2B5EF4-FFF2-40B4-BE49-F238E27FC236}">
              <a16:creationId xmlns:a16="http://schemas.microsoft.com/office/drawing/2014/main" id="{00000000-0008-0000-0200-00001A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27" name="AutoShape 8" descr="Jual Seal Tape ONDA di Lapak KIAN CITRA ABADI | Bukalapak">
          <a:extLst>
            <a:ext uri="{FF2B5EF4-FFF2-40B4-BE49-F238E27FC236}">
              <a16:creationId xmlns:a16="http://schemas.microsoft.com/office/drawing/2014/main" id="{00000000-0008-0000-0200-00001B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28" name="AutoShape 8" descr="Jual Seal Tape ONDA di Lapak KIAN CITRA ABADI | Bukalapak">
          <a:extLst>
            <a:ext uri="{FF2B5EF4-FFF2-40B4-BE49-F238E27FC236}">
              <a16:creationId xmlns:a16="http://schemas.microsoft.com/office/drawing/2014/main" id="{00000000-0008-0000-0200-00001C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261938</xdr:colOff>
      <xdr:row>22</xdr:row>
      <xdr:rowOff>0</xdr:rowOff>
    </xdr:from>
    <xdr:ext cx="304800" cy="304800"/>
    <xdr:sp macro="" textlink="">
      <xdr:nvSpPr>
        <xdr:cNvPr id="29" name="AutoShape 8" descr="Jual Seal Tape ONDA di Lapak KIAN CITRA ABADI | Bukalapak">
          <a:extLst>
            <a:ext uri="{FF2B5EF4-FFF2-40B4-BE49-F238E27FC236}">
              <a16:creationId xmlns:a16="http://schemas.microsoft.com/office/drawing/2014/main" id="{00000000-0008-0000-0200-00001D000000}"/>
            </a:ext>
          </a:extLst>
        </xdr:cNvPr>
        <xdr:cNvSpPr>
          <a:spLocks noChangeAspect="1" noChangeArrowheads="1"/>
        </xdr:cNvSpPr>
      </xdr:nvSpPr>
      <xdr:spPr bwMode="auto">
        <a:xfrm>
          <a:off x="8864918"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0" name="AutoShape 8" descr="Jual Seal Tape ONDA di Lapak KIAN CITRA ABADI | Bukalapak">
          <a:extLst>
            <a:ext uri="{FF2B5EF4-FFF2-40B4-BE49-F238E27FC236}">
              <a16:creationId xmlns:a16="http://schemas.microsoft.com/office/drawing/2014/main" id="{00000000-0008-0000-0200-00001E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1" name="AutoShape 8" descr="Jual Seal Tape ONDA di Lapak KIAN CITRA ABADI | Bukalapak">
          <a:extLst>
            <a:ext uri="{FF2B5EF4-FFF2-40B4-BE49-F238E27FC236}">
              <a16:creationId xmlns:a16="http://schemas.microsoft.com/office/drawing/2014/main" id="{00000000-0008-0000-0200-00001F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2" name="AutoShape 8" descr="Jual Seal Tape ONDA di Lapak KIAN CITRA ABADI | Bukalapak">
          <a:extLst>
            <a:ext uri="{FF2B5EF4-FFF2-40B4-BE49-F238E27FC236}">
              <a16:creationId xmlns:a16="http://schemas.microsoft.com/office/drawing/2014/main" id="{00000000-0008-0000-0200-000020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3" name="AutoShape 8" descr="Jual Seal Tape ONDA di Lapak KIAN CITRA ABADI | Bukalapak">
          <a:extLst>
            <a:ext uri="{FF2B5EF4-FFF2-40B4-BE49-F238E27FC236}">
              <a16:creationId xmlns:a16="http://schemas.microsoft.com/office/drawing/2014/main" id="{00000000-0008-0000-0200-000021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4" name="AutoShape 8" descr="Jual Seal Tape ONDA di Lapak KIAN CITRA ABADI | Bukalapak">
          <a:extLst>
            <a:ext uri="{FF2B5EF4-FFF2-40B4-BE49-F238E27FC236}">
              <a16:creationId xmlns:a16="http://schemas.microsoft.com/office/drawing/2014/main" id="{00000000-0008-0000-0200-000022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5" name="AutoShape 8" descr="Jual Seal Tape ONDA di Lapak KIAN CITRA ABADI | Bukalapak">
          <a:extLst>
            <a:ext uri="{FF2B5EF4-FFF2-40B4-BE49-F238E27FC236}">
              <a16:creationId xmlns:a16="http://schemas.microsoft.com/office/drawing/2014/main" id="{00000000-0008-0000-0200-000023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6" name="AutoShape 8" descr="Jual Seal Tape ONDA di Lapak KIAN CITRA ABADI | Bukalapak">
          <a:extLst>
            <a:ext uri="{FF2B5EF4-FFF2-40B4-BE49-F238E27FC236}">
              <a16:creationId xmlns:a16="http://schemas.microsoft.com/office/drawing/2014/main" id="{00000000-0008-0000-0200-000024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7" name="AutoShape 8" descr="Jual Seal Tape ONDA di Lapak KIAN CITRA ABADI | Bukalapak">
          <a:extLst>
            <a:ext uri="{FF2B5EF4-FFF2-40B4-BE49-F238E27FC236}">
              <a16:creationId xmlns:a16="http://schemas.microsoft.com/office/drawing/2014/main" id="{00000000-0008-0000-0200-000025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8" name="AutoShape 8" descr="Jual Seal Tape ONDA di Lapak KIAN CITRA ABADI | Bukalapak">
          <a:extLst>
            <a:ext uri="{FF2B5EF4-FFF2-40B4-BE49-F238E27FC236}">
              <a16:creationId xmlns:a16="http://schemas.microsoft.com/office/drawing/2014/main" id="{00000000-0008-0000-0200-000026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xdr:row>
      <xdr:rowOff>0</xdr:rowOff>
    </xdr:from>
    <xdr:ext cx="304800" cy="304800"/>
    <xdr:sp macro="" textlink="">
      <xdr:nvSpPr>
        <xdr:cNvPr id="39" name="AutoShape 8" descr="Jual Seal Tape ONDA di Lapak KIAN CITRA ABADI | Bukalapak">
          <a:extLst>
            <a:ext uri="{FF2B5EF4-FFF2-40B4-BE49-F238E27FC236}">
              <a16:creationId xmlns:a16="http://schemas.microsoft.com/office/drawing/2014/main" id="{00000000-0008-0000-0200-000027000000}"/>
            </a:ext>
          </a:extLst>
        </xdr:cNvPr>
        <xdr:cNvSpPr>
          <a:spLocks noChangeAspect="1" noChangeArrowheads="1"/>
        </xdr:cNvSpPr>
      </xdr:nvSpPr>
      <xdr:spPr bwMode="auto">
        <a:xfrm>
          <a:off x="1272540" y="4204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5842000</xdr:colOff>
      <xdr:row>24</xdr:row>
      <xdr:rowOff>0</xdr:rowOff>
    </xdr:from>
    <xdr:ext cx="304800" cy="304800"/>
    <xdr:sp macro="" textlink="">
      <xdr:nvSpPr>
        <xdr:cNvPr id="40" name="AutoShape 8" descr="Jual Seal Tape ONDA di Lapak KIAN CITRA ABADI | Bukalapak">
          <a:extLst>
            <a:ext uri="{FF2B5EF4-FFF2-40B4-BE49-F238E27FC236}">
              <a16:creationId xmlns:a16="http://schemas.microsoft.com/office/drawing/2014/main" id="{00000000-0008-0000-0200-000028000000}"/>
            </a:ext>
          </a:extLst>
        </xdr:cNvPr>
        <xdr:cNvSpPr>
          <a:spLocks noChangeAspect="1" noChangeArrowheads="1"/>
        </xdr:cNvSpPr>
      </xdr:nvSpPr>
      <xdr:spPr bwMode="auto">
        <a:xfrm>
          <a:off x="30835600" y="43578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20</xdr:row>
      <xdr:rowOff>0</xdr:rowOff>
    </xdr:from>
    <xdr:to>
      <xdr:col>3</xdr:col>
      <xdr:colOff>304800</xdr:colOff>
      <xdr:row>20</xdr:row>
      <xdr:rowOff>304800</xdr:rowOff>
    </xdr:to>
    <xdr:sp macro="" textlink="">
      <xdr:nvSpPr>
        <xdr:cNvPr id="41" name="AutoShape 1" descr="blob:https://web.whatsapp.com/3d56873a-5969-4b77-80d5-26f8cdb117c4">
          <a:extLst>
            <a:ext uri="{FF2B5EF4-FFF2-40B4-BE49-F238E27FC236}">
              <a16:creationId xmlns:a16="http://schemas.microsoft.com/office/drawing/2014/main" id="{00000000-0008-0000-0200-000029000000}"/>
            </a:ext>
          </a:extLst>
        </xdr:cNvPr>
        <xdr:cNvSpPr>
          <a:spLocks noChangeAspect="1" noChangeArrowheads="1"/>
        </xdr:cNvSpPr>
      </xdr:nvSpPr>
      <xdr:spPr bwMode="auto">
        <a:xfrm>
          <a:off x="1559052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261938</xdr:colOff>
      <xdr:row>18</xdr:row>
      <xdr:rowOff>0</xdr:rowOff>
    </xdr:from>
    <xdr:ext cx="304800" cy="304800"/>
    <xdr:sp macro="" textlink="">
      <xdr:nvSpPr>
        <xdr:cNvPr id="42" name="AutoShape 8" descr="Jual Seal Tape ONDA di Lapak KIAN CITRA ABADI | Bukalapak">
          <a:extLst>
            <a:ext uri="{FF2B5EF4-FFF2-40B4-BE49-F238E27FC236}">
              <a16:creationId xmlns:a16="http://schemas.microsoft.com/office/drawing/2014/main" id="{00000000-0008-0000-0200-00002A000000}"/>
            </a:ext>
          </a:extLst>
        </xdr:cNvPr>
        <xdr:cNvSpPr>
          <a:spLocks noChangeAspect="1" noChangeArrowheads="1"/>
        </xdr:cNvSpPr>
      </xdr:nvSpPr>
      <xdr:spPr bwMode="auto">
        <a:xfrm>
          <a:off x="8864918"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261938</xdr:colOff>
      <xdr:row>19</xdr:row>
      <xdr:rowOff>0</xdr:rowOff>
    </xdr:from>
    <xdr:ext cx="304800" cy="304800"/>
    <xdr:sp macro="" textlink="">
      <xdr:nvSpPr>
        <xdr:cNvPr id="43" name="AutoShape 8" descr="Jual Seal Tape ONDA di Lapak KIAN CITRA ABADI | Bukalapak">
          <a:extLst>
            <a:ext uri="{FF2B5EF4-FFF2-40B4-BE49-F238E27FC236}">
              <a16:creationId xmlns:a16="http://schemas.microsoft.com/office/drawing/2014/main" id="{00000000-0008-0000-0200-00002B000000}"/>
            </a:ext>
          </a:extLst>
        </xdr:cNvPr>
        <xdr:cNvSpPr>
          <a:spLocks noChangeAspect="1" noChangeArrowheads="1"/>
        </xdr:cNvSpPr>
      </xdr:nvSpPr>
      <xdr:spPr bwMode="auto">
        <a:xfrm>
          <a:off x="8864918" y="35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18</xdr:row>
      <xdr:rowOff>0</xdr:rowOff>
    </xdr:from>
    <xdr:ext cx="304800" cy="304800"/>
    <xdr:sp macro="" textlink="">
      <xdr:nvSpPr>
        <xdr:cNvPr id="44" name="AutoShape 7" descr="Lem Silicon Dextone Sealant/Lem Kaca Dextone/Lem Tembak 300ml - Hitam">
          <a:extLst>
            <a:ext uri="{FF2B5EF4-FFF2-40B4-BE49-F238E27FC236}">
              <a16:creationId xmlns:a16="http://schemas.microsoft.com/office/drawing/2014/main" id="{00000000-0008-0000-0200-00002C000000}"/>
            </a:ext>
          </a:extLst>
        </xdr:cNvPr>
        <xdr:cNvSpPr>
          <a:spLocks noChangeAspect="1" noChangeArrowheads="1"/>
        </xdr:cNvSpPr>
      </xdr:nvSpPr>
      <xdr:spPr bwMode="auto">
        <a:xfrm>
          <a:off x="37566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18</xdr:row>
      <xdr:rowOff>0</xdr:rowOff>
    </xdr:from>
    <xdr:ext cx="304800" cy="304800"/>
    <xdr:sp macro="" textlink="">
      <xdr:nvSpPr>
        <xdr:cNvPr id="45" name="AutoShape 7" descr="Lem Silicon Dextone Sealant/Lem Kaca Dextone/Lem Tembak 300ml - Hitam">
          <a:extLst>
            <a:ext uri="{FF2B5EF4-FFF2-40B4-BE49-F238E27FC236}">
              <a16:creationId xmlns:a16="http://schemas.microsoft.com/office/drawing/2014/main" id="{00000000-0008-0000-0200-00002D000000}"/>
            </a:ext>
          </a:extLst>
        </xdr:cNvPr>
        <xdr:cNvSpPr>
          <a:spLocks noChangeAspect="1" noChangeArrowheads="1"/>
        </xdr:cNvSpPr>
      </xdr:nvSpPr>
      <xdr:spPr bwMode="auto">
        <a:xfrm>
          <a:off x="37566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18</xdr:row>
      <xdr:rowOff>0</xdr:rowOff>
    </xdr:from>
    <xdr:ext cx="304800" cy="304800"/>
    <xdr:sp macro="" textlink="">
      <xdr:nvSpPr>
        <xdr:cNvPr id="46" name="AutoShape 7" descr="Lem Silicon Dextone Sealant/Lem Kaca Dextone/Lem Tembak 300ml - Hitam">
          <a:extLst>
            <a:ext uri="{FF2B5EF4-FFF2-40B4-BE49-F238E27FC236}">
              <a16:creationId xmlns:a16="http://schemas.microsoft.com/office/drawing/2014/main" id="{00000000-0008-0000-0200-00002E000000}"/>
            </a:ext>
          </a:extLst>
        </xdr:cNvPr>
        <xdr:cNvSpPr>
          <a:spLocks noChangeAspect="1" noChangeArrowheads="1"/>
        </xdr:cNvSpPr>
      </xdr:nvSpPr>
      <xdr:spPr bwMode="auto">
        <a:xfrm>
          <a:off x="37566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19</xdr:row>
      <xdr:rowOff>0</xdr:rowOff>
    </xdr:from>
    <xdr:ext cx="304800" cy="304800"/>
    <xdr:sp macro="" textlink="">
      <xdr:nvSpPr>
        <xdr:cNvPr id="47" name="AutoShape 7" descr="Lem Silicon Dextone Sealant/Lem Kaca Dextone/Lem Tembak 300ml - Hitam">
          <a:extLst>
            <a:ext uri="{FF2B5EF4-FFF2-40B4-BE49-F238E27FC236}">
              <a16:creationId xmlns:a16="http://schemas.microsoft.com/office/drawing/2014/main" id="{00000000-0008-0000-0200-00002F000000}"/>
            </a:ext>
          </a:extLst>
        </xdr:cNvPr>
        <xdr:cNvSpPr>
          <a:spLocks noChangeAspect="1" noChangeArrowheads="1"/>
        </xdr:cNvSpPr>
      </xdr:nvSpPr>
      <xdr:spPr bwMode="auto">
        <a:xfrm>
          <a:off x="37566600" y="35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19</xdr:row>
      <xdr:rowOff>0</xdr:rowOff>
    </xdr:from>
    <xdr:ext cx="304800" cy="304800"/>
    <xdr:sp macro="" textlink="">
      <xdr:nvSpPr>
        <xdr:cNvPr id="48" name="AutoShape 7" descr="Lem Silicon Dextone Sealant/Lem Kaca Dextone/Lem Tembak 300ml - Hitam">
          <a:extLst>
            <a:ext uri="{FF2B5EF4-FFF2-40B4-BE49-F238E27FC236}">
              <a16:creationId xmlns:a16="http://schemas.microsoft.com/office/drawing/2014/main" id="{00000000-0008-0000-0200-000030000000}"/>
            </a:ext>
          </a:extLst>
        </xdr:cNvPr>
        <xdr:cNvSpPr>
          <a:spLocks noChangeAspect="1" noChangeArrowheads="1"/>
        </xdr:cNvSpPr>
      </xdr:nvSpPr>
      <xdr:spPr bwMode="auto">
        <a:xfrm>
          <a:off x="37566600" y="35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19</xdr:row>
      <xdr:rowOff>0</xdr:rowOff>
    </xdr:from>
    <xdr:ext cx="304800" cy="304800"/>
    <xdr:sp macro="" textlink="">
      <xdr:nvSpPr>
        <xdr:cNvPr id="49" name="AutoShape 7" descr="Lem Silicon Dextone Sealant/Lem Kaca Dextone/Lem Tembak 300ml - Hitam">
          <a:extLst>
            <a:ext uri="{FF2B5EF4-FFF2-40B4-BE49-F238E27FC236}">
              <a16:creationId xmlns:a16="http://schemas.microsoft.com/office/drawing/2014/main" id="{00000000-0008-0000-0200-000031000000}"/>
            </a:ext>
          </a:extLst>
        </xdr:cNvPr>
        <xdr:cNvSpPr>
          <a:spLocks noChangeAspect="1" noChangeArrowheads="1"/>
        </xdr:cNvSpPr>
      </xdr:nvSpPr>
      <xdr:spPr bwMode="auto">
        <a:xfrm>
          <a:off x="37566600" y="35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4800"/>
    <xdr:sp macro="" textlink="">
      <xdr:nvSpPr>
        <xdr:cNvPr id="50" name="AutoShape 7" descr="Lem Silicon Dextone Sealant/Lem Kaca Dextone/Lem Tembak 300ml - Hitam">
          <a:extLst>
            <a:ext uri="{FF2B5EF4-FFF2-40B4-BE49-F238E27FC236}">
              <a16:creationId xmlns:a16="http://schemas.microsoft.com/office/drawing/2014/main" id="{00000000-0008-0000-0200-000032000000}"/>
            </a:ext>
          </a:extLst>
        </xdr:cNvPr>
        <xdr:cNvSpPr>
          <a:spLocks noChangeAspect="1" noChangeArrowheads="1"/>
        </xdr:cNvSpPr>
      </xdr:nvSpPr>
      <xdr:spPr bwMode="auto">
        <a:xfrm>
          <a:off x="37566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4800"/>
    <xdr:sp macro="" textlink="">
      <xdr:nvSpPr>
        <xdr:cNvPr id="51" name="AutoShape 7" descr="Lem Silicon Dextone Sealant/Lem Kaca Dextone/Lem Tembak 300ml - Hitam">
          <a:extLst>
            <a:ext uri="{FF2B5EF4-FFF2-40B4-BE49-F238E27FC236}">
              <a16:creationId xmlns:a16="http://schemas.microsoft.com/office/drawing/2014/main" id="{00000000-0008-0000-0200-000033000000}"/>
            </a:ext>
          </a:extLst>
        </xdr:cNvPr>
        <xdr:cNvSpPr>
          <a:spLocks noChangeAspect="1" noChangeArrowheads="1"/>
        </xdr:cNvSpPr>
      </xdr:nvSpPr>
      <xdr:spPr bwMode="auto">
        <a:xfrm>
          <a:off x="37566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4800"/>
    <xdr:sp macro="" textlink="">
      <xdr:nvSpPr>
        <xdr:cNvPr id="52" name="AutoShape 7" descr="Lem Silicon Dextone Sealant/Lem Kaca Dextone/Lem Tembak 300ml - Hitam">
          <a:extLst>
            <a:ext uri="{FF2B5EF4-FFF2-40B4-BE49-F238E27FC236}">
              <a16:creationId xmlns:a16="http://schemas.microsoft.com/office/drawing/2014/main" id="{00000000-0008-0000-0200-000034000000}"/>
            </a:ext>
          </a:extLst>
        </xdr:cNvPr>
        <xdr:cNvSpPr>
          <a:spLocks noChangeAspect="1" noChangeArrowheads="1"/>
        </xdr:cNvSpPr>
      </xdr:nvSpPr>
      <xdr:spPr bwMode="auto">
        <a:xfrm>
          <a:off x="37566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19</xdr:row>
      <xdr:rowOff>0</xdr:rowOff>
    </xdr:from>
    <xdr:ext cx="304800" cy="304800"/>
    <xdr:sp macro="" textlink="">
      <xdr:nvSpPr>
        <xdr:cNvPr id="53" name="AutoShape 2" descr="Isolasi Listrik Nito">
          <a:extLst>
            <a:ext uri="{FF2B5EF4-FFF2-40B4-BE49-F238E27FC236}">
              <a16:creationId xmlns:a16="http://schemas.microsoft.com/office/drawing/2014/main" id="{00000000-0008-0000-0200-000035000000}"/>
            </a:ext>
          </a:extLst>
        </xdr:cNvPr>
        <xdr:cNvSpPr>
          <a:spLocks noChangeAspect="1" noChangeArrowheads="1"/>
        </xdr:cNvSpPr>
      </xdr:nvSpPr>
      <xdr:spPr bwMode="auto">
        <a:xfrm>
          <a:off x="24993600" y="35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19</xdr:row>
      <xdr:rowOff>0</xdr:rowOff>
    </xdr:from>
    <xdr:ext cx="304800" cy="304800"/>
    <xdr:sp macro="" textlink="">
      <xdr:nvSpPr>
        <xdr:cNvPr id="54"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36000000}"/>
            </a:ext>
          </a:extLst>
        </xdr:cNvPr>
        <xdr:cNvSpPr>
          <a:spLocks noChangeAspect="1" noChangeArrowheads="1"/>
        </xdr:cNvSpPr>
      </xdr:nvSpPr>
      <xdr:spPr bwMode="auto">
        <a:xfrm>
          <a:off x="24993600" y="35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20</xdr:row>
      <xdr:rowOff>0</xdr:rowOff>
    </xdr:from>
    <xdr:ext cx="304800" cy="304800"/>
    <xdr:sp macro="" textlink="">
      <xdr:nvSpPr>
        <xdr:cNvPr id="55" name="AutoShape 2" descr="Isolasi Listrik Nito">
          <a:extLst>
            <a:ext uri="{FF2B5EF4-FFF2-40B4-BE49-F238E27FC236}">
              <a16:creationId xmlns:a16="http://schemas.microsoft.com/office/drawing/2014/main" id="{00000000-0008-0000-0200-000037000000}"/>
            </a:ext>
          </a:extLst>
        </xdr:cNvPr>
        <xdr:cNvSpPr>
          <a:spLocks noChangeAspect="1" noChangeArrowheads="1"/>
        </xdr:cNvSpPr>
      </xdr:nvSpPr>
      <xdr:spPr bwMode="auto">
        <a:xfrm>
          <a:off x="24993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20</xdr:row>
      <xdr:rowOff>0</xdr:rowOff>
    </xdr:from>
    <xdr:ext cx="304800" cy="304800"/>
    <xdr:sp macro="" textlink="">
      <xdr:nvSpPr>
        <xdr:cNvPr id="56"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38000000}"/>
            </a:ext>
          </a:extLst>
        </xdr:cNvPr>
        <xdr:cNvSpPr>
          <a:spLocks noChangeAspect="1" noChangeArrowheads="1"/>
        </xdr:cNvSpPr>
      </xdr:nvSpPr>
      <xdr:spPr bwMode="auto">
        <a:xfrm>
          <a:off x="24993600" y="405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18</xdr:row>
      <xdr:rowOff>0</xdr:rowOff>
    </xdr:from>
    <xdr:ext cx="304800" cy="304800"/>
    <xdr:sp macro="" textlink="">
      <xdr:nvSpPr>
        <xdr:cNvPr id="57" name="AutoShape 2" descr="Isolasi Listrik Nito">
          <a:extLst>
            <a:ext uri="{FF2B5EF4-FFF2-40B4-BE49-F238E27FC236}">
              <a16:creationId xmlns:a16="http://schemas.microsoft.com/office/drawing/2014/main" id="{00000000-0008-0000-0200-000039000000}"/>
            </a:ext>
          </a:extLst>
        </xdr:cNvPr>
        <xdr:cNvSpPr>
          <a:spLocks noChangeAspect="1" noChangeArrowheads="1"/>
        </xdr:cNvSpPr>
      </xdr:nvSpPr>
      <xdr:spPr bwMode="auto">
        <a:xfrm>
          <a:off x="24993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18</xdr:row>
      <xdr:rowOff>0</xdr:rowOff>
    </xdr:from>
    <xdr:ext cx="304800" cy="304800"/>
    <xdr:sp macro="" textlink="">
      <xdr:nvSpPr>
        <xdr:cNvPr id="58"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3A000000}"/>
            </a:ext>
          </a:extLst>
        </xdr:cNvPr>
        <xdr:cNvSpPr>
          <a:spLocks noChangeAspect="1" noChangeArrowheads="1"/>
        </xdr:cNvSpPr>
      </xdr:nvSpPr>
      <xdr:spPr bwMode="auto">
        <a:xfrm>
          <a:off x="24993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21</xdr:row>
      <xdr:rowOff>0</xdr:rowOff>
    </xdr:from>
    <xdr:ext cx="304800" cy="304800"/>
    <xdr:sp macro="" textlink="">
      <xdr:nvSpPr>
        <xdr:cNvPr id="59" name="AutoShape 2" descr="Isolasi Listrik Nito">
          <a:extLst>
            <a:ext uri="{FF2B5EF4-FFF2-40B4-BE49-F238E27FC236}">
              <a16:creationId xmlns:a16="http://schemas.microsoft.com/office/drawing/2014/main" id="{00000000-0008-0000-0200-00003B000000}"/>
            </a:ext>
          </a:extLst>
        </xdr:cNvPr>
        <xdr:cNvSpPr>
          <a:spLocks noChangeAspect="1" noChangeArrowheads="1"/>
        </xdr:cNvSpPr>
      </xdr:nvSpPr>
      <xdr:spPr bwMode="auto">
        <a:xfrm>
          <a:off x="24993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21</xdr:row>
      <xdr:rowOff>0</xdr:rowOff>
    </xdr:from>
    <xdr:ext cx="304800" cy="304800"/>
    <xdr:sp macro="" textlink="">
      <xdr:nvSpPr>
        <xdr:cNvPr id="60"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3C000000}"/>
            </a:ext>
          </a:extLst>
        </xdr:cNvPr>
        <xdr:cNvSpPr>
          <a:spLocks noChangeAspect="1" noChangeArrowheads="1"/>
        </xdr:cNvSpPr>
      </xdr:nvSpPr>
      <xdr:spPr bwMode="auto">
        <a:xfrm>
          <a:off x="24993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21</xdr:row>
      <xdr:rowOff>0</xdr:rowOff>
    </xdr:from>
    <xdr:ext cx="304800" cy="304800"/>
    <xdr:sp macro="" textlink="">
      <xdr:nvSpPr>
        <xdr:cNvPr id="61" name="AutoShape 2" descr="Isolasi Listrik Nito">
          <a:extLst>
            <a:ext uri="{FF2B5EF4-FFF2-40B4-BE49-F238E27FC236}">
              <a16:creationId xmlns:a16="http://schemas.microsoft.com/office/drawing/2014/main" id="{00000000-0008-0000-0200-00003D000000}"/>
            </a:ext>
          </a:extLst>
        </xdr:cNvPr>
        <xdr:cNvSpPr>
          <a:spLocks noChangeAspect="1" noChangeArrowheads="1"/>
        </xdr:cNvSpPr>
      </xdr:nvSpPr>
      <xdr:spPr bwMode="auto">
        <a:xfrm>
          <a:off x="24993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21</xdr:row>
      <xdr:rowOff>0</xdr:rowOff>
    </xdr:from>
    <xdr:ext cx="304800" cy="304800"/>
    <xdr:sp macro="" textlink="">
      <xdr:nvSpPr>
        <xdr:cNvPr id="62"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3E000000}"/>
            </a:ext>
          </a:extLst>
        </xdr:cNvPr>
        <xdr:cNvSpPr>
          <a:spLocks noChangeAspect="1" noChangeArrowheads="1"/>
        </xdr:cNvSpPr>
      </xdr:nvSpPr>
      <xdr:spPr bwMode="auto">
        <a:xfrm>
          <a:off x="24993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63" name="AutoShape 7" descr="Lem Silicon Dextone Sealant/Lem Kaca Dextone/Lem Tembak 300ml - Hitam">
          <a:extLst>
            <a:ext uri="{FF2B5EF4-FFF2-40B4-BE49-F238E27FC236}">
              <a16:creationId xmlns:a16="http://schemas.microsoft.com/office/drawing/2014/main" id="{00000000-0008-0000-0200-00003F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64" name="AutoShape 7" descr="Lem Silicon Dextone Sealant/Lem Kaca Dextone/Lem Tembak 300ml - Hitam">
          <a:extLst>
            <a:ext uri="{FF2B5EF4-FFF2-40B4-BE49-F238E27FC236}">
              <a16:creationId xmlns:a16="http://schemas.microsoft.com/office/drawing/2014/main" id="{00000000-0008-0000-0200-000040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65" name="AutoShape 7" descr="Lem Silicon Dextone Sealant/Lem Kaca Dextone/Lem Tembak 300ml - Hitam">
          <a:extLst>
            <a:ext uri="{FF2B5EF4-FFF2-40B4-BE49-F238E27FC236}">
              <a16:creationId xmlns:a16="http://schemas.microsoft.com/office/drawing/2014/main" id="{00000000-0008-0000-0200-000041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66" name="AutoShape 7" descr="Lem Silicon Dextone Sealant/Lem Kaca Dextone/Lem Tembak 300ml - Hitam">
          <a:extLst>
            <a:ext uri="{FF2B5EF4-FFF2-40B4-BE49-F238E27FC236}">
              <a16:creationId xmlns:a16="http://schemas.microsoft.com/office/drawing/2014/main" id="{00000000-0008-0000-0200-000042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67" name="AutoShape 7" descr="Lem Silicon Dextone Sealant/Lem Kaca Dextone/Lem Tembak 300ml - Hitam">
          <a:extLst>
            <a:ext uri="{FF2B5EF4-FFF2-40B4-BE49-F238E27FC236}">
              <a16:creationId xmlns:a16="http://schemas.microsoft.com/office/drawing/2014/main" id="{00000000-0008-0000-0200-000043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68" name="AutoShape 7" descr="Lem Silicon Dextone Sealant/Lem Kaca Dextone/Lem Tembak 300ml - Hitam">
          <a:extLst>
            <a:ext uri="{FF2B5EF4-FFF2-40B4-BE49-F238E27FC236}">
              <a16:creationId xmlns:a16="http://schemas.microsoft.com/office/drawing/2014/main" id="{00000000-0008-0000-0200-000044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69" name="AutoShape 8" descr="Jual Seal Tape ONDA di Lapak KIAN CITRA ABADI | Bukalapak">
          <a:extLst>
            <a:ext uri="{FF2B5EF4-FFF2-40B4-BE49-F238E27FC236}">
              <a16:creationId xmlns:a16="http://schemas.microsoft.com/office/drawing/2014/main" id="{00000000-0008-0000-0200-000045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70" name="AutoShape 8" descr="Jual Seal Tape ONDA di Lapak KIAN CITRA ABADI | Bukalapak">
          <a:extLst>
            <a:ext uri="{FF2B5EF4-FFF2-40B4-BE49-F238E27FC236}">
              <a16:creationId xmlns:a16="http://schemas.microsoft.com/office/drawing/2014/main" id="{00000000-0008-0000-0200-000046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71" name="AutoShape 8" descr="Jual Seal Tape ONDA di Lapak KIAN CITRA ABADI | Bukalapak">
          <a:extLst>
            <a:ext uri="{FF2B5EF4-FFF2-40B4-BE49-F238E27FC236}">
              <a16:creationId xmlns:a16="http://schemas.microsoft.com/office/drawing/2014/main" id="{00000000-0008-0000-0200-000047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261938</xdr:colOff>
      <xdr:row>12</xdr:row>
      <xdr:rowOff>0</xdr:rowOff>
    </xdr:from>
    <xdr:ext cx="304800" cy="304800"/>
    <xdr:sp macro="" textlink="">
      <xdr:nvSpPr>
        <xdr:cNvPr id="72" name="AutoShape 8" descr="Jual Seal Tape ONDA di Lapak KIAN CITRA ABADI | Bukalapak">
          <a:extLst>
            <a:ext uri="{FF2B5EF4-FFF2-40B4-BE49-F238E27FC236}">
              <a16:creationId xmlns:a16="http://schemas.microsoft.com/office/drawing/2014/main" id="{00000000-0008-0000-0200-000048000000}"/>
            </a:ext>
          </a:extLst>
        </xdr:cNvPr>
        <xdr:cNvSpPr>
          <a:spLocks noChangeAspect="1" noChangeArrowheads="1"/>
        </xdr:cNvSpPr>
      </xdr:nvSpPr>
      <xdr:spPr bwMode="auto">
        <a:xfrm>
          <a:off x="8864918"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73" name="AutoShape 8" descr="Jual Seal Tape ONDA di Lapak KIAN CITRA ABADI | Bukalapak">
          <a:extLst>
            <a:ext uri="{FF2B5EF4-FFF2-40B4-BE49-F238E27FC236}">
              <a16:creationId xmlns:a16="http://schemas.microsoft.com/office/drawing/2014/main" id="{00000000-0008-0000-0200-000049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74" name="AutoShape 8" descr="Jual Seal Tape ONDA di Lapak KIAN CITRA ABADI | Bukalapak">
          <a:extLst>
            <a:ext uri="{FF2B5EF4-FFF2-40B4-BE49-F238E27FC236}">
              <a16:creationId xmlns:a16="http://schemas.microsoft.com/office/drawing/2014/main" id="{00000000-0008-0000-0200-00004A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75" name="AutoShape 8" descr="Jual Seal Tape ONDA di Lapak KIAN CITRA ABADI | Bukalapak">
          <a:extLst>
            <a:ext uri="{FF2B5EF4-FFF2-40B4-BE49-F238E27FC236}">
              <a16:creationId xmlns:a16="http://schemas.microsoft.com/office/drawing/2014/main" id="{00000000-0008-0000-0200-00004B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76" name="AutoShape 8" descr="Jual Seal Tape ONDA di Lapak KIAN CITRA ABADI | Bukalapak">
          <a:extLst>
            <a:ext uri="{FF2B5EF4-FFF2-40B4-BE49-F238E27FC236}">
              <a16:creationId xmlns:a16="http://schemas.microsoft.com/office/drawing/2014/main" id="{00000000-0008-0000-0200-00004C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77" name="AutoShape 8" descr="Jual Seal Tape ONDA di Lapak KIAN CITRA ABADI | Bukalapak">
          <a:extLst>
            <a:ext uri="{FF2B5EF4-FFF2-40B4-BE49-F238E27FC236}">
              <a16:creationId xmlns:a16="http://schemas.microsoft.com/office/drawing/2014/main" id="{00000000-0008-0000-0200-00004D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4800"/>
    <xdr:sp macro="" textlink="">
      <xdr:nvSpPr>
        <xdr:cNvPr id="78" name="AutoShape 7" descr="Lem Silicon Dextone Sealant/Lem Kaca Dextone/Lem Tembak 300ml - Hitam">
          <a:extLst>
            <a:ext uri="{FF2B5EF4-FFF2-40B4-BE49-F238E27FC236}">
              <a16:creationId xmlns:a16="http://schemas.microsoft.com/office/drawing/2014/main" id="{00000000-0008-0000-0200-00004E000000}"/>
            </a:ext>
          </a:extLst>
        </xdr:cNvPr>
        <xdr:cNvSpPr>
          <a:spLocks noChangeAspect="1" noChangeArrowheads="1"/>
        </xdr:cNvSpPr>
      </xdr:nvSpPr>
      <xdr:spPr bwMode="auto">
        <a:xfrm>
          <a:off x="37566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12</xdr:row>
      <xdr:rowOff>0</xdr:rowOff>
    </xdr:from>
    <xdr:ext cx="304800" cy="304800"/>
    <xdr:sp macro="" textlink="">
      <xdr:nvSpPr>
        <xdr:cNvPr id="79" name="AutoShape 2" descr="Isolasi Listrik Nito">
          <a:extLst>
            <a:ext uri="{FF2B5EF4-FFF2-40B4-BE49-F238E27FC236}">
              <a16:creationId xmlns:a16="http://schemas.microsoft.com/office/drawing/2014/main" id="{00000000-0008-0000-0200-00004F000000}"/>
            </a:ext>
          </a:extLst>
        </xdr:cNvPr>
        <xdr:cNvSpPr>
          <a:spLocks noChangeAspect="1" noChangeArrowheads="1"/>
        </xdr:cNvSpPr>
      </xdr:nvSpPr>
      <xdr:spPr bwMode="auto">
        <a:xfrm>
          <a:off x="24993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4800"/>
    <xdr:sp macro="" textlink="">
      <xdr:nvSpPr>
        <xdr:cNvPr id="80" name="AutoShape 7" descr="Lem Silicon Dextone Sealant/Lem Kaca Dextone/Lem Tembak 300ml - Hitam">
          <a:extLst>
            <a:ext uri="{FF2B5EF4-FFF2-40B4-BE49-F238E27FC236}">
              <a16:creationId xmlns:a16="http://schemas.microsoft.com/office/drawing/2014/main" id="{00000000-0008-0000-0200-000050000000}"/>
            </a:ext>
          </a:extLst>
        </xdr:cNvPr>
        <xdr:cNvSpPr>
          <a:spLocks noChangeAspect="1" noChangeArrowheads="1"/>
        </xdr:cNvSpPr>
      </xdr:nvSpPr>
      <xdr:spPr bwMode="auto">
        <a:xfrm>
          <a:off x="37566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81" name="AutoShape 8" descr="Jual Seal Tape ONDA di Lapak KIAN CITRA ABADI | Bukalapak">
          <a:extLst>
            <a:ext uri="{FF2B5EF4-FFF2-40B4-BE49-F238E27FC236}">
              <a16:creationId xmlns:a16="http://schemas.microsoft.com/office/drawing/2014/main" id="{00000000-0008-0000-0200-000051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82" name="AutoShape 8" descr="Jual Seal Tape ONDA di Lapak KIAN CITRA ABADI | Bukalapak">
          <a:extLst>
            <a:ext uri="{FF2B5EF4-FFF2-40B4-BE49-F238E27FC236}">
              <a16:creationId xmlns:a16="http://schemas.microsoft.com/office/drawing/2014/main" id="{00000000-0008-0000-0200-000052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4800"/>
    <xdr:sp macro="" textlink="">
      <xdr:nvSpPr>
        <xdr:cNvPr id="83" name="AutoShape 7" descr="Lem Silicon Dextone Sealant/Lem Kaca Dextone/Lem Tembak 300ml - Hitam">
          <a:extLst>
            <a:ext uri="{FF2B5EF4-FFF2-40B4-BE49-F238E27FC236}">
              <a16:creationId xmlns:a16="http://schemas.microsoft.com/office/drawing/2014/main" id="{00000000-0008-0000-0200-000053000000}"/>
            </a:ext>
          </a:extLst>
        </xdr:cNvPr>
        <xdr:cNvSpPr>
          <a:spLocks noChangeAspect="1" noChangeArrowheads="1"/>
        </xdr:cNvSpPr>
      </xdr:nvSpPr>
      <xdr:spPr bwMode="auto">
        <a:xfrm>
          <a:off x="37566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84" name="AutoShape 8" descr="Jual Seal Tape ONDA di Lapak KIAN CITRA ABADI | Bukalapak">
          <a:extLst>
            <a:ext uri="{FF2B5EF4-FFF2-40B4-BE49-F238E27FC236}">
              <a16:creationId xmlns:a16="http://schemas.microsoft.com/office/drawing/2014/main" id="{00000000-0008-0000-0200-000054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85" name="AutoShape 8" descr="Jual Seal Tape ONDA di Lapak KIAN CITRA ABADI | Bukalapak">
          <a:extLst>
            <a:ext uri="{FF2B5EF4-FFF2-40B4-BE49-F238E27FC236}">
              <a16:creationId xmlns:a16="http://schemas.microsoft.com/office/drawing/2014/main" id="{00000000-0008-0000-0200-000055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86" name="AutoShape 8" descr="Jual Seal Tape ONDA di Lapak KIAN CITRA ABADI | Bukalapak">
          <a:extLst>
            <a:ext uri="{FF2B5EF4-FFF2-40B4-BE49-F238E27FC236}">
              <a16:creationId xmlns:a16="http://schemas.microsoft.com/office/drawing/2014/main" id="{00000000-0008-0000-0200-000056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304800"/>
    <xdr:sp macro="" textlink="">
      <xdr:nvSpPr>
        <xdr:cNvPr id="87" name="AutoShape 8" descr="Jual Seal Tape ONDA di Lapak KIAN CITRA ABADI | Bukalapak">
          <a:extLst>
            <a:ext uri="{FF2B5EF4-FFF2-40B4-BE49-F238E27FC236}">
              <a16:creationId xmlns:a16="http://schemas.microsoft.com/office/drawing/2014/main" id="{00000000-0008-0000-0200-000057000000}"/>
            </a:ext>
          </a:extLst>
        </xdr:cNvPr>
        <xdr:cNvSpPr>
          <a:spLocks noChangeAspect="1" noChangeArrowheads="1"/>
        </xdr:cNvSpPr>
      </xdr:nvSpPr>
      <xdr:spPr bwMode="auto">
        <a:xfrm>
          <a:off x="127254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12</xdr:row>
      <xdr:rowOff>0</xdr:rowOff>
    </xdr:from>
    <xdr:ext cx="304800" cy="304800"/>
    <xdr:sp macro="" textlink="">
      <xdr:nvSpPr>
        <xdr:cNvPr id="88"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58000000}"/>
            </a:ext>
          </a:extLst>
        </xdr:cNvPr>
        <xdr:cNvSpPr>
          <a:spLocks noChangeAspect="1" noChangeArrowheads="1"/>
        </xdr:cNvSpPr>
      </xdr:nvSpPr>
      <xdr:spPr bwMode="auto">
        <a:xfrm>
          <a:off x="24993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12</xdr:row>
      <xdr:rowOff>0</xdr:rowOff>
    </xdr:from>
    <xdr:ext cx="304800" cy="304800"/>
    <xdr:sp macro="" textlink="">
      <xdr:nvSpPr>
        <xdr:cNvPr id="89" name="AutoShape 1" descr="blob:https://web.whatsapp.com/3d56873a-5969-4b77-80d5-26f8cdb117c4">
          <a:extLst>
            <a:ext uri="{FF2B5EF4-FFF2-40B4-BE49-F238E27FC236}">
              <a16:creationId xmlns:a16="http://schemas.microsoft.com/office/drawing/2014/main" id="{00000000-0008-0000-0200-000059000000}"/>
            </a:ext>
          </a:extLst>
        </xdr:cNvPr>
        <xdr:cNvSpPr>
          <a:spLocks noChangeAspect="1" noChangeArrowheads="1"/>
        </xdr:cNvSpPr>
      </xdr:nvSpPr>
      <xdr:spPr bwMode="auto">
        <a:xfrm>
          <a:off x="1559052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261938</xdr:colOff>
      <xdr:row>10</xdr:row>
      <xdr:rowOff>0</xdr:rowOff>
    </xdr:from>
    <xdr:ext cx="304800" cy="304800"/>
    <xdr:sp macro="" textlink="">
      <xdr:nvSpPr>
        <xdr:cNvPr id="90" name="AutoShape 8" descr="Jual Seal Tape ONDA di Lapak KIAN CITRA ABADI | Bukalapak">
          <a:extLst>
            <a:ext uri="{FF2B5EF4-FFF2-40B4-BE49-F238E27FC236}">
              <a16:creationId xmlns:a16="http://schemas.microsoft.com/office/drawing/2014/main" id="{00000000-0008-0000-0200-00005A000000}"/>
            </a:ext>
          </a:extLst>
        </xdr:cNvPr>
        <xdr:cNvSpPr>
          <a:spLocks noChangeAspect="1" noChangeArrowheads="1"/>
        </xdr:cNvSpPr>
      </xdr:nvSpPr>
      <xdr:spPr bwMode="auto">
        <a:xfrm>
          <a:off x="8864918" y="1023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261938</xdr:colOff>
      <xdr:row>11</xdr:row>
      <xdr:rowOff>0</xdr:rowOff>
    </xdr:from>
    <xdr:ext cx="304800" cy="304800"/>
    <xdr:sp macro="" textlink="">
      <xdr:nvSpPr>
        <xdr:cNvPr id="91" name="AutoShape 8" descr="Jual Seal Tape ONDA di Lapak KIAN CITRA ABADI | Bukalapak">
          <a:extLst>
            <a:ext uri="{FF2B5EF4-FFF2-40B4-BE49-F238E27FC236}">
              <a16:creationId xmlns:a16="http://schemas.microsoft.com/office/drawing/2014/main" id="{00000000-0008-0000-0200-00005B000000}"/>
            </a:ext>
          </a:extLst>
        </xdr:cNvPr>
        <xdr:cNvSpPr>
          <a:spLocks noChangeAspect="1" noChangeArrowheads="1"/>
        </xdr:cNvSpPr>
      </xdr:nvSpPr>
      <xdr:spPr bwMode="auto">
        <a:xfrm>
          <a:off x="8864918" y="1297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xdr:row>
      <xdr:rowOff>0</xdr:rowOff>
    </xdr:from>
    <xdr:ext cx="304800" cy="304800"/>
    <xdr:sp macro="" textlink="">
      <xdr:nvSpPr>
        <xdr:cNvPr id="92" name="AutoShape 7" descr="Lem Silicon Dextone Sealant/Lem Kaca Dextone/Lem Tembak 300ml - Hitam">
          <a:extLst>
            <a:ext uri="{FF2B5EF4-FFF2-40B4-BE49-F238E27FC236}">
              <a16:creationId xmlns:a16="http://schemas.microsoft.com/office/drawing/2014/main" id="{00000000-0008-0000-0200-00005C000000}"/>
            </a:ext>
          </a:extLst>
        </xdr:cNvPr>
        <xdr:cNvSpPr>
          <a:spLocks noChangeAspect="1" noChangeArrowheads="1"/>
        </xdr:cNvSpPr>
      </xdr:nvSpPr>
      <xdr:spPr bwMode="auto">
        <a:xfrm>
          <a:off x="37566600" y="1023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xdr:row>
      <xdr:rowOff>0</xdr:rowOff>
    </xdr:from>
    <xdr:ext cx="304800" cy="304800"/>
    <xdr:sp macro="" textlink="">
      <xdr:nvSpPr>
        <xdr:cNvPr id="93" name="AutoShape 7" descr="Lem Silicon Dextone Sealant/Lem Kaca Dextone/Lem Tembak 300ml - Hitam">
          <a:extLst>
            <a:ext uri="{FF2B5EF4-FFF2-40B4-BE49-F238E27FC236}">
              <a16:creationId xmlns:a16="http://schemas.microsoft.com/office/drawing/2014/main" id="{00000000-0008-0000-0200-00005D000000}"/>
            </a:ext>
          </a:extLst>
        </xdr:cNvPr>
        <xdr:cNvSpPr>
          <a:spLocks noChangeAspect="1" noChangeArrowheads="1"/>
        </xdr:cNvSpPr>
      </xdr:nvSpPr>
      <xdr:spPr bwMode="auto">
        <a:xfrm>
          <a:off x="37566600" y="1023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xdr:row>
      <xdr:rowOff>0</xdr:rowOff>
    </xdr:from>
    <xdr:ext cx="304800" cy="304800"/>
    <xdr:sp macro="" textlink="">
      <xdr:nvSpPr>
        <xdr:cNvPr id="94" name="AutoShape 7" descr="Lem Silicon Dextone Sealant/Lem Kaca Dextone/Lem Tembak 300ml - Hitam">
          <a:extLst>
            <a:ext uri="{FF2B5EF4-FFF2-40B4-BE49-F238E27FC236}">
              <a16:creationId xmlns:a16="http://schemas.microsoft.com/office/drawing/2014/main" id="{00000000-0008-0000-0200-00005E000000}"/>
            </a:ext>
          </a:extLst>
        </xdr:cNvPr>
        <xdr:cNvSpPr>
          <a:spLocks noChangeAspect="1" noChangeArrowheads="1"/>
        </xdr:cNvSpPr>
      </xdr:nvSpPr>
      <xdr:spPr bwMode="auto">
        <a:xfrm>
          <a:off x="37566600" y="1023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xdr:row>
      <xdr:rowOff>0</xdr:rowOff>
    </xdr:from>
    <xdr:ext cx="304800" cy="304800"/>
    <xdr:sp macro="" textlink="">
      <xdr:nvSpPr>
        <xdr:cNvPr id="95" name="AutoShape 7" descr="Lem Silicon Dextone Sealant/Lem Kaca Dextone/Lem Tembak 300ml - Hitam">
          <a:extLst>
            <a:ext uri="{FF2B5EF4-FFF2-40B4-BE49-F238E27FC236}">
              <a16:creationId xmlns:a16="http://schemas.microsoft.com/office/drawing/2014/main" id="{00000000-0008-0000-0200-00005F000000}"/>
            </a:ext>
          </a:extLst>
        </xdr:cNvPr>
        <xdr:cNvSpPr>
          <a:spLocks noChangeAspect="1" noChangeArrowheads="1"/>
        </xdr:cNvSpPr>
      </xdr:nvSpPr>
      <xdr:spPr bwMode="auto">
        <a:xfrm>
          <a:off x="37566600" y="1297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xdr:row>
      <xdr:rowOff>0</xdr:rowOff>
    </xdr:from>
    <xdr:ext cx="304800" cy="304800"/>
    <xdr:sp macro="" textlink="">
      <xdr:nvSpPr>
        <xdr:cNvPr id="96" name="AutoShape 7" descr="Lem Silicon Dextone Sealant/Lem Kaca Dextone/Lem Tembak 300ml - Hitam">
          <a:extLst>
            <a:ext uri="{FF2B5EF4-FFF2-40B4-BE49-F238E27FC236}">
              <a16:creationId xmlns:a16="http://schemas.microsoft.com/office/drawing/2014/main" id="{00000000-0008-0000-0200-000060000000}"/>
            </a:ext>
          </a:extLst>
        </xdr:cNvPr>
        <xdr:cNvSpPr>
          <a:spLocks noChangeAspect="1" noChangeArrowheads="1"/>
        </xdr:cNvSpPr>
      </xdr:nvSpPr>
      <xdr:spPr bwMode="auto">
        <a:xfrm>
          <a:off x="37566600" y="1297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xdr:row>
      <xdr:rowOff>0</xdr:rowOff>
    </xdr:from>
    <xdr:ext cx="304800" cy="304800"/>
    <xdr:sp macro="" textlink="">
      <xdr:nvSpPr>
        <xdr:cNvPr id="97" name="AutoShape 7" descr="Lem Silicon Dextone Sealant/Lem Kaca Dextone/Lem Tembak 300ml - Hitam">
          <a:extLst>
            <a:ext uri="{FF2B5EF4-FFF2-40B4-BE49-F238E27FC236}">
              <a16:creationId xmlns:a16="http://schemas.microsoft.com/office/drawing/2014/main" id="{00000000-0008-0000-0200-000061000000}"/>
            </a:ext>
          </a:extLst>
        </xdr:cNvPr>
        <xdr:cNvSpPr>
          <a:spLocks noChangeAspect="1" noChangeArrowheads="1"/>
        </xdr:cNvSpPr>
      </xdr:nvSpPr>
      <xdr:spPr bwMode="auto">
        <a:xfrm>
          <a:off x="37566600" y="1297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4800"/>
    <xdr:sp macro="" textlink="">
      <xdr:nvSpPr>
        <xdr:cNvPr id="98" name="AutoShape 7" descr="Lem Silicon Dextone Sealant/Lem Kaca Dextone/Lem Tembak 300ml - Hitam">
          <a:extLst>
            <a:ext uri="{FF2B5EF4-FFF2-40B4-BE49-F238E27FC236}">
              <a16:creationId xmlns:a16="http://schemas.microsoft.com/office/drawing/2014/main" id="{00000000-0008-0000-0200-000062000000}"/>
            </a:ext>
          </a:extLst>
        </xdr:cNvPr>
        <xdr:cNvSpPr>
          <a:spLocks noChangeAspect="1" noChangeArrowheads="1"/>
        </xdr:cNvSpPr>
      </xdr:nvSpPr>
      <xdr:spPr bwMode="auto">
        <a:xfrm>
          <a:off x="37566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4800"/>
    <xdr:sp macro="" textlink="">
      <xdr:nvSpPr>
        <xdr:cNvPr id="99" name="AutoShape 7" descr="Lem Silicon Dextone Sealant/Lem Kaca Dextone/Lem Tembak 300ml - Hitam">
          <a:extLst>
            <a:ext uri="{FF2B5EF4-FFF2-40B4-BE49-F238E27FC236}">
              <a16:creationId xmlns:a16="http://schemas.microsoft.com/office/drawing/2014/main" id="{00000000-0008-0000-0200-000063000000}"/>
            </a:ext>
          </a:extLst>
        </xdr:cNvPr>
        <xdr:cNvSpPr>
          <a:spLocks noChangeAspect="1" noChangeArrowheads="1"/>
        </xdr:cNvSpPr>
      </xdr:nvSpPr>
      <xdr:spPr bwMode="auto">
        <a:xfrm>
          <a:off x="37566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4800"/>
    <xdr:sp macro="" textlink="">
      <xdr:nvSpPr>
        <xdr:cNvPr id="100" name="AutoShape 7" descr="Lem Silicon Dextone Sealant/Lem Kaca Dextone/Lem Tembak 300ml - Hitam">
          <a:extLst>
            <a:ext uri="{FF2B5EF4-FFF2-40B4-BE49-F238E27FC236}">
              <a16:creationId xmlns:a16="http://schemas.microsoft.com/office/drawing/2014/main" id="{00000000-0008-0000-0200-000064000000}"/>
            </a:ext>
          </a:extLst>
        </xdr:cNvPr>
        <xdr:cNvSpPr>
          <a:spLocks noChangeAspect="1" noChangeArrowheads="1"/>
        </xdr:cNvSpPr>
      </xdr:nvSpPr>
      <xdr:spPr bwMode="auto">
        <a:xfrm>
          <a:off x="37566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11</xdr:row>
      <xdr:rowOff>0</xdr:rowOff>
    </xdr:from>
    <xdr:ext cx="304800" cy="304800"/>
    <xdr:sp macro="" textlink="">
      <xdr:nvSpPr>
        <xdr:cNvPr id="101" name="AutoShape 2" descr="Isolasi Listrik Nito">
          <a:extLst>
            <a:ext uri="{FF2B5EF4-FFF2-40B4-BE49-F238E27FC236}">
              <a16:creationId xmlns:a16="http://schemas.microsoft.com/office/drawing/2014/main" id="{00000000-0008-0000-0200-000065000000}"/>
            </a:ext>
          </a:extLst>
        </xdr:cNvPr>
        <xdr:cNvSpPr>
          <a:spLocks noChangeAspect="1" noChangeArrowheads="1"/>
        </xdr:cNvSpPr>
      </xdr:nvSpPr>
      <xdr:spPr bwMode="auto">
        <a:xfrm>
          <a:off x="24993600" y="1297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2794000</xdr:colOff>
      <xdr:row>10</xdr:row>
      <xdr:rowOff>4064000</xdr:rowOff>
    </xdr:from>
    <xdr:ext cx="304800" cy="304800"/>
    <xdr:sp macro="" textlink="">
      <xdr:nvSpPr>
        <xdr:cNvPr id="102"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66000000}"/>
            </a:ext>
          </a:extLst>
        </xdr:cNvPr>
        <xdr:cNvSpPr>
          <a:spLocks noChangeAspect="1" noChangeArrowheads="1"/>
        </xdr:cNvSpPr>
      </xdr:nvSpPr>
      <xdr:spPr bwMode="auto">
        <a:xfrm>
          <a:off x="23726140" y="1297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12</xdr:row>
      <xdr:rowOff>0</xdr:rowOff>
    </xdr:from>
    <xdr:ext cx="304800" cy="304800"/>
    <xdr:sp macro="" textlink="">
      <xdr:nvSpPr>
        <xdr:cNvPr id="103" name="AutoShape 2" descr="Isolasi Listrik Nito">
          <a:extLst>
            <a:ext uri="{FF2B5EF4-FFF2-40B4-BE49-F238E27FC236}">
              <a16:creationId xmlns:a16="http://schemas.microsoft.com/office/drawing/2014/main" id="{00000000-0008-0000-0200-000067000000}"/>
            </a:ext>
          </a:extLst>
        </xdr:cNvPr>
        <xdr:cNvSpPr>
          <a:spLocks noChangeAspect="1" noChangeArrowheads="1"/>
        </xdr:cNvSpPr>
      </xdr:nvSpPr>
      <xdr:spPr bwMode="auto">
        <a:xfrm>
          <a:off x="24993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12</xdr:row>
      <xdr:rowOff>0</xdr:rowOff>
    </xdr:from>
    <xdr:ext cx="304800" cy="304800"/>
    <xdr:sp macro="" textlink="">
      <xdr:nvSpPr>
        <xdr:cNvPr id="104"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68000000}"/>
            </a:ext>
          </a:extLst>
        </xdr:cNvPr>
        <xdr:cNvSpPr>
          <a:spLocks noChangeAspect="1" noChangeArrowheads="1"/>
        </xdr:cNvSpPr>
      </xdr:nvSpPr>
      <xdr:spPr bwMode="auto">
        <a:xfrm>
          <a:off x="24993600" y="15262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10</xdr:row>
      <xdr:rowOff>0</xdr:rowOff>
    </xdr:from>
    <xdr:ext cx="304800" cy="304800"/>
    <xdr:sp macro="" textlink="">
      <xdr:nvSpPr>
        <xdr:cNvPr id="105" name="AutoShape 2" descr="Isolasi Listrik Nito">
          <a:extLst>
            <a:ext uri="{FF2B5EF4-FFF2-40B4-BE49-F238E27FC236}">
              <a16:creationId xmlns:a16="http://schemas.microsoft.com/office/drawing/2014/main" id="{00000000-0008-0000-0200-000069000000}"/>
            </a:ext>
          </a:extLst>
        </xdr:cNvPr>
        <xdr:cNvSpPr>
          <a:spLocks noChangeAspect="1" noChangeArrowheads="1"/>
        </xdr:cNvSpPr>
      </xdr:nvSpPr>
      <xdr:spPr bwMode="auto">
        <a:xfrm>
          <a:off x="24993600" y="1023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10</xdr:row>
      <xdr:rowOff>0</xdr:rowOff>
    </xdr:from>
    <xdr:ext cx="304800" cy="304800"/>
    <xdr:sp macro="" textlink="">
      <xdr:nvSpPr>
        <xdr:cNvPr id="106"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6A000000}"/>
            </a:ext>
          </a:extLst>
        </xdr:cNvPr>
        <xdr:cNvSpPr>
          <a:spLocks noChangeAspect="1" noChangeArrowheads="1"/>
        </xdr:cNvSpPr>
      </xdr:nvSpPr>
      <xdr:spPr bwMode="auto">
        <a:xfrm>
          <a:off x="24993600" y="10233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13</xdr:row>
      <xdr:rowOff>0</xdr:rowOff>
    </xdr:from>
    <xdr:ext cx="304800" cy="304800"/>
    <xdr:sp macro="" textlink="">
      <xdr:nvSpPr>
        <xdr:cNvPr id="107" name="AutoShape 2" descr="Isolasi Listrik Nito">
          <a:extLst>
            <a:ext uri="{FF2B5EF4-FFF2-40B4-BE49-F238E27FC236}">
              <a16:creationId xmlns:a16="http://schemas.microsoft.com/office/drawing/2014/main" id="{00000000-0008-0000-0200-00006B000000}"/>
            </a:ext>
          </a:extLst>
        </xdr:cNvPr>
        <xdr:cNvSpPr>
          <a:spLocks noChangeAspect="1" noChangeArrowheads="1"/>
        </xdr:cNvSpPr>
      </xdr:nvSpPr>
      <xdr:spPr bwMode="auto">
        <a:xfrm>
          <a:off x="24993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13</xdr:row>
      <xdr:rowOff>0</xdr:rowOff>
    </xdr:from>
    <xdr:ext cx="304800" cy="304800"/>
    <xdr:sp macro="" textlink="">
      <xdr:nvSpPr>
        <xdr:cNvPr id="108"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6C000000}"/>
            </a:ext>
          </a:extLst>
        </xdr:cNvPr>
        <xdr:cNvSpPr>
          <a:spLocks noChangeAspect="1" noChangeArrowheads="1"/>
        </xdr:cNvSpPr>
      </xdr:nvSpPr>
      <xdr:spPr bwMode="auto">
        <a:xfrm>
          <a:off x="24993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13</xdr:row>
      <xdr:rowOff>0</xdr:rowOff>
    </xdr:from>
    <xdr:ext cx="304800" cy="304800"/>
    <xdr:sp macro="" textlink="">
      <xdr:nvSpPr>
        <xdr:cNvPr id="109" name="AutoShape 2" descr="Isolasi Listrik Nito">
          <a:extLst>
            <a:ext uri="{FF2B5EF4-FFF2-40B4-BE49-F238E27FC236}">
              <a16:creationId xmlns:a16="http://schemas.microsoft.com/office/drawing/2014/main" id="{00000000-0008-0000-0200-00006D000000}"/>
            </a:ext>
          </a:extLst>
        </xdr:cNvPr>
        <xdr:cNvSpPr>
          <a:spLocks noChangeAspect="1" noChangeArrowheads="1"/>
        </xdr:cNvSpPr>
      </xdr:nvSpPr>
      <xdr:spPr bwMode="auto">
        <a:xfrm>
          <a:off x="24993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13</xdr:row>
      <xdr:rowOff>0</xdr:rowOff>
    </xdr:from>
    <xdr:ext cx="304800" cy="304800"/>
    <xdr:sp macro="" textlink="">
      <xdr:nvSpPr>
        <xdr:cNvPr id="110"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6E000000}"/>
            </a:ext>
          </a:extLst>
        </xdr:cNvPr>
        <xdr:cNvSpPr>
          <a:spLocks noChangeAspect="1" noChangeArrowheads="1"/>
        </xdr:cNvSpPr>
      </xdr:nvSpPr>
      <xdr:spPr bwMode="auto">
        <a:xfrm>
          <a:off x="24993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11" name="AutoShape 7" descr="Lem Silicon Dextone Sealant/Lem Kaca Dextone/Lem Tembak 300ml - Hitam">
          <a:extLst>
            <a:ext uri="{FF2B5EF4-FFF2-40B4-BE49-F238E27FC236}">
              <a16:creationId xmlns:a16="http://schemas.microsoft.com/office/drawing/2014/main" id="{00000000-0008-0000-0200-00006F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12" name="AutoShape 7" descr="Lem Silicon Dextone Sealant/Lem Kaca Dextone/Lem Tembak 300ml - Hitam">
          <a:extLst>
            <a:ext uri="{FF2B5EF4-FFF2-40B4-BE49-F238E27FC236}">
              <a16:creationId xmlns:a16="http://schemas.microsoft.com/office/drawing/2014/main" id="{00000000-0008-0000-0200-000070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13" name="AutoShape 7" descr="Lem Silicon Dextone Sealant/Lem Kaca Dextone/Lem Tembak 300ml - Hitam">
          <a:extLst>
            <a:ext uri="{FF2B5EF4-FFF2-40B4-BE49-F238E27FC236}">
              <a16:creationId xmlns:a16="http://schemas.microsoft.com/office/drawing/2014/main" id="{00000000-0008-0000-0200-000071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14" name="AutoShape 7" descr="Lem Silicon Dextone Sealant/Lem Kaca Dextone/Lem Tembak 300ml - Hitam">
          <a:extLst>
            <a:ext uri="{FF2B5EF4-FFF2-40B4-BE49-F238E27FC236}">
              <a16:creationId xmlns:a16="http://schemas.microsoft.com/office/drawing/2014/main" id="{00000000-0008-0000-0200-000072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15" name="AutoShape 7" descr="Lem Silicon Dextone Sealant/Lem Kaca Dextone/Lem Tembak 300ml - Hitam">
          <a:extLst>
            <a:ext uri="{FF2B5EF4-FFF2-40B4-BE49-F238E27FC236}">
              <a16:creationId xmlns:a16="http://schemas.microsoft.com/office/drawing/2014/main" id="{00000000-0008-0000-0200-000073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16" name="AutoShape 7" descr="Lem Silicon Dextone Sealant/Lem Kaca Dextone/Lem Tembak 300ml - Hitam">
          <a:extLst>
            <a:ext uri="{FF2B5EF4-FFF2-40B4-BE49-F238E27FC236}">
              <a16:creationId xmlns:a16="http://schemas.microsoft.com/office/drawing/2014/main" id="{00000000-0008-0000-0200-000074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2794000</xdr:colOff>
      <xdr:row>11</xdr:row>
      <xdr:rowOff>4064000</xdr:rowOff>
    </xdr:from>
    <xdr:ext cx="304800" cy="304800"/>
    <xdr:sp macro="" textlink="">
      <xdr:nvSpPr>
        <xdr:cNvPr id="117"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75000000}"/>
            </a:ext>
          </a:extLst>
        </xdr:cNvPr>
        <xdr:cNvSpPr>
          <a:spLocks noChangeAspect="1" noChangeArrowheads="1"/>
        </xdr:cNvSpPr>
      </xdr:nvSpPr>
      <xdr:spPr bwMode="auto">
        <a:xfrm>
          <a:off x="23726140" y="152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2794000</xdr:colOff>
      <xdr:row>12</xdr:row>
      <xdr:rowOff>4064000</xdr:rowOff>
    </xdr:from>
    <xdr:ext cx="304800" cy="304800"/>
    <xdr:sp macro="" textlink="">
      <xdr:nvSpPr>
        <xdr:cNvPr id="118"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76000000}"/>
            </a:ext>
          </a:extLst>
        </xdr:cNvPr>
        <xdr:cNvSpPr>
          <a:spLocks noChangeAspect="1" noChangeArrowheads="1"/>
        </xdr:cNvSpPr>
      </xdr:nvSpPr>
      <xdr:spPr bwMode="auto">
        <a:xfrm>
          <a:off x="23726140" y="18488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19" name="AutoShape 2" descr="Isolasi Listrik Nito">
          <a:extLst>
            <a:ext uri="{FF2B5EF4-FFF2-40B4-BE49-F238E27FC236}">
              <a16:creationId xmlns:a16="http://schemas.microsoft.com/office/drawing/2014/main" id="{00000000-0008-0000-0200-000077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20"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78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21" name="AutoShape 2" descr="Isolasi Listrik Nito">
          <a:extLst>
            <a:ext uri="{FF2B5EF4-FFF2-40B4-BE49-F238E27FC236}">
              <a16:creationId xmlns:a16="http://schemas.microsoft.com/office/drawing/2014/main" id="{00000000-0008-0000-0200-000079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22" name="AutoShape 2" descr="Isolasi Listrik Nito">
          <a:extLst>
            <a:ext uri="{FF2B5EF4-FFF2-40B4-BE49-F238E27FC236}">
              <a16:creationId xmlns:a16="http://schemas.microsoft.com/office/drawing/2014/main" id="{00000000-0008-0000-0200-00007A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23"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7B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14</xdr:row>
      <xdr:rowOff>0</xdr:rowOff>
    </xdr:from>
    <xdr:ext cx="304800" cy="304800"/>
    <xdr:sp macro="" textlink="">
      <xdr:nvSpPr>
        <xdr:cNvPr id="124" name="AutoShape 2" descr="Isolasi Listrik Nito">
          <a:extLst>
            <a:ext uri="{FF2B5EF4-FFF2-40B4-BE49-F238E27FC236}">
              <a16:creationId xmlns:a16="http://schemas.microsoft.com/office/drawing/2014/main" id="{00000000-0008-0000-0200-00007C000000}"/>
            </a:ext>
          </a:extLst>
        </xdr:cNvPr>
        <xdr:cNvSpPr>
          <a:spLocks noChangeAspect="1" noChangeArrowheads="1"/>
        </xdr:cNvSpPr>
      </xdr:nvSpPr>
      <xdr:spPr bwMode="auto">
        <a:xfrm>
          <a:off x="24993600" y="21816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14</xdr:row>
      <xdr:rowOff>0</xdr:rowOff>
    </xdr:from>
    <xdr:ext cx="304800" cy="304800"/>
    <xdr:sp macro="" textlink="">
      <xdr:nvSpPr>
        <xdr:cNvPr id="125"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7D000000}"/>
            </a:ext>
          </a:extLst>
        </xdr:cNvPr>
        <xdr:cNvSpPr>
          <a:spLocks noChangeAspect="1" noChangeArrowheads="1"/>
        </xdr:cNvSpPr>
      </xdr:nvSpPr>
      <xdr:spPr bwMode="auto">
        <a:xfrm>
          <a:off x="24993600" y="21816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17</xdr:row>
      <xdr:rowOff>0</xdr:rowOff>
    </xdr:from>
    <xdr:ext cx="304800" cy="304800"/>
    <xdr:sp macro="" textlink="">
      <xdr:nvSpPr>
        <xdr:cNvPr id="126" name="AutoShape 2" descr="Isolasi Listrik Nito">
          <a:extLst>
            <a:ext uri="{FF2B5EF4-FFF2-40B4-BE49-F238E27FC236}">
              <a16:creationId xmlns:a16="http://schemas.microsoft.com/office/drawing/2014/main" id="{00000000-0008-0000-0200-00007E000000}"/>
            </a:ext>
          </a:extLst>
        </xdr:cNvPr>
        <xdr:cNvSpPr>
          <a:spLocks noChangeAspect="1" noChangeArrowheads="1"/>
        </xdr:cNvSpPr>
      </xdr:nvSpPr>
      <xdr:spPr bwMode="auto">
        <a:xfrm>
          <a:off x="24993600" y="315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17</xdr:row>
      <xdr:rowOff>0</xdr:rowOff>
    </xdr:from>
    <xdr:ext cx="304800" cy="304800"/>
    <xdr:sp macro="" textlink="">
      <xdr:nvSpPr>
        <xdr:cNvPr id="127"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7F000000}"/>
            </a:ext>
          </a:extLst>
        </xdr:cNvPr>
        <xdr:cNvSpPr>
          <a:spLocks noChangeAspect="1" noChangeArrowheads="1"/>
        </xdr:cNvSpPr>
      </xdr:nvSpPr>
      <xdr:spPr bwMode="auto">
        <a:xfrm>
          <a:off x="24993600" y="315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17</xdr:row>
      <xdr:rowOff>0</xdr:rowOff>
    </xdr:from>
    <xdr:ext cx="304800" cy="304800"/>
    <xdr:sp macro="" textlink="">
      <xdr:nvSpPr>
        <xdr:cNvPr id="128" name="AutoShape 2" descr="Isolasi Listrik Nito">
          <a:extLst>
            <a:ext uri="{FF2B5EF4-FFF2-40B4-BE49-F238E27FC236}">
              <a16:creationId xmlns:a16="http://schemas.microsoft.com/office/drawing/2014/main" id="{00000000-0008-0000-0200-000080000000}"/>
            </a:ext>
          </a:extLst>
        </xdr:cNvPr>
        <xdr:cNvSpPr>
          <a:spLocks noChangeAspect="1" noChangeArrowheads="1"/>
        </xdr:cNvSpPr>
      </xdr:nvSpPr>
      <xdr:spPr bwMode="auto">
        <a:xfrm>
          <a:off x="24993600" y="315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17</xdr:row>
      <xdr:rowOff>0</xdr:rowOff>
    </xdr:from>
    <xdr:ext cx="304800" cy="304800"/>
    <xdr:sp macro="" textlink="">
      <xdr:nvSpPr>
        <xdr:cNvPr id="129"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81000000}"/>
            </a:ext>
          </a:extLst>
        </xdr:cNvPr>
        <xdr:cNvSpPr>
          <a:spLocks noChangeAspect="1" noChangeArrowheads="1"/>
        </xdr:cNvSpPr>
      </xdr:nvSpPr>
      <xdr:spPr bwMode="auto">
        <a:xfrm>
          <a:off x="24993600" y="315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30" name="AutoShape 2" descr="Isolasi Listrik Nito">
          <a:extLst>
            <a:ext uri="{FF2B5EF4-FFF2-40B4-BE49-F238E27FC236}">
              <a16:creationId xmlns:a16="http://schemas.microsoft.com/office/drawing/2014/main" id="{00000000-0008-0000-0200-000082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31"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83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2794000</xdr:colOff>
      <xdr:row>15</xdr:row>
      <xdr:rowOff>4064000</xdr:rowOff>
    </xdr:from>
    <xdr:ext cx="304800" cy="304800"/>
    <xdr:sp macro="" textlink="">
      <xdr:nvSpPr>
        <xdr:cNvPr id="132"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84000000}"/>
            </a:ext>
          </a:extLst>
        </xdr:cNvPr>
        <xdr:cNvSpPr>
          <a:spLocks noChangeAspect="1" noChangeArrowheads="1"/>
        </xdr:cNvSpPr>
      </xdr:nvSpPr>
      <xdr:spPr bwMode="auto">
        <a:xfrm>
          <a:off x="23726140" y="29987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33" name="AutoShape 2" descr="Isolasi Listrik Nito">
          <a:extLst>
            <a:ext uri="{FF2B5EF4-FFF2-40B4-BE49-F238E27FC236}">
              <a16:creationId xmlns:a16="http://schemas.microsoft.com/office/drawing/2014/main" id="{00000000-0008-0000-0200-000085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34"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86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35" name="AutoShape 2" descr="Isolasi Listrik Nito">
          <a:extLst>
            <a:ext uri="{FF2B5EF4-FFF2-40B4-BE49-F238E27FC236}">
              <a16:creationId xmlns:a16="http://schemas.microsoft.com/office/drawing/2014/main" id="{00000000-0008-0000-0200-000087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15</xdr:row>
      <xdr:rowOff>0</xdr:rowOff>
    </xdr:from>
    <xdr:ext cx="304800" cy="304800"/>
    <xdr:sp macro="" textlink="">
      <xdr:nvSpPr>
        <xdr:cNvPr id="136"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88000000}"/>
            </a:ext>
          </a:extLst>
        </xdr:cNvPr>
        <xdr:cNvSpPr>
          <a:spLocks noChangeAspect="1" noChangeArrowheads="1"/>
        </xdr:cNvSpPr>
      </xdr:nvSpPr>
      <xdr:spPr bwMode="auto">
        <a:xfrm>
          <a:off x="24993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17</xdr:row>
      <xdr:rowOff>0</xdr:rowOff>
    </xdr:from>
    <xdr:ext cx="304800" cy="304800"/>
    <xdr:sp macro="" textlink="">
      <xdr:nvSpPr>
        <xdr:cNvPr id="137" name="AutoShape 2" descr="Isolasi Listrik Nito">
          <a:extLst>
            <a:ext uri="{FF2B5EF4-FFF2-40B4-BE49-F238E27FC236}">
              <a16:creationId xmlns:a16="http://schemas.microsoft.com/office/drawing/2014/main" id="{00000000-0008-0000-0200-000089000000}"/>
            </a:ext>
          </a:extLst>
        </xdr:cNvPr>
        <xdr:cNvSpPr>
          <a:spLocks noChangeAspect="1" noChangeArrowheads="1"/>
        </xdr:cNvSpPr>
      </xdr:nvSpPr>
      <xdr:spPr bwMode="auto">
        <a:xfrm>
          <a:off x="24993600" y="315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17</xdr:row>
      <xdr:rowOff>0</xdr:rowOff>
    </xdr:from>
    <xdr:ext cx="304800" cy="304800"/>
    <xdr:sp macro="" textlink="">
      <xdr:nvSpPr>
        <xdr:cNvPr id="138"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8A000000}"/>
            </a:ext>
          </a:extLst>
        </xdr:cNvPr>
        <xdr:cNvSpPr>
          <a:spLocks noChangeAspect="1" noChangeArrowheads="1"/>
        </xdr:cNvSpPr>
      </xdr:nvSpPr>
      <xdr:spPr bwMode="auto">
        <a:xfrm>
          <a:off x="24993600" y="315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17</xdr:row>
      <xdr:rowOff>0</xdr:rowOff>
    </xdr:from>
    <xdr:ext cx="304800" cy="304800"/>
    <xdr:sp macro="" textlink="">
      <xdr:nvSpPr>
        <xdr:cNvPr id="139" name="AutoShape 2" descr="Isolasi Listrik Nito">
          <a:extLst>
            <a:ext uri="{FF2B5EF4-FFF2-40B4-BE49-F238E27FC236}">
              <a16:creationId xmlns:a16="http://schemas.microsoft.com/office/drawing/2014/main" id="{00000000-0008-0000-0200-00008B000000}"/>
            </a:ext>
          </a:extLst>
        </xdr:cNvPr>
        <xdr:cNvSpPr>
          <a:spLocks noChangeAspect="1" noChangeArrowheads="1"/>
        </xdr:cNvSpPr>
      </xdr:nvSpPr>
      <xdr:spPr bwMode="auto">
        <a:xfrm>
          <a:off x="24993600" y="315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17</xdr:row>
      <xdr:rowOff>0</xdr:rowOff>
    </xdr:from>
    <xdr:ext cx="304800" cy="304800"/>
    <xdr:sp macro="" textlink="">
      <xdr:nvSpPr>
        <xdr:cNvPr id="140"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8C000000}"/>
            </a:ext>
          </a:extLst>
        </xdr:cNvPr>
        <xdr:cNvSpPr>
          <a:spLocks noChangeAspect="1" noChangeArrowheads="1"/>
        </xdr:cNvSpPr>
      </xdr:nvSpPr>
      <xdr:spPr bwMode="auto">
        <a:xfrm>
          <a:off x="24993600" y="315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19</xdr:row>
      <xdr:rowOff>0</xdr:rowOff>
    </xdr:from>
    <xdr:ext cx="304800" cy="304800"/>
    <xdr:sp macro="" textlink="">
      <xdr:nvSpPr>
        <xdr:cNvPr id="141" name="AutoShape 2" descr="Isolasi Listrik Nito">
          <a:extLst>
            <a:ext uri="{FF2B5EF4-FFF2-40B4-BE49-F238E27FC236}">
              <a16:creationId xmlns:a16="http://schemas.microsoft.com/office/drawing/2014/main" id="{00000000-0008-0000-0200-00008D000000}"/>
            </a:ext>
          </a:extLst>
        </xdr:cNvPr>
        <xdr:cNvSpPr>
          <a:spLocks noChangeAspect="1" noChangeArrowheads="1"/>
        </xdr:cNvSpPr>
      </xdr:nvSpPr>
      <xdr:spPr bwMode="auto">
        <a:xfrm>
          <a:off x="24993600" y="35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18</xdr:row>
      <xdr:rowOff>0</xdr:rowOff>
    </xdr:from>
    <xdr:ext cx="304800" cy="304800"/>
    <xdr:sp macro="" textlink="">
      <xdr:nvSpPr>
        <xdr:cNvPr id="142" name="AutoShape 2" descr="Isolasi Listrik Nito">
          <a:extLst>
            <a:ext uri="{FF2B5EF4-FFF2-40B4-BE49-F238E27FC236}">
              <a16:creationId xmlns:a16="http://schemas.microsoft.com/office/drawing/2014/main" id="{00000000-0008-0000-0200-00008E000000}"/>
            </a:ext>
          </a:extLst>
        </xdr:cNvPr>
        <xdr:cNvSpPr>
          <a:spLocks noChangeAspect="1" noChangeArrowheads="1"/>
        </xdr:cNvSpPr>
      </xdr:nvSpPr>
      <xdr:spPr bwMode="auto">
        <a:xfrm>
          <a:off x="24993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18</xdr:row>
      <xdr:rowOff>0</xdr:rowOff>
    </xdr:from>
    <xdr:ext cx="304800" cy="304800"/>
    <xdr:sp macro="" textlink="">
      <xdr:nvSpPr>
        <xdr:cNvPr id="143"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8F000000}"/>
            </a:ext>
          </a:extLst>
        </xdr:cNvPr>
        <xdr:cNvSpPr>
          <a:spLocks noChangeAspect="1" noChangeArrowheads="1"/>
        </xdr:cNvSpPr>
      </xdr:nvSpPr>
      <xdr:spPr bwMode="auto">
        <a:xfrm>
          <a:off x="24993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19</xdr:row>
      <xdr:rowOff>0</xdr:rowOff>
    </xdr:from>
    <xdr:ext cx="304800" cy="304800"/>
    <xdr:sp macro="" textlink="">
      <xdr:nvSpPr>
        <xdr:cNvPr id="144" name="AutoShape 2" descr="Isolasi Listrik Nito">
          <a:extLst>
            <a:ext uri="{FF2B5EF4-FFF2-40B4-BE49-F238E27FC236}">
              <a16:creationId xmlns:a16="http://schemas.microsoft.com/office/drawing/2014/main" id="{00000000-0008-0000-0200-000090000000}"/>
            </a:ext>
          </a:extLst>
        </xdr:cNvPr>
        <xdr:cNvSpPr>
          <a:spLocks noChangeAspect="1" noChangeArrowheads="1"/>
        </xdr:cNvSpPr>
      </xdr:nvSpPr>
      <xdr:spPr bwMode="auto">
        <a:xfrm>
          <a:off x="24993600" y="35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19</xdr:row>
      <xdr:rowOff>0</xdr:rowOff>
    </xdr:from>
    <xdr:ext cx="304800" cy="304800"/>
    <xdr:sp macro="" textlink="">
      <xdr:nvSpPr>
        <xdr:cNvPr id="145"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91000000}"/>
            </a:ext>
          </a:extLst>
        </xdr:cNvPr>
        <xdr:cNvSpPr>
          <a:spLocks noChangeAspect="1" noChangeArrowheads="1"/>
        </xdr:cNvSpPr>
      </xdr:nvSpPr>
      <xdr:spPr bwMode="auto">
        <a:xfrm>
          <a:off x="24993600" y="35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146" name="AutoShape 7" descr="Lem Silicon Dextone Sealant/Lem Kaca Dextone/Lem Tembak 300ml - Hitam">
          <a:extLst>
            <a:ext uri="{FF2B5EF4-FFF2-40B4-BE49-F238E27FC236}">
              <a16:creationId xmlns:a16="http://schemas.microsoft.com/office/drawing/2014/main" id="{00000000-0008-0000-0200-000092000000}"/>
            </a:ext>
          </a:extLst>
        </xdr:cNvPr>
        <xdr:cNvSpPr>
          <a:spLocks noChangeAspect="1" noChangeArrowheads="1"/>
        </xdr:cNvSpPr>
      </xdr:nvSpPr>
      <xdr:spPr bwMode="auto">
        <a:xfrm>
          <a:off x="37566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147" name="AutoShape 7" descr="Lem Silicon Dextone Sealant/Lem Kaca Dextone/Lem Tembak 300ml - Hitam">
          <a:extLst>
            <a:ext uri="{FF2B5EF4-FFF2-40B4-BE49-F238E27FC236}">
              <a16:creationId xmlns:a16="http://schemas.microsoft.com/office/drawing/2014/main" id="{00000000-0008-0000-0200-000093000000}"/>
            </a:ext>
          </a:extLst>
        </xdr:cNvPr>
        <xdr:cNvSpPr>
          <a:spLocks noChangeAspect="1" noChangeArrowheads="1"/>
        </xdr:cNvSpPr>
      </xdr:nvSpPr>
      <xdr:spPr bwMode="auto">
        <a:xfrm>
          <a:off x="37566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148" name="AutoShape 7" descr="Lem Silicon Dextone Sealant/Lem Kaca Dextone/Lem Tembak 300ml - Hitam">
          <a:extLst>
            <a:ext uri="{FF2B5EF4-FFF2-40B4-BE49-F238E27FC236}">
              <a16:creationId xmlns:a16="http://schemas.microsoft.com/office/drawing/2014/main" id="{00000000-0008-0000-0200-000094000000}"/>
            </a:ext>
          </a:extLst>
        </xdr:cNvPr>
        <xdr:cNvSpPr>
          <a:spLocks noChangeAspect="1" noChangeArrowheads="1"/>
        </xdr:cNvSpPr>
      </xdr:nvSpPr>
      <xdr:spPr bwMode="auto">
        <a:xfrm>
          <a:off x="37566600" y="26083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16</xdr:row>
      <xdr:rowOff>0</xdr:rowOff>
    </xdr:from>
    <xdr:ext cx="304800" cy="304800"/>
    <xdr:sp macro="" textlink="">
      <xdr:nvSpPr>
        <xdr:cNvPr id="149" name="AutoShape 2" descr="Isolasi Listrik Nito">
          <a:extLst>
            <a:ext uri="{FF2B5EF4-FFF2-40B4-BE49-F238E27FC236}">
              <a16:creationId xmlns:a16="http://schemas.microsoft.com/office/drawing/2014/main" id="{00000000-0008-0000-0200-000095000000}"/>
            </a:ext>
          </a:extLst>
        </xdr:cNvPr>
        <xdr:cNvSpPr>
          <a:spLocks noChangeAspect="1" noChangeArrowheads="1"/>
        </xdr:cNvSpPr>
      </xdr:nvSpPr>
      <xdr:spPr bwMode="auto">
        <a:xfrm>
          <a:off x="2499360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16</xdr:row>
      <xdr:rowOff>0</xdr:rowOff>
    </xdr:from>
    <xdr:ext cx="304800" cy="304800"/>
    <xdr:sp macro="" textlink="">
      <xdr:nvSpPr>
        <xdr:cNvPr id="150"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96000000}"/>
            </a:ext>
          </a:extLst>
        </xdr:cNvPr>
        <xdr:cNvSpPr>
          <a:spLocks noChangeAspect="1" noChangeArrowheads="1"/>
        </xdr:cNvSpPr>
      </xdr:nvSpPr>
      <xdr:spPr bwMode="auto">
        <a:xfrm>
          <a:off x="2499360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16</xdr:row>
      <xdr:rowOff>0</xdr:rowOff>
    </xdr:from>
    <xdr:ext cx="304800" cy="304800"/>
    <xdr:sp macro="" textlink="">
      <xdr:nvSpPr>
        <xdr:cNvPr id="151" name="AutoShape 2" descr="Isolasi Listrik Nito">
          <a:extLst>
            <a:ext uri="{FF2B5EF4-FFF2-40B4-BE49-F238E27FC236}">
              <a16:creationId xmlns:a16="http://schemas.microsoft.com/office/drawing/2014/main" id="{00000000-0008-0000-0200-000097000000}"/>
            </a:ext>
          </a:extLst>
        </xdr:cNvPr>
        <xdr:cNvSpPr>
          <a:spLocks noChangeAspect="1" noChangeArrowheads="1"/>
        </xdr:cNvSpPr>
      </xdr:nvSpPr>
      <xdr:spPr bwMode="auto">
        <a:xfrm>
          <a:off x="2499360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16</xdr:row>
      <xdr:rowOff>0</xdr:rowOff>
    </xdr:from>
    <xdr:ext cx="304800" cy="304800"/>
    <xdr:sp macro="" textlink="">
      <xdr:nvSpPr>
        <xdr:cNvPr id="152"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98000000}"/>
            </a:ext>
          </a:extLst>
        </xdr:cNvPr>
        <xdr:cNvSpPr>
          <a:spLocks noChangeAspect="1" noChangeArrowheads="1"/>
        </xdr:cNvSpPr>
      </xdr:nvSpPr>
      <xdr:spPr bwMode="auto">
        <a:xfrm>
          <a:off x="2499360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16</xdr:row>
      <xdr:rowOff>0</xdr:rowOff>
    </xdr:from>
    <xdr:ext cx="304800" cy="304800"/>
    <xdr:sp macro="" textlink="">
      <xdr:nvSpPr>
        <xdr:cNvPr id="153" name="AutoShape 2" descr="Isolasi Listrik Nito">
          <a:extLst>
            <a:ext uri="{FF2B5EF4-FFF2-40B4-BE49-F238E27FC236}">
              <a16:creationId xmlns:a16="http://schemas.microsoft.com/office/drawing/2014/main" id="{00000000-0008-0000-0200-000099000000}"/>
            </a:ext>
          </a:extLst>
        </xdr:cNvPr>
        <xdr:cNvSpPr>
          <a:spLocks noChangeAspect="1" noChangeArrowheads="1"/>
        </xdr:cNvSpPr>
      </xdr:nvSpPr>
      <xdr:spPr bwMode="auto">
        <a:xfrm>
          <a:off x="2499360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16</xdr:row>
      <xdr:rowOff>0</xdr:rowOff>
    </xdr:from>
    <xdr:ext cx="304800" cy="304800"/>
    <xdr:sp macro="" textlink="">
      <xdr:nvSpPr>
        <xdr:cNvPr id="154"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9A000000}"/>
            </a:ext>
          </a:extLst>
        </xdr:cNvPr>
        <xdr:cNvSpPr>
          <a:spLocks noChangeAspect="1" noChangeArrowheads="1"/>
        </xdr:cNvSpPr>
      </xdr:nvSpPr>
      <xdr:spPr bwMode="auto">
        <a:xfrm>
          <a:off x="2499360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16</xdr:row>
      <xdr:rowOff>0</xdr:rowOff>
    </xdr:from>
    <xdr:ext cx="304800" cy="304800"/>
    <xdr:sp macro="" textlink="">
      <xdr:nvSpPr>
        <xdr:cNvPr id="155" name="AutoShape 2" descr="Isolasi Listrik Nito">
          <a:extLst>
            <a:ext uri="{FF2B5EF4-FFF2-40B4-BE49-F238E27FC236}">
              <a16:creationId xmlns:a16="http://schemas.microsoft.com/office/drawing/2014/main" id="{00000000-0008-0000-0200-00009B000000}"/>
            </a:ext>
          </a:extLst>
        </xdr:cNvPr>
        <xdr:cNvSpPr>
          <a:spLocks noChangeAspect="1" noChangeArrowheads="1"/>
        </xdr:cNvSpPr>
      </xdr:nvSpPr>
      <xdr:spPr bwMode="auto">
        <a:xfrm>
          <a:off x="2499360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16</xdr:row>
      <xdr:rowOff>0</xdr:rowOff>
    </xdr:from>
    <xdr:ext cx="304800" cy="304800"/>
    <xdr:sp macro="" textlink="">
      <xdr:nvSpPr>
        <xdr:cNvPr id="156"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9C000000}"/>
            </a:ext>
          </a:extLst>
        </xdr:cNvPr>
        <xdr:cNvSpPr>
          <a:spLocks noChangeAspect="1" noChangeArrowheads="1"/>
        </xdr:cNvSpPr>
      </xdr:nvSpPr>
      <xdr:spPr bwMode="auto">
        <a:xfrm>
          <a:off x="2499360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261938</xdr:colOff>
      <xdr:row>18</xdr:row>
      <xdr:rowOff>0</xdr:rowOff>
    </xdr:from>
    <xdr:ext cx="304800" cy="304800"/>
    <xdr:sp macro="" textlink="">
      <xdr:nvSpPr>
        <xdr:cNvPr id="157" name="AutoShape 8" descr="Jual Seal Tape ONDA di Lapak KIAN CITRA ABADI | Bukalapak">
          <a:extLst>
            <a:ext uri="{FF2B5EF4-FFF2-40B4-BE49-F238E27FC236}">
              <a16:creationId xmlns:a16="http://schemas.microsoft.com/office/drawing/2014/main" id="{00000000-0008-0000-0200-00009D000000}"/>
            </a:ext>
          </a:extLst>
        </xdr:cNvPr>
        <xdr:cNvSpPr>
          <a:spLocks noChangeAspect="1" noChangeArrowheads="1"/>
        </xdr:cNvSpPr>
      </xdr:nvSpPr>
      <xdr:spPr bwMode="auto">
        <a:xfrm>
          <a:off x="8864918"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18</xdr:row>
      <xdr:rowOff>0</xdr:rowOff>
    </xdr:from>
    <xdr:ext cx="304800" cy="304800"/>
    <xdr:sp macro="" textlink="">
      <xdr:nvSpPr>
        <xdr:cNvPr id="158" name="AutoShape 7" descr="Lem Silicon Dextone Sealant/Lem Kaca Dextone/Lem Tembak 300ml - Hitam">
          <a:extLst>
            <a:ext uri="{FF2B5EF4-FFF2-40B4-BE49-F238E27FC236}">
              <a16:creationId xmlns:a16="http://schemas.microsoft.com/office/drawing/2014/main" id="{00000000-0008-0000-0200-00009E000000}"/>
            </a:ext>
          </a:extLst>
        </xdr:cNvPr>
        <xdr:cNvSpPr>
          <a:spLocks noChangeAspect="1" noChangeArrowheads="1"/>
        </xdr:cNvSpPr>
      </xdr:nvSpPr>
      <xdr:spPr bwMode="auto">
        <a:xfrm>
          <a:off x="37566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18</xdr:row>
      <xdr:rowOff>0</xdr:rowOff>
    </xdr:from>
    <xdr:ext cx="304800" cy="304800"/>
    <xdr:sp macro="" textlink="">
      <xdr:nvSpPr>
        <xdr:cNvPr id="159" name="AutoShape 7" descr="Lem Silicon Dextone Sealant/Lem Kaca Dextone/Lem Tembak 300ml - Hitam">
          <a:extLst>
            <a:ext uri="{FF2B5EF4-FFF2-40B4-BE49-F238E27FC236}">
              <a16:creationId xmlns:a16="http://schemas.microsoft.com/office/drawing/2014/main" id="{00000000-0008-0000-0200-00009F000000}"/>
            </a:ext>
          </a:extLst>
        </xdr:cNvPr>
        <xdr:cNvSpPr>
          <a:spLocks noChangeAspect="1" noChangeArrowheads="1"/>
        </xdr:cNvSpPr>
      </xdr:nvSpPr>
      <xdr:spPr bwMode="auto">
        <a:xfrm>
          <a:off x="37566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18</xdr:row>
      <xdr:rowOff>0</xdr:rowOff>
    </xdr:from>
    <xdr:ext cx="304800" cy="304800"/>
    <xdr:sp macro="" textlink="">
      <xdr:nvSpPr>
        <xdr:cNvPr id="160" name="AutoShape 7" descr="Lem Silicon Dextone Sealant/Lem Kaca Dextone/Lem Tembak 300ml - Hitam">
          <a:extLst>
            <a:ext uri="{FF2B5EF4-FFF2-40B4-BE49-F238E27FC236}">
              <a16:creationId xmlns:a16="http://schemas.microsoft.com/office/drawing/2014/main" id="{00000000-0008-0000-0200-0000A0000000}"/>
            </a:ext>
          </a:extLst>
        </xdr:cNvPr>
        <xdr:cNvSpPr>
          <a:spLocks noChangeAspect="1" noChangeArrowheads="1"/>
        </xdr:cNvSpPr>
      </xdr:nvSpPr>
      <xdr:spPr bwMode="auto">
        <a:xfrm>
          <a:off x="37566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18</xdr:row>
      <xdr:rowOff>0</xdr:rowOff>
    </xdr:from>
    <xdr:ext cx="304800" cy="304800"/>
    <xdr:sp macro="" textlink="">
      <xdr:nvSpPr>
        <xdr:cNvPr id="161" name="AutoShape 2" descr="Isolasi Listrik Nito">
          <a:extLst>
            <a:ext uri="{FF2B5EF4-FFF2-40B4-BE49-F238E27FC236}">
              <a16:creationId xmlns:a16="http://schemas.microsoft.com/office/drawing/2014/main" id="{00000000-0008-0000-0200-0000A1000000}"/>
            </a:ext>
          </a:extLst>
        </xdr:cNvPr>
        <xdr:cNvSpPr>
          <a:spLocks noChangeAspect="1" noChangeArrowheads="1"/>
        </xdr:cNvSpPr>
      </xdr:nvSpPr>
      <xdr:spPr bwMode="auto">
        <a:xfrm>
          <a:off x="24993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18</xdr:row>
      <xdr:rowOff>0</xdr:rowOff>
    </xdr:from>
    <xdr:ext cx="304800" cy="304800"/>
    <xdr:sp macro="" textlink="">
      <xdr:nvSpPr>
        <xdr:cNvPr id="162"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A2000000}"/>
            </a:ext>
          </a:extLst>
        </xdr:cNvPr>
        <xdr:cNvSpPr>
          <a:spLocks noChangeAspect="1" noChangeArrowheads="1"/>
        </xdr:cNvSpPr>
      </xdr:nvSpPr>
      <xdr:spPr bwMode="auto">
        <a:xfrm>
          <a:off x="24993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18</xdr:row>
      <xdr:rowOff>0</xdr:rowOff>
    </xdr:from>
    <xdr:ext cx="304800" cy="304800"/>
    <xdr:sp macro="" textlink="">
      <xdr:nvSpPr>
        <xdr:cNvPr id="163" name="AutoShape 2" descr="Isolasi Listrik Nito">
          <a:extLst>
            <a:ext uri="{FF2B5EF4-FFF2-40B4-BE49-F238E27FC236}">
              <a16:creationId xmlns:a16="http://schemas.microsoft.com/office/drawing/2014/main" id="{00000000-0008-0000-0200-0000A3000000}"/>
            </a:ext>
          </a:extLst>
        </xdr:cNvPr>
        <xdr:cNvSpPr>
          <a:spLocks noChangeAspect="1" noChangeArrowheads="1"/>
        </xdr:cNvSpPr>
      </xdr:nvSpPr>
      <xdr:spPr bwMode="auto">
        <a:xfrm>
          <a:off x="24993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18</xdr:row>
      <xdr:rowOff>0</xdr:rowOff>
    </xdr:from>
    <xdr:ext cx="304800" cy="304800"/>
    <xdr:sp macro="" textlink="">
      <xdr:nvSpPr>
        <xdr:cNvPr id="164" name="AutoShape 1" descr="Jual CAT DULUX CATYLAC INTERIOR 5 KG - PUTIH BRILLIANT WHITE 2290 - Jakarta  Barat - Toko Cat Dulux Decorative | Tokopedia">
          <a:extLst>
            <a:ext uri="{FF2B5EF4-FFF2-40B4-BE49-F238E27FC236}">
              <a16:creationId xmlns:a16="http://schemas.microsoft.com/office/drawing/2014/main" id="{00000000-0008-0000-0200-0000A4000000}"/>
            </a:ext>
          </a:extLst>
        </xdr:cNvPr>
        <xdr:cNvSpPr>
          <a:spLocks noChangeAspect="1" noChangeArrowheads="1"/>
        </xdr:cNvSpPr>
      </xdr:nvSpPr>
      <xdr:spPr bwMode="auto">
        <a:xfrm>
          <a:off x="24993600" y="3227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65" name="AutoShape 7" descr="Lem Silicon Dextone Sealant/Lem Kaca Dextone/Lem Tembak 300ml - Hitam">
          <a:extLst>
            <a:ext uri="{FF2B5EF4-FFF2-40B4-BE49-F238E27FC236}">
              <a16:creationId xmlns:a16="http://schemas.microsoft.com/office/drawing/2014/main" id="{00000000-0008-0000-0200-0000A5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66" name="AutoShape 7" descr="Lem Silicon Dextone Sealant/Lem Kaca Dextone/Lem Tembak 300ml - Hitam">
          <a:extLst>
            <a:ext uri="{FF2B5EF4-FFF2-40B4-BE49-F238E27FC236}">
              <a16:creationId xmlns:a16="http://schemas.microsoft.com/office/drawing/2014/main" id="{00000000-0008-0000-0200-0000A6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67" name="AutoShape 7" descr="Lem Silicon Dextone Sealant/Lem Kaca Dextone/Lem Tembak 300ml - Hitam">
          <a:extLst>
            <a:ext uri="{FF2B5EF4-FFF2-40B4-BE49-F238E27FC236}">
              <a16:creationId xmlns:a16="http://schemas.microsoft.com/office/drawing/2014/main" id="{00000000-0008-0000-0200-0000A7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68" name="AutoShape 7" descr="Lem Silicon Dextone Sealant/Lem Kaca Dextone/Lem Tembak 300ml - Hitam">
          <a:extLst>
            <a:ext uri="{FF2B5EF4-FFF2-40B4-BE49-F238E27FC236}">
              <a16:creationId xmlns:a16="http://schemas.microsoft.com/office/drawing/2014/main" id="{00000000-0008-0000-0200-0000A8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69" name="AutoShape 7" descr="Lem Silicon Dextone Sealant/Lem Kaca Dextone/Lem Tembak 300ml - Hitam">
          <a:extLst>
            <a:ext uri="{FF2B5EF4-FFF2-40B4-BE49-F238E27FC236}">
              <a16:creationId xmlns:a16="http://schemas.microsoft.com/office/drawing/2014/main" id="{00000000-0008-0000-0200-0000A9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13</xdr:row>
      <xdr:rowOff>0</xdr:rowOff>
    </xdr:from>
    <xdr:ext cx="304800" cy="304800"/>
    <xdr:sp macro="" textlink="">
      <xdr:nvSpPr>
        <xdr:cNvPr id="170" name="AutoShape 7" descr="Lem Silicon Dextone Sealant/Lem Kaca Dextone/Lem Tembak 300ml - Hitam">
          <a:extLst>
            <a:ext uri="{FF2B5EF4-FFF2-40B4-BE49-F238E27FC236}">
              <a16:creationId xmlns:a16="http://schemas.microsoft.com/office/drawing/2014/main" id="{00000000-0008-0000-0200-0000AA000000}"/>
            </a:ext>
          </a:extLst>
        </xdr:cNvPr>
        <xdr:cNvSpPr>
          <a:spLocks noChangeAspect="1" noChangeArrowheads="1"/>
        </xdr:cNvSpPr>
      </xdr:nvSpPr>
      <xdr:spPr bwMode="auto">
        <a:xfrm>
          <a:off x="37566600" y="18486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71" name="AutoShape 7" descr="Lem Silicon Dextone Sealant/Lem Kaca Dextone/Lem Tembak 300ml - Hitam">
          <a:extLst>
            <a:ext uri="{FF2B5EF4-FFF2-40B4-BE49-F238E27FC236}">
              <a16:creationId xmlns:a16="http://schemas.microsoft.com/office/drawing/2014/main" id="{00000000-0008-0000-0200-0000AB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72" name="AutoShape 7" descr="Lem Silicon Dextone Sealant/Lem Kaca Dextone/Lem Tembak 300ml - Hitam">
          <a:extLst>
            <a:ext uri="{FF2B5EF4-FFF2-40B4-BE49-F238E27FC236}">
              <a16:creationId xmlns:a16="http://schemas.microsoft.com/office/drawing/2014/main" id="{00000000-0008-0000-0200-0000AC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73" name="AutoShape 7" descr="Lem Silicon Dextone Sealant/Lem Kaca Dextone/Lem Tembak 300ml - Hitam">
          <a:extLst>
            <a:ext uri="{FF2B5EF4-FFF2-40B4-BE49-F238E27FC236}">
              <a16:creationId xmlns:a16="http://schemas.microsoft.com/office/drawing/2014/main" id="{00000000-0008-0000-0200-0000AD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74" name="AutoShape 7" descr="Lem Silicon Dextone Sealant/Lem Kaca Dextone/Lem Tembak 300ml - Hitam">
          <a:extLst>
            <a:ext uri="{FF2B5EF4-FFF2-40B4-BE49-F238E27FC236}">
              <a16:creationId xmlns:a16="http://schemas.microsoft.com/office/drawing/2014/main" id="{00000000-0008-0000-0200-0000AE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75" name="AutoShape 7" descr="Lem Silicon Dextone Sealant/Lem Kaca Dextone/Lem Tembak 300ml - Hitam">
          <a:extLst>
            <a:ext uri="{FF2B5EF4-FFF2-40B4-BE49-F238E27FC236}">
              <a16:creationId xmlns:a16="http://schemas.microsoft.com/office/drawing/2014/main" id="{00000000-0008-0000-0200-0000AF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76" name="AutoShape 7" descr="Lem Silicon Dextone Sealant/Lem Kaca Dextone/Lem Tembak 300ml - Hitam">
          <a:extLst>
            <a:ext uri="{FF2B5EF4-FFF2-40B4-BE49-F238E27FC236}">
              <a16:creationId xmlns:a16="http://schemas.microsoft.com/office/drawing/2014/main" id="{00000000-0008-0000-0200-0000B0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77" name="AutoShape 7" descr="Lem Silicon Dextone Sealant/Lem Kaca Dextone/Lem Tembak 300ml - Hitam">
          <a:extLst>
            <a:ext uri="{FF2B5EF4-FFF2-40B4-BE49-F238E27FC236}">
              <a16:creationId xmlns:a16="http://schemas.microsoft.com/office/drawing/2014/main" id="{00000000-0008-0000-0200-0000B1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78" name="AutoShape 7" descr="Lem Silicon Dextone Sealant/Lem Kaca Dextone/Lem Tembak 300ml - Hitam">
          <a:extLst>
            <a:ext uri="{FF2B5EF4-FFF2-40B4-BE49-F238E27FC236}">
              <a16:creationId xmlns:a16="http://schemas.microsoft.com/office/drawing/2014/main" id="{00000000-0008-0000-0200-0000B2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79" name="AutoShape 7" descr="Lem Silicon Dextone Sealant/Lem Kaca Dextone/Lem Tembak 300ml - Hitam">
          <a:extLst>
            <a:ext uri="{FF2B5EF4-FFF2-40B4-BE49-F238E27FC236}">
              <a16:creationId xmlns:a16="http://schemas.microsoft.com/office/drawing/2014/main" id="{00000000-0008-0000-0200-0000B3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80" name="AutoShape 7" descr="Lem Silicon Dextone Sealant/Lem Kaca Dextone/Lem Tembak 300ml - Hitam">
          <a:extLst>
            <a:ext uri="{FF2B5EF4-FFF2-40B4-BE49-F238E27FC236}">
              <a16:creationId xmlns:a16="http://schemas.microsoft.com/office/drawing/2014/main" id="{00000000-0008-0000-0200-0000B4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81" name="AutoShape 7" descr="Lem Silicon Dextone Sealant/Lem Kaca Dextone/Lem Tembak 300ml - Hitam">
          <a:extLst>
            <a:ext uri="{FF2B5EF4-FFF2-40B4-BE49-F238E27FC236}">
              <a16:creationId xmlns:a16="http://schemas.microsoft.com/office/drawing/2014/main" id="{00000000-0008-0000-0200-0000B5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4800"/>
    <xdr:sp macro="" textlink="">
      <xdr:nvSpPr>
        <xdr:cNvPr id="182" name="AutoShape 7" descr="Lem Silicon Dextone Sealant/Lem Kaca Dextone/Lem Tembak 300ml - Hitam">
          <a:extLst>
            <a:ext uri="{FF2B5EF4-FFF2-40B4-BE49-F238E27FC236}">
              <a16:creationId xmlns:a16="http://schemas.microsoft.com/office/drawing/2014/main" id="{00000000-0008-0000-0200-0000B6000000}"/>
            </a:ext>
          </a:extLst>
        </xdr:cNvPr>
        <xdr:cNvSpPr>
          <a:spLocks noChangeAspect="1" noChangeArrowheads="1"/>
        </xdr:cNvSpPr>
      </xdr:nvSpPr>
      <xdr:spPr bwMode="auto">
        <a:xfrm>
          <a:off x="37566600" y="41285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30</xdr:row>
      <xdr:rowOff>76199</xdr:rowOff>
    </xdr:from>
    <xdr:to>
      <xdr:col>8</xdr:col>
      <xdr:colOff>495300</xdr:colOff>
      <xdr:row>107</xdr:row>
      <xdr:rowOff>177958</xdr:rowOff>
    </xdr:to>
    <xdr:pic>
      <xdr:nvPicPr>
        <xdr:cNvPr id="183" name="Picture 182">
          <a:extLst>
            <a:ext uri="{FF2B5EF4-FFF2-40B4-BE49-F238E27FC236}">
              <a16:creationId xmlns:a16="http://schemas.microsoft.com/office/drawing/2014/main" id="{00000000-0008-0000-0200-0000B7000000}"/>
            </a:ext>
          </a:extLst>
        </xdr:cNvPr>
        <xdr:cNvPicPr>
          <a:picLocks noChangeAspect="1"/>
        </xdr:cNvPicPr>
      </xdr:nvPicPr>
      <xdr:blipFill>
        <a:blip xmlns:r="http://schemas.openxmlformats.org/officeDocument/2006/relationships" r:embed="rId1"/>
        <a:stretch>
          <a:fillRect/>
        </a:stretch>
      </xdr:blipFill>
      <xdr:spPr>
        <a:xfrm>
          <a:off x="0" y="44234099"/>
          <a:ext cx="46062900" cy="14770259"/>
        </a:xfrm>
        <a:prstGeom prst="rect">
          <a:avLst/>
        </a:prstGeom>
      </xdr:spPr>
    </xdr:pic>
    <xdr:clientData/>
  </xdr:twoCellAnchor>
  <xdr:twoCellAnchor editAs="oneCell">
    <xdr:from>
      <xdr:col>0</xdr:col>
      <xdr:colOff>0</xdr:colOff>
      <xdr:row>121</xdr:row>
      <xdr:rowOff>0</xdr:rowOff>
    </xdr:from>
    <xdr:to>
      <xdr:col>21</xdr:col>
      <xdr:colOff>582168</xdr:colOff>
      <xdr:row>190</xdr:row>
      <xdr:rowOff>114300</xdr:rowOff>
    </xdr:to>
    <xdr:pic>
      <xdr:nvPicPr>
        <xdr:cNvPr id="184" name="Picture 183">
          <a:extLst>
            <a:ext uri="{FF2B5EF4-FFF2-40B4-BE49-F238E27FC236}">
              <a16:creationId xmlns:a16="http://schemas.microsoft.com/office/drawing/2014/main" id="{00000000-0008-0000-0200-0000B8000000}"/>
            </a:ext>
          </a:extLst>
        </xdr:cNvPr>
        <xdr:cNvPicPr>
          <a:picLocks noChangeAspect="1"/>
        </xdr:cNvPicPr>
      </xdr:nvPicPr>
      <xdr:blipFill>
        <a:blip xmlns:r="http://schemas.openxmlformats.org/officeDocument/2006/relationships" r:embed="rId2"/>
        <a:stretch>
          <a:fillRect/>
        </a:stretch>
      </xdr:blipFill>
      <xdr:spPr>
        <a:xfrm>
          <a:off x="0" y="61493400"/>
          <a:ext cx="57808368" cy="132588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win2000\div-proyek\PROYEK\TH-1996\9608\BQ-BARU\PAKET-I\BQ.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Q-PS&amp;A.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y%20Data/2.Lucky/Data%20Excel/PRASJAL/2007/RAB_JLN.AWCAS%20PLBL.CV.SP.xls" TargetMode="External"/><Relationship Id="rId1" Type="http://schemas.openxmlformats.org/officeDocument/2006/relationships/externalLinkPath" Target="/My%20Data/2.Lucky/Data%20Excel/PRASJAL/2007/RAB_JLN.AWCAS%20PLBL.CV.S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om8\D\Nitip\R_A_B%20Karang_Intan\RAB%20Pagar_Karang_Intan\RAB%20Tot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CR%2002\MADIUN%20'02\GROSIR\RAB%20GROSIR%20'02%20(ALTERNATIF%20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916;%20Smad-Lock%20(Brankas%20Smadav)%20&#916;\data\LELANG\Proyek%20GEDUNG\Lama\Pemb.%20dermaga%20alalak.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7.%20PNWRN%202017/6.%20SAMUDRA%20JLN%20GEDEG-LAMONGAN/PNWRN%20GEDEG/RAB%20GEDEG.xls" TargetMode="External"/><Relationship Id="rId1" Type="http://schemas.openxmlformats.org/officeDocument/2006/relationships/externalLinkPath" Target="/7.%20PNWRN%202017/6.%20SAMUDRA%20JLN%20GEDEG-LAMONGAN/PNWRN%20GEDEG/RAB%20GEDEG.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Pemb.%20dermaga%20alalak.xls" TargetMode="External"/><Relationship Id="rId1" Type="http://schemas.openxmlformats.org/officeDocument/2006/relationships/externalLinkPath" Target="/&#916;%20Smad-Lock%20(Brankas%20Smadav)%20&#916;/data/LELANG/Proyek%20GEDUNG/Lama/Pemb.%20dermaga%20alalak.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ERLIN/RAB-PAB%20I%202009/RAB2009%20Isian-BALAI.xls" TargetMode="External"/><Relationship Id="rId1" Type="http://schemas.openxmlformats.org/officeDocument/2006/relationships/externalLinkPath" Target="/ERLIN/RAB-PAB%20I%202009/RAB2009%20Isian-BALAI.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erl-pc\g\PROJECT\project%202014\CAD%20GOR%20kebo%20iwa\RAB\RAB%20MERTASARI_10.02.13.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kamparfix.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di\proposal\SHARE\CAMCO\LOADING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bw1\d\Documents%20and%20Settings\User\My%20Documents\&#160;&#160;&#160;PROYEK%202013\PASAR%20MENTIGI%202013\EE%20PASAR%20MENTIGI%20NUSA%202013NEW.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ARIEF-2015/24.%20KAL-TIM-PERKIM%20BONTANG%2027%20APRL/PENWARAN%20BONTANG/RAB%20PERKIM%20BONTANG-88%25.xlsx" TargetMode="External"/><Relationship Id="rId1" Type="http://schemas.openxmlformats.org/officeDocument/2006/relationships/externalLinkPath" Target="/ARIEF-2015/24.%20KAL-TIM-PERKIM%20BONTANG%2027%20APRL/PENWARAN%20BONTANG/RAB%20PERKIM%20BONTANG-88%2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YCOMPUTER-PC\Uma%20Sapta\Program%20Files\My%20Documents\RS.%20MMC%20Jakarta\Tender%20Paket%20Pekejaan\STP\BQ\2001\AMBASADOR\BQ-10%20MECH%2010-11-200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ser\d\TEMPO\lintec-sumic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lamp-d.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erl-pc\g\Users\Computer\Downloads\RAB%20BANGUNAN%20PMI%20&amp;%20KP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My%20Documents\joko\WINDOWS\TEMP\BOQ%20Permata%20Senayan%2009%20Juni%202003%20R1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ARFAKER\TEBET%20TIMUR%201%20+%20RAB\RAB%20TEBET%20TIMU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Documents%20and%20Settings\Nurchayono\My%20Documents\Privat1\Proyek\renov%20TBGS\MATRA\Projects\01CipakuYKK-BI\Teknis\04RAB\rab%20pelaksanaan\03Plot\RAB%20Pengembangan%20Lahan%20Cipaku.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ORRA1\Project%2000&amp;02\PROJECT\01\15\ESTIMATE\EST-1CV.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Analisa%20Cold%20Storage.xls" TargetMode="External"/><Relationship Id="rId1" Type="http://schemas.openxmlformats.org/officeDocument/2006/relationships/externalLinkPath" Target="/7.%20PNWRN%202017/15.%20RSUD%20PAMEKASAN%2024%20mei/PENWRN%20RSUD%20SLAMAET%20JSE/Analisa%20Cold%20Storage.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Divisi%202.xls" TargetMode="External"/><Relationship Id="rId1" Type="http://schemas.openxmlformats.org/officeDocument/2006/relationships/externalLinkPath" Target="/Divisi%202.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Al-Farisi/Jobscript/2011/Semen%20Gresik/Semen%20Agustus/RAB/RS.%20ANWAR%20MEDIKA/RAB/RAP%20Cikko%20%20dipakai%203%20Rev.kaca%20&amp;%20T.Pc%20pembenaran%20Rev.%20Juli'04.xls" TargetMode="External"/><Relationship Id="rId1" Type="http://schemas.openxmlformats.org/officeDocument/2006/relationships/externalLinkPath" Target="/7.%20PNWRN%202017/15.%20RSUD%20PAMEKASAN%2024%20mei/PENWRN%20RSUD%20SLAMAET%20JSE/Al-Farisi/Jobscript/2011/Semen%20Gresik/Semen%20Agustus/RAB/RS.%20ANWAR%20MEDIKA/RAB/RAP%20Cikko%20%20dipakai%203%20Rev.kaca%20&amp;%20T.Pc%20pembenaran%20Rev.%20Juli'04.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RAB%20cold%20storage%20pek.%20sipil%2028%20mei%202011.xls" TargetMode="External"/><Relationship Id="rId1" Type="http://schemas.openxmlformats.org/officeDocument/2006/relationships/externalLinkPath" Target="/7.%20PNWRN%202017/15.%20RSUD%20PAMEKASAN%2024%20mei/PENWRN%20RSUD%20SLAMAET%20JSE/RAB%20cold%20storage%20pek.%20sipil%2028%20mei%202011.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Al-Farisi/Jobscript/2011/Semen%20Gresik/Semen%20Agustus/RAB/10.%20File%20Semrawut/Flashdisk%209%20Juni/Paket%205%20-%20Pembangunan%20Canopy%20Dan%20RAMP%20Gudang.xls" TargetMode="External"/><Relationship Id="rId1" Type="http://schemas.openxmlformats.org/officeDocument/2006/relationships/externalLinkPath" Target="/7.%20PNWRN%202017/15.%20RSUD%20PAMEKASAN%2024%20mei/PENWRN%20RSUD%20SLAMAET%20JSE/Al-Farisi/Jobscript/2011/Semen%20Gresik/Semen%20Agustus/RAB/10.%20File%20Semrawut/Flashdisk%209%20Juni/Paket%205%20-%20Pembangunan%20Canopy%20Dan%20RAMP%20Gudang.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Shelter%20Kendaraan%2030%20Juni.xls" TargetMode="External"/><Relationship Id="rId1" Type="http://schemas.openxmlformats.org/officeDocument/2006/relationships/externalLinkPath" Target="/7.%20PNWRN%202017/15.%20RSUD%20PAMEKASAN%2024%20mei/PENWRN%20RSUD%20SLAMAET%20JSE/Shelter%20Kendaraan%2030%20Juni.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Mesrv\ME%20Database\A%20Project\VARIOUS-FILE\FORMAT_BQ\AFORM-BQR.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Al-Farisi/Jobscript/2011/Semen%20Gresik/Semen%20Agustus/RAB/RS.%20ANWAR%20MEDIKA/RAB/ENDAH/AL%20WAHYU/PERHITUNGAN/RAB%20AL%20WAHYU%20Rev%204agsts09%20TAHAP%202REV.xls" TargetMode="External"/><Relationship Id="rId1" Type="http://schemas.openxmlformats.org/officeDocument/2006/relationships/externalLinkPath" Target="/7.%20PNWRN%202017/15.%20RSUD%20PAMEKASAN%2024%20mei/PENWRN%20RSUD%20SLAMAET%20JSE/Al-Farisi/Jobscript/2011/Semen%20Gresik/Semen%20Agustus/RAB/RS.%20ANWAR%20MEDIKA/RAB/ENDAH/AL%20WAHYU/PERHITUNGAN/RAB%20AL%20WAHYU%20Rev%204agsts09%20TAHAP%202REV.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RAP%20MALINAU%20end.xls" TargetMode="External"/><Relationship Id="rId1" Type="http://schemas.openxmlformats.org/officeDocument/2006/relationships/externalLinkPath" Target="/7.%20PNWRN%202017/15.%20RSUD%20PAMEKASAN%2024%20mei/PENWRN%20RSUD%20SLAMAET%20JSE/RAP%20MALINAU%20end.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Divisi%203.xls" TargetMode="External"/><Relationship Id="rId1" Type="http://schemas.openxmlformats.org/officeDocument/2006/relationships/externalLinkPath" Target="/Divisi%203.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Sedayu-Kusamba.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Divisi%204.xls" TargetMode="External"/><Relationship Id="rId1" Type="http://schemas.openxmlformats.org/officeDocument/2006/relationships/externalLinkPath" Target="/Divisi%204.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Divisi%205.xls" TargetMode="External"/><Relationship Id="rId1" Type="http://schemas.openxmlformats.org/officeDocument/2006/relationships/externalLinkPath" Target="/Divisi%205.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PAHS2006%20R2%20draft-DIV-7-(MIS).xls" TargetMode="External"/><Relationship Id="rId1" Type="http://schemas.openxmlformats.org/officeDocument/2006/relationships/externalLinkPath" Target="/PAHS2006%20R2%20draft-DIV-7-(MIS).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PAHS2006%20R2%20draft-DIV-7-8-11(MIS-1).xls" TargetMode="External"/><Relationship Id="rId1" Type="http://schemas.openxmlformats.org/officeDocument/2006/relationships/externalLinkPath" Target="/PAHS2006%20R2%20draft-DIV-7-8-11(MIS-1).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PAHS%20NEW/SOFTWARE%20AHS/new.xls" TargetMode="External"/><Relationship Id="rId1" Type="http://schemas.openxmlformats.org/officeDocument/2006/relationships/externalLinkPath" Target="/PAHS%20NEW/SOFTWARE%20AHS/new.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ANL%20HARGA%20SATUAN/EXCEL-PAHS/PAHS2006%20R2%20draft-DIV-7-(MIS)-01.xls" TargetMode="External"/><Relationship Id="rId1" Type="http://schemas.openxmlformats.org/officeDocument/2006/relationships/externalLinkPath" Target="/ANL%20HARGA%20SATUAN/EXCEL-PAHS/PAHS2006%20R2%20draft-DIV-7-(MIS)-0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Yuli\d\DATA%20BANGET\Yuli\PENAWARAN%20MEI%202013\51.%20PBL%20dan%20plp%20sampang\plp%20dok\bojonegoro\SPEKTEK,%20BOQ,%20GAMBAR%20BOJONEGORO\RAB%20jaya%20semanggi.xls"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pdk%20dadap%20baru.xls" TargetMode="External"/><Relationship Id="rId1" Type="http://schemas.openxmlformats.org/officeDocument/2006/relationships/externalLinkPath" Target="/7.%20PNWRN%202017/15.%20RSUD%20PAMEKASAN%2024%20mei/PENWRN%20RSUD%20SLAMAET%20JSE/pdk%20dadap%20baru.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BKMM,All%20240304%20U%20STV.xls" TargetMode="External"/><Relationship Id="rId1" Type="http://schemas.openxmlformats.org/officeDocument/2006/relationships/externalLinkPath" Target="/7.%20PNWRN%202017/15.%20RSUD%20PAMEKASAN%2024%20mei/PENWRN%20RSUD%20SLAMAET%20JSE/BKMM,All%20240304%20U%20STV.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tation42\c\My%20Documents\acd\PATI-REMBANG\PATI-RMBG\DC%20AM-02(baru).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KURNIAWAN/PONCOL%20THP%20II/MY%20TASK/Poncol%20Tahp%20II%20%20%20(SIPIL)/KEBUT%20BIAYA%20RMH.xls" TargetMode="External"/><Relationship Id="rId1" Type="http://schemas.openxmlformats.org/officeDocument/2006/relationships/externalLinkPath" Target="/KURNIAWAN/PONCOL%20THP%20II/MY%20TASK/Poncol%20Tahp%20II%20%20%20(SIPIL)/KEBUT%20BIAYA%20RMH.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sd\D\asu\USULAN%20BIAYA%20RUMAH%20KETINTANG%20TIMMUR%20PTT%20REV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3\data%201%20(d)\data%20c\BACK%20UP%20DATA%20T%20WEDI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ERVER-WIN2000\DIV-Proyek\PROYEK\TH-1996\9611\EVA\EVA-ARS&amp;PLB-1\EVALUASI.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analis%20rab.xls" TargetMode="External"/><Relationship Id="rId1" Type="http://schemas.openxmlformats.org/officeDocument/2006/relationships/externalLinkPath" Target="/7.%20PNWRN%202017/15.%20RSUD%20PAMEKASAN%2024%20mei/PENWRN%20RSUD%20SLAMAET%20JSE/analis%20ra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92.168.2.100\Rikardo%20Sianipar\Abang\Luar\Serba-serbi%20luar\Mansur%20konsultan\RAB%20PERKIM%20B.%20ACEH\RKS%20PEMB.%20K.%20PERKIM\Penawaran%20Tanggul%20B'Aidil.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Struktur%20Aquatik%20200705.xls" TargetMode="External"/><Relationship Id="rId1" Type="http://schemas.openxmlformats.org/officeDocument/2006/relationships/externalLinkPath" Target="/7.%20PNWRN%202017/15.%20RSUD%20PAMEKASAN%2024%20mei/PENWRN%20RSUD%20SLAMAET%20JSE/Struktur%20Aquatik%20200705.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V:\2008\RAB\Wiyung\RTH\RAB%20TPA%20PROBOLINGGO-OE%20Siap%20lelang%20r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sd\D\arek%20kantor\CO2\SDN%20KEDURUS\B.Q_LANTAI%20KERAMIK-FAKULTAS%20HUKU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utikno1\D\TCR%2002\P%20MADIUN%20'02\GROSIR\RAB%20GROSIR%20'02%20(REAL%20COST%20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ATABASE\PROYEK\PROYEK%202012\PERENCANAAN%202012\SMAN%202%20SEMARAPURA%202012\RAB\My%20Documents\BQ\Maya%20Ubud\Contract\Main%20building\BQ\MAYA-UBUD-II\BOQ%20MAYA%20UBUD%20-%20MAIN%20BUILDING.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titip/06.MARGOREJO/RAB%20tpt_GOTO_%202009.xls" TargetMode="External"/><Relationship Id="rId1" Type="http://schemas.openxmlformats.org/officeDocument/2006/relationships/externalLinkPath" Target="/titip/06.MARGOREJO/RAB%20tpt_GOTO_%20200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Komputer1\Disk%20D\project%202005\DINAS%20BAJIR%202005\DOKUMEN%20BIAYA%20JALAN%20medokan%20keputih.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Teluk%20Amurung%20Tengah%20RW%20IV%20Perak%20Utara%20Pabean%20Cantikan/MU.XLS" TargetMode="External"/><Relationship Id="rId1" Type="http://schemas.openxmlformats.org/officeDocument/2006/relationships/externalLinkPath" Target="/Teluk%20Amurung%20Tengah%20RW%20IV%20Perak%20Utara%20Pabean%20Cantikan/MU.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bw1\d\Documents%20and%20Settings\User\My%20Documents\&#160;&#160;PROYEK%202012\RJ%20WABUP%20KLK%202012\Documents%20and%20Settings\All%20User\My%20Documents\!PROYEK%20SMK%20LUH%20LI'06\RAB%20SMK%20REKAYASA.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BOQ-ANJIR=1.xls" TargetMode="External"/><Relationship Id="rId1" Type="http://schemas.openxmlformats.org/officeDocument/2006/relationships/externalLinkPath" Target="/&#916;%20Smad-Lock%20(Brankas%20Smadav)%20&#916;/data/LELANG/Proyek%20GEDUNG/Lama/BOQ-ANJIR=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ani\dhani\DATA\RS-AL\JKT-KEP.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TCR%2002\MADIUN%20'02\GROSIR\RAB%20GROSIR%20'02%20(ALTERNATIF%2010)%201.xls"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RAB%20LANTAI%203-4%20A%20DANA%202M150J%20REVISI.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DATA-XLS\GENT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I:\data2\LELANG%20KONSTRUKSI\KOnstruksi-6\Paket-280\Penawaran\Documents%20and%20Settings\My%20Document\Penawaran%202007\KUALIFIKASI\KERTAS%20A4\My%20Documents\P%20L%20A%20ZZ%20A\perumnas-PLZ.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J:\cdoc\kaltim\My_RAB2.xls"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File%20Iluc/My%20Documents/Prov/RAB_PIPA_II.F.xls" TargetMode="External"/><Relationship Id="rId1" Type="http://schemas.openxmlformats.org/officeDocument/2006/relationships/externalLinkPath" Target="/File%20Iluc/My%20Documents/Prov/RAB_PIPA_II.F.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3\data%201%20(d)\PEGIRIAN%20PROJECT\CV.%20TECTONIA\SAL%20PEGIRIAN\SCHEDULE%20completed%203,5%20month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Komputer1\Disk%20D\PROJECT%202005\pemkot%20tahap%205\BINA%20MARGA\DOKUMEN%20BIAYA%20JALAN%20lengkap.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ziz\C\KUNCORO%20ARDI%20N\ANDIK\2005\TCR%2002\P%20MADIUN%20'02\GROSIR\RAB%20GROSIR%20'02%20(REAL%20COST%20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ower\powerdata\daRI-FLASKU\pindad-perjuangan\RAB%20pindad.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sd\D\arek%20kantor\CO2\SDN%20KEDURUS\2%20GUDANG%20DAN%20KM_TERBARU.xls"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BOQ-MANTIPAR.xls" TargetMode="External"/><Relationship Id="rId1" Type="http://schemas.openxmlformats.org/officeDocument/2006/relationships/externalLinkPath" Target="/&#916;%20Smad-Lock%20(Brankas%20Smadav)%20&#916;/data/LELANG/Proyek%20GEDUNG/Lama/BOQ-MANTIPAR.xls"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BOQ-DHAI-PAR-TJG.xls" TargetMode="External"/><Relationship Id="rId1" Type="http://schemas.openxmlformats.org/officeDocument/2006/relationships/externalLinkPath" Target="/&#916;%20Smad-Lock%20(Brankas%20Smadav)%20&#916;/data/LELANG/Proyek%20GEDUNG/Lama/BOQ-DHAI-PAR-TJG.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Server\Projects\01CipakuYKK-BI\Teknis\04RAB\rab%20pelaksanaan\03Plot\RAB%20Pengembangan%20Lahan%20Cipaku%20Tambahan%20Revisi.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Asd\D\asu\RAB%20PUSK%20BANYU%20URIP%20anti%20baja%20version%20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Power\powerdata\UNM\PENGGAWEAN\Brawijaya\KEDOKTERAN\JEMBATAN%20PURWOASRI%20II%20KAB.%20KEDIR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M:\MENTRAMAN-MALANG.xls"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JALAN&amp;PARKIR1.xls" TargetMode="External"/><Relationship Id="rId1" Type="http://schemas.openxmlformats.org/officeDocument/2006/relationships/externalLinkPath" Target="/7.%20PNWRN%202017/15.%20RSUD%20PAMEKASAN%2024%20mei/PENWRN%20RSUD%20SLAMAET%20JSE/JALAN&amp;PARKIR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LELANG\WUPM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sd\D\PEKERJAAN\PAK%20BILLY\Paket-Pekerjaan\BAGIAN%20PEMERINTAHAN\PEMBANGUNAN%20KANTOR%20KEL.%20GADING%20-%200301.0001.017\kel_moro_100%25_OK.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Power\powerdata\WIRO\RSU2005\RAB\KONTRAK%20RABeskalasi\ANALISA%20RSU.2005.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Bbw1\d\Documents%20and%20Settings\All%20User\My%20Documents\!1.APROYEK%202008\PROYEK%20KLK'08\KLK%20NUSA%2008\RAB%20SD08\RAB%20SD%20NUSA%20PENIDA+LEMBONGANcc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Power\powerdata\Papa's%20documents\Proyek\ARTISTIK\ARTISTIK%20'%2007\RSU.%20'07\Pra%20RAB.%20IRNA%20'07.xls"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Data%20Lucky/Lucky/Data%20Excel/UMUM/Provinsi/2007/DRAINASE/RAB_AB_Paket%20II.xls" TargetMode="External"/><Relationship Id="rId1" Type="http://schemas.openxmlformats.org/officeDocument/2006/relationships/externalLinkPath" Target="/Data%20Lucky/Lucky/Data%20Excel/UMUM/Provinsi/2007/DRAINASE/RAB_AB_Paket%20II.xls"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File%20Iluc/My%20Documents/Prov/RAB_PAB_IMANA.xls" TargetMode="External"/><Relationship Id="rId1" Type="http://schemas.openxmlformats.org/officeDocument/2006/relationships/externalLinkPath" Target="/File%20Iluc/My%20Documents/Prov/RAB_PAB_IMAN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Komputer1\Disk%20D\01.%20TECTONIA%20PROJECT%202004\BM%20&amp;%20UTILITY\DOKUMEN%20BIAYA%20MANUKAN%20KULON-WETAN%20(RIGIT).xls"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SULTON%20DESAIN/titip/08.MOJOMALANG/1.RAB%20Jalan%20TELFOT.xls" TargetMode="External"/><Relationship Id="rId1" Type="http://schemas.openxmlformats.org/officeDocument/2006/relationships/externalLinkPath" Target="/SULTON%20DESAIN/titip/08.MOJOMALANG/1.RAB%20Jalan%20TELFOT.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Sutikno-1\D\AGUS%20SASMITO,%20ST\PROJECT%202004\P%20MADIUN\P%20%20RSUD%20THP%20IV\RSUD%20MAD%20ME%20MASTER.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tation45\estimating\Sipil\Irigasi\Sumbawa\Batu%20Bulan%20kiri%20(CP-4)\Direct%20Cost\DCost-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Pc03e\d%20o\D%20O\MANHATTAN\BQ%20ME\BQ-FINAL.XLS"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SULTON%20DESAIN/titip/01.Brangkal/JALAN%20PEDEL.xls" TargetMode="External"/><Relationship Id="rId1" Type="http://schemas.openxmlformats.org/officeDocument/2006/relationships/externalLinkPath" Target="/SULTON%20DESAIN/titip/01.Brangkal/JALAN%20PEDEL.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Bbw1\d\Documents%20and%20Settings\User\My%20Documents\&#160;&#160;PROYEK%202012\UPT%20NUSPEN%202012\FORMAT%20RAB%202013%20ROOTS%20CYBEREROOT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utikno1\D\BUARI\PROYEK%202003\PAJAK\TCR%2002\P%20MADIUN%20'02\GROSIR\RAB%20GROSIR%20'02%20(REAL%20COST%209).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C-3\@lex98%20(h)\UNIVERSITAS%20MUHAMMADIYAH\VOL+RAB%20UMMUH.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Sutikno1\D\TCR%2002\P%20MADIUN\RSUD\TAHAP%20I\RSUD%20Mad%202.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MYCOMPUTER-PC\Uma%20Sapta\Program%20Files\My%20Documents\RS.%20MMC%20Jakarta\Tender%20Paket%20Pekejaan\STP\BQ\2001\ITC_Bandung\ITC_BDG_Mechanical.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USER2-PC\Users\Budi%20darma%20business\PT.%20Batara%20Buana%20Panca%20Tengah\20180829%20-%20Quotation%201.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M:\ANALISAJEMB-02-dry.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192.168.2.100\Rikardo%20Sianipar\Dokumen%20KUA\Poelkerja\RAB%20Coll\Rab%20UGD.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192.168.2.100\Rikardo%20Sianipar\HARI%20JADI%20SUKSES\PROYEK%20LAIN\PT.%20PACIFIC%20MEDAN%20INDUSTRY\Documents%20and%20Settings\Administrator\My%20Documents\penangclaim\SMK%20Tmn%20Bertam.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omputer1\Disk%20D\project%202005\DINAS%20BAJIR%202005\pemkot%20tahap%205\BINA%20MARGA\DOKUMEN%20BIAYA%20JALAN%20lengkap.xls" TargetMode="External"/></Relationships>
</file>

<file path=xl/externalLinks/_rels/externalLink103.xml.rels><?xml version="1.0" encoding="UTF-8" standalone="yes"?>
<Relationships xmlns="http://schemas.openxmlformats.org/package/2006/relationships"><Relationship Id="rId1" Type="http://schemas.microsoft.com/office/2006/relationships/xlExternalLinkPath/xlStartup" Target="BIDIN/ASRI/24/Kenari/BQ-AC.xls"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ITATS/ESTIMASI/RAB%20,ANALISA,BAHAN,UPAH.xls" TargetMode="External"/><Relationship Id="rId1" Type="http://schemas.openxmlformats.org/officeDocument/2006/relationships/externalLinkPath" Target="/ITATS/ESTIMASI/RAB%20,ANALISA,BAHAN,UPAH.xls" TargetMode="External"/></Relationships>
</file>

<file path=xl/externalLinks/_rels/externalLink105.xml.rels><?xml version="1.0" encoding="UTF-8" standalone="yes"?>
<Relationships xmlns="http://schemas.openxmlformats.org/package/2006/relationships"><Relationship Id="rId1" Type="http://schemas.microsoft.com/office/2006/relationships/xlExternalLinkPath/xlPathMissing" Target="Book4"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Y:\Users\Lenovo\Desktop\Laporan%20buat%20Pa%20Ilham.xlsx"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AX-06/ITEM%20BARU.xls" TargetMode="External"/><Relationship Id="rId1" Type="http://schemas.openxmlformats.org/officeDocument/2006/relationships/externalLinkPath" Target="/&#916;%20Smad-Lock%20(Brankas%20Smadav)%20&#916;/data/LELANG/Proyek%20GEDUNG/Lama/AX-06/ITEM%20BARU.xls" TargetMode="External"/></Relationships>
</file>

<file path=xl/externalLinks/_rels/externalLink108.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gawian/BU%20Aziz/jALAN%20bATU%20-%20BATU%20AN/Jembatan/Pembangunan%20Jembatan%20ATN.xls" TargetMode="External"/><Relationship Id="rId1" Type="http://schemas.openxmlformats.org/officeDocument/2006/relationships/externalLinkPath" Target="/&#916;%20Smad-Lock%20(Brankas%20Smadav)%20&#916;/data/LELANG/Proyek%20GEDUNG/Lama/gawian/BU%20Aziz/jALAN%20bATU%20-%20BATU%20AN/Jembatan/Pembangunan%20Jembatan%20ATN.xls" TargetMode="External"/></Relationships>
</file>

<file path=xl/externalLinks/_rels/externalLink109.xml.rels><?xml version="1.0" encoding="UTF-8" standalone="yes"?>
<Relationships xmlns="http://schemas.openxmlformats.org/package/2006/relationships"><Relationship Id="rId2" Type="http://schemas.openxmlformats.org/officeDocument/2006/relationships/externalLinkPath" Target="../../../../File%20Iluc/My%20Documents/BISNIS/Excel/DRAINASE-MCK.xls" TargetMode="External"/><Relationship Id="rId1" Type="http://schemas.openxmlformats.org/officeDocument/2006/relationships/externalLinkPath" Target="/File%20Iluc/My%20Documents/BISNIS/Excel/DRAINASE-MCK.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MYCOMPUTER-PC\Uma%20Sapta\Program%20Files\My%20Documents\RS.%20MMC%20Jakarta\Tender%20Paket%20Pekejaan\STP\BQ\2001\ITC_Kuningan\BQ-ITC%20Kuningan.xls" TargetMode="External"/></Relationships>
</file>

<file path=xl/externalLinks/_rels/externalLink111.xml.rels><?xml version="1.0" encoding="UTF-8" standalone="yes"?>
<Relationships xmlns="http://schemas.openxmlformats.org/package/2006/relationships"><Relationship Id="rId2" Type="http://schemas.openxmlformats.org/officeDocument/2006/relationships/externalLinkPath" Target="../../../../File%20Iluc/My%20Documents/Prov/RAB_RUMAHTRANS.xls" TargetMode="External"/><Relationship Id="rId1" Type="http://schemas.openxmlformats.org/officeDocument/2006/relationships/externalLinkPath" Target="/File%20Iluc/My%20Documents/Prov/RAB_RUMAHTRANS.xls" TargetMode="External"/></Relationships>
</file>

<file path=xl/externalLinks/_rels/externalLink112.xml.rels><?xml version="1.0" encoding="UTF-8" standalone="yes"?>
<Relationships xmlns="http://schemas.openxmlformats.org/package/2006/relationships"><Relationship Id="rId2" Type="http://schemas.openxmlformats.org/officeDocument/2006/relationships/externalLinkPath" Target="../../../../File%20Iluc/My%20Documents/Prov/RAB_JLNTRANS_CVCAJ.xls" TargetMode="External"/><Relationship Id="rId1" Type="http://schemas.openxmlformats.org/officeDocument/2006/relationships/externalLinkPath" Target="/File%20Iluc/My%20Documents/Prov/RAB_JLNTRANS_CVCAJ.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H:\ANALISA\PENAWARAN%20ILHAM%20TIGA%20(DAK).xls"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gawian/BU%20Aziz/jALAN%20bATU%20-%20BATU%20AN/Jalan/New%20Folder%20(2)/AX-07.xls" TargetMode="External"/><Relationship Id="rId1" Type="http://schemas.openxmlformats.org/officeDocument/2006/relationships/externalLinkPath" Target="/&#916;%20Smad-Lock%20(Brankas%20Smadav)%20&#916;/data/LELANG/Proyek%20GEDUNG/Lama/gawian/BU%20Aziz/jALAN%20bATU%20-%20BATU%20AN/Jalan/New%20Folder%20(2)/AX-07.xls" TargetMode="External"/></Relationships>
</file>

<file path=xl/externalLinks/_rels/externalLink115.xml.rels><?xml version="1.0" encoding="UTF-8" standalone="yes"?>
<Relationships xmlns="http://schemas.openxmlformats.org/package/2006/relationships"><Relationship Id="rId2" Type="http://schemas.openxmlformats.org/officeDocument/2006/relationships/externalLinkPath" Target="../../../../PAHS2006/Copy%20of%20PAHS2006%20R2%20draft(MIS)new.xls" TargetMode="External"/><Relationship Id="rId1" Type="http://schemas.openxmlformats.org/officeDocument/2006/relationships/externalLinkPath" Target="/PAHS2006/Copy%20of%20PAHS2006%20R2%20draft(MIS)new.xls" TargetMode="External"/></Relationships>
</file>

<file path=xl/externalLinks/_rels/externalLink116.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PENAWARAN/JBT-SDANAU/BOQ-JBT-DNU.xls" TargetMode="External"/><Relationship Id="rId1" Type="http://schemas.openxmlformats.org/officeDocument/2006/relationships/externalLinkPath" Target="/&#916;%20Smad-Lock%20(Brankas%20Smadav)%20&#916;/data/LELANG/Proyek%20GEDUNG/Lama/PENAWARAN/JBT-SDANAU/BOQ-JBT-DNU.xls" TargetMode="External"/></Relationships>
</file>

<file path=xl/externalLinks/_rels/externalLink117.xml.rels><?xml version="1.0" encoding="UTF-8" standalone="yes"?>
<Relationships xmlns="http://schemas.openxmlformats.org/package/2006/relationships"><Relationship Id="rId2" Type="http://schemas.openxmlformats.org/officeDocument/2006/relationships/externalLinkPath" Target="../../../ACER/Downloads/PDAM%20JAN%202012/PDAM%20BOJONEGORO/RAB%20IKK%20Kanor%20Kab.%20Bojonegoro%20(%20Final.rev2%20).xls" TargetMode="External"/><Relationship Id="rId1" Type="http://schemas.openxmlformats.org/officeDocument/2006/relationships/externalLinkPath" Target="/Users/ACER/Downloads/PDAM%20JAN%202012/PDAM%20BOJONEGORO/RAB%20IKK%20Kanor%20Kab.%20Bojonegoro%20(%20Final.rev2%20).xls" TargetMode="External"/></Relationships>
</file>

<file path=xl/externalLinks/_rels/externalLink118.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flashdisk/Lelang/JBT%20SEI%20TANDUI%20CS/BOQ-JBT-WAYAU-CS.xls" TargetMode="External"/><Relationship Id="rId1" Type="http://schemas.openxmlformats.org/officeDocument/2006/relationships/externalLinkPath" Target="/&#916;%20Smad-Lock%20(Brankas%20Smadav)%20&#916;/data/LELANG/Proyek%20GEDUNG/Lama/flashdisk/Lelang/JBT%20SEI%20TANDUI%20CS/BOQ-JBT-WAYAU-CS.xls" TargetMode="External"/></Relationships>
</file>

<file path=xl/externalLinks/_rels/externalLink119.xml.rels><?xml version="1.0" encoding="UTF-8" standalone="yes"?>
<Relationships xmlns="http://schemas.openxmlformats.org/package/2006/relationships"><Relationship Id="rId2" Type="http://schemas.openxmlformats.org/officeDocument/2006/relationships/externalLinkPath" Target="../../../ACER/Downloads/Referensi%20Pdam%20dari%20Wiyung/RAB%20IKK%20Ngadirojo%20Pacitan(rev2-1%20)rev.wiyung.xls" TargetMode="External"/><Relationship Id="rId1" Type="http://schemas.openxmlformats.org/officeDocument/2006/relationships/externalLinkPath" Target="/Users/ACER/Downloads/Referensi%20Pdam%20dari%20Wiyung/RAB%20IKK%20Ngadirojo%20Pacitan(rev2-1%20)rev.wiyung.xls" TargetMode="External"/></Relationships>
</file>

<file path=xl/externalLinks/_rels/externalLink120.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PENAWARAN/DAHAI-TJG-MUYA/BOQ-DHAI-TJG.xls" TargetMode="External"/><Relationship Id="rId1" Type="http://schemas.openxmlformats.org/officeDocument/2006/relationships/externalLinkPath" Target="/&#916;%20Smad-Lock%20(Brankas%20Smadav)%20&#916;/data/LELANG/Proyek%20GEDUNG/Lama/PENAWARAN/DAHAI-TJG-MUYA/BOQ-DHAI-TJG.xls" TargetMode="External"/></Relationships>
</file>

<file path=xl/externalLinks/_rels/externalLink121.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P'SIAPN%20SAMARINDA.xls" TargetMode="External"/><Relationship Id="rId1" Type="http://schemas.openxmlformats.org/officeDocument/2006/relationships/externalLinkPath" Target="/7.%20PNWRN%202017/15.%20RSUD%20PAMEKASAN%2024%20mei/PENWRN%20RSUD%20SLAMAET%20JSE/P'SIAPN%20SAMARINDA.xls" TargetMode="External"/></Relationships>
</file>

<file path=xl/externalLinks/_rels/externalLink122.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PENAWARAN/HALONG-TABUAN/BOQ-HALONG-TABUAN.xls" TargetMode="External"/><Relationship Id="rId1" Type="http://schemas.openxmlformats.org/officeDocument/2006/relationships/externalLinkPath" Target="/&#916;%20Smad-Lock%20(Brankas%20Smadav)%20&#916;/data/LELANG/Proyek%20GEDUNG/Lama/PENAWARAN/HALONG-TABUAN/BOQ-HALONG-TABUAN.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Station45\estimating\My%20Documents\Suryana\Format%20DC\Kr%20tengahDiva.xls" TargetMode="External"/></Relationships>
</file>

<file path=xl/externalLinks/_rels/externalLink124.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RAB%20PASAR%20LEGI%20MUSHOLLA.xls" TargetMode="External"/><Relationship Id="rId1" Type="http://schemas.openxmlformats.org/officeDocument/2006/relationships/externalLinkPath" Target="/7.%20PNWRN%202017/15.%20RSUD%20PAMEKASAN%2024%20mei/PENWRN%20RSUD%20SLAMAET%20JSE/RAB%20PASAR%20LEGI%20MUSHOLLA.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Station69\c\My%20Documents\Iwan\Akses%20bandara%20tgr\tangerang%20hatta\DC-akses%20bandara.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A:\TCR%2002\P%20MADIUN%20'02\GROSIR\RAB%20GROSIR%20'02%20(REAL%20COST%209).xls" TargetMode="External"/></Relationships>
</file>

<file path=xl/externalLinks/_rels/externalLink128.xml.rels><?xml version="1.0" encoding="UTF-8" standalone="yes"?>
<Relationships xmlns="http://schemas.openxmlformats.org/package/2006/relationships"><Relationship Id="rId2" Type="http://schemas.openxmlformats.org/officeDocument/2006/relationships/externalLinkPath" Target="../../../../SULTON%20DESAIN/titip/08.MOJOMALANG/2.RAB%20Jalan%20Lapen%20Sempol%202009.xls" TargetMode="External"/><Relationship Id="rId1" Type="http://schemas.openxmlformats.org/officeDocument/2006/relationships/externalLinkPath" Target="/SULTON%20DESAIN/titip/08.MOJOMALANG/2.RAB%20Jalan%20Lapen%20Sempol%202009.xls" TargetMode="External"/></Relationships>
</file>

<file path=xl/externalLinks/_rels/externalLink129.xml.rels><?xml version="1.0" encoding="UTF-8" standalone="yes"?>
<Relationships xmlns="http://schemas.openxmlformats.org/package/2006/relationships"><Relationship Id="rId2" Type="http://schemas.openxmlformats.org/officeDocument/2006/relationships/externalLinkPath" Target="../../../ACER/Downloads/PDAM%20JAN%202012/PDAM%20PACITAN/Pacitan%20Feb%202012/RAB%20IKK%20Ngadirojo%20Pacitan(rev).xls" TargetMode="External"/><Relationship Id="rId1" Type="http://schemas.openxmlformats.org/officeDocument/2006/relationships/externalLinkPath" Target="/Users/ACER/Downloads/PDAM%20JAN%202012/PDAM%20PACITAN/Pacitan%20Feb%202012/RAB%20IKK%20Ngadirojo%20Pacitan(rev).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J:\PROJECT\01\30\BQ\Genset\DAFT-1.XLS" TargetMode="External"/></Relationships>
</file>

<file path=xl/externalLinks/_rels/externalLink131.xml.rels><?xml version="1.0" encoding="UTF-8" standalone="yes"?>
<Relationships xmlns="http://schemas.openxmlformats.org/package/2006/relationships"><Relationship Id="rId2" Type="http://schemas.openxmlformats.org/officeDocument/2006/relationships/externalLinkPath" Target="../../../../JOB/PEMKOT-DIKNAS/SDN%20JEPARA%201.2.3/2011/RAB,%20RKS,%20BQ%20SDN%20JEPARA%201,2,3/RAB%20SDN%20Jepara%201,2,3%20(2.5M).xls" TargetMode="External"/><Relationship Id="rId1" Type="http://schemas.openxmlformats.org/officeDocument/2006/relationships/externalLinkPath" Target="/JOB/PEMKOT-DIKNAS/SDN%20JEPARA%201.2.3/2011/RAB,%20RKS,%20BQ%20SDN%20JEPARA%201,2,3/RAB%20SDN%20Jepara%201,2,3%20(2.5M).xls" TargetMode="External"/></Relationships>
</file>

<file path=xl/externalLinks/_rels/externalLink132.xml.rels><?xml version="1.0" encoding="UTF-8" standalone="yes"?>
<Relationships xmlns="http://schemas.openxmlformats.org/package/2006/relationships"><Relationship Id="rId2" Type="http://schemas.openxmlformats.org/officeDocument/2006/relationships/externalLinkPath" Target="../../../../Said%20Mora/11.BQ%20PP.%20NURUL%20IRHAM%20PSA0420%20Type%20M2.xls" TargetMode="External"/><Relationship Id="rId1" Type="http://schemas.openxmlformats.org/officeDocument/2006/relationships/externalLinkPath" Target="/Said%20Mora/11.BQ%20PP.%20NURUL%20IRHAM%20PSA0420%20Type%20M2.xls" TargetMode="External"/></Relationships>
</file>

<file path=xl/externalLinks/_rels/externalLink133.xml.rels><?xml version="1.0" encoding="UTF-8" standalone="yes"?>
<Relationships xmlns="http://schemas.openxmlformats.org/package/2006/relationships"><Relationship Id="rId2" Type="http://schemas.openxmlformats.org/officeDocument/2006/relationships/externalLinkPath" Target="../../../../File%20Iluc/My%20Documents/BISNIS/Excel/P3P-CVIM.xls" TargetMode="External"/><Relationship Id="rId1" Type="http://schemas.openxmlformats.org/officeDocument/2006/relationships/externalLinkPath" Target="/File%20Iluc/My%20Documents/BISNIS/Excel/P3P-CVIM.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Ijo\D\PROYEK\diknas%20ENVIRO%20Tahap.4\MASTER\PASAR\PASAR%20FINAL\DRIYOREJO\01.RAB%20PS%20.DRIYO%20REV1%20PAKE%20STROUS%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ANDAL-08\DATA-08%20(D)\DWI\2%20RAB%20VVIP%20HOME.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Komputer1\jorr\JORR%20-%20JAKON\SECTION%20E3\ELEVATED\ELEVATED%20SLAB.xls" TargetMode="External"/></Relationships>
</file>

<file path=xl/externalLinks/_rels/externalLink137.xml.rels><?xml version="1.0" encoding="UTF-8" standalone="yes"?>
<Relationships xmlns="http://schemas.openxmlformats.org/package/2006/relationships"><Relationship Id="rId2" Type="http://schemas.openxmlformats.org/officeDocument/2006/relationships/externalLinkPath" Target="../../../../Data%20Lucky/Lucky/Data%20Excel/UMUM/Provinsi/2008/TARKIM/RAB-SAB%20DESA%20DULUPI.xls" TargetMode="External"/><Relationship Id="rId1" Type="http://schemas.openxmlformats.org/officeDocument/2006/relationships/externalLinkPath" Target="/Data%20Lucky/Lucky/Data%20Excel/UMUM/Provinsi/2008/TARKIM/RAB-SAB%20DESA%20DULUPI.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Bbw1\d\Documents%20and%20Settings\User\My%20Documents\&#160;&#160;PROYEK%202012\RJ%20WABUP%20KLK%202012\Documents%20and%20Settings\All%20User\My%20Documents\!APROYEK%202007\!RAB%20GIANYAR%202007\RAB%20SD%20MANUKAYA%202007BOW.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Dani\dhani\RS-AL\JKT-KEP.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MYCOMPUTER-PC\Uma%20Sapta\Program%20Files\My%20Documents\RS.%20MMC%20Jakarta\Tender%20Paket%20Pekejaan\STP\BQ\0DATA\DEVIS\UPAD\BOQ\HVAC\FORM.XLS" TargetMode="External"/></Relationships>
</file>

<file path=xl/externalLinks/_rels/externalLink141.xml.rels><?xml version="1.0" encoding="UTF-8" standalone="yes"?>
<Relationships xmlns="http://schemas.openxmlformats.org/package/2006/relationships"><Relationship Id="rId2" Type="http://schemas.openxmlformats.org/officeDocument/2006/relationships/externalLinkPath" Target="../../../ACER/Downloads/Referensi%20Pdam%20dari%20Wiyung/05%20BQ%20ANALISA%20UTK%20PDAM.xls" TargetMode="External"/><Relationship Id="rId1" Type="http://schemas.openxmlformats.org/officeDocument/2006/relationships/externalLinkPath" Target="/Users/ACER/Downloads/Referensi%20Pdam%20dari%20Wiyung/05%20BQ%20ANALISA%20UTK%20PDAM.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192.168.2.100\Rikardo%20Sianipar\02-PERENCANAAN\KELURAHAN%20PAROMBUNAN\GOR%20PAROMBUNAN\2007.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Asd\D\WINDOWS\TEMP\RAB%20RUANG%20SARANA%20KP-TA.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Asd\D\WINDOWS\TEMP\RAB%20GEDUNG%20A.xls" TargetMode="External"/></Relationships>
</file>

<file path=xl/externalLinks/_rels/externalLink145.xml.rels><?xml version="1.0" encoding="UTF-8" standalone="yes"?>
<Relationships xmlns="http://schemas.openxmlformats.org/package/2006/relationships"><Relationship Id="rId2" Type="http://schemas.openxmlformats.org/officeDocument/2006/relationships/externalLinkPath" Target="../../../../Teluk%20Amurung%20Tengah%20RW%20IV%20Perak%20Utara%20Pabean%20Cantikan/My%20Documents/Usa/KMS03/Analisa-KMS%20-Kembangjepun.xls" TargetMode="External"/><Relationship Id="rId1" Type="http://schemas.openxmlformats.org/officeDocument/2006/relationships/externalLinkPath" Target="/Teluk%20Amurung%20Tengah%20RW%20IV%20Perak%20Utara%20Pabean%20Cantikan/My%20Documents/Usa/KMS03/Analisa-KMS%20-Kembangjepun.xls" TargetMode="External"/></Relationships>
</file>

<file path=xl/externalLinks/_rels/externalLink146.xml.rels><?xml version="1.0" encoding="UTF-8" standalone="yes"?>
<Relationships xmlns="http://schemas.openxmlformats.org/package/2006/relationships"><Relationship Id="rId2" Type="http://schemas.openxmlformats.org/officeDocument/2006/relationships/externalLinkPath" Target="../../../../7.%20PNWRN%202017/15.%20RSUD%20PAMEKASAN%2024%20mei/PENWRN%20RSUD%20SLAMAET%20JSE/analisaku.xls" TargetMode="External"/><Relationship Id="rId1" Type="http://schemas.openxmlformats.org/officeDocument/2006/relationships/externalLinkPath" Target="/7.%20PNWRN%202017/15.%20RSUD%20PAMEKASAN%2024%20mei/PENWRN%20RSUD%20SLAMAET%20JSE/analisaku.xls" TargetMode="External"/></Relationships>
</file>

<file path=xl/externalLinks/_rels/externalLink147.xml.rels><?xml version="1.0" encoding="UTF-8" standalone="yes"?>
<Relationships xmlns="http://schemas.openxmlformats.org/package/2006/relationships"><Relationship Id="rId2" Type="http://schemas.openxmlformats.org/officeDocument/2006/relationships/externalLinkPath" Target="../../../../My%20Documents/BISNIS/P3P-CVIM.xls" TargetMode="External"/><Relationship Id="rId1" Type="http://schemas.openxmlformats.org/officeDocument/2006/relationships/externalLinkPath" Target="/My%20Documents/BISNIS/P3P-CVIM.xls" TargetMode="External"/></Relationships>
</file>

<file path=xl/externalLinks/_rels/externalLink148.xml.rels><?xml version="1.0" encoding="UTF-8" standalone="yes"?>
<Relationships xmlns="http://schemas.openxmlformats.org/package/2006/relationships"><Relationship Id="rId2" Type="http://schemas.openxmlformats.org/officeDocument/2006/relationships/externalLinkPath" Target="../../../ACER/Downloads/koko/proyek%202011/PDAM/kangean%20sumenep/04%20BQ%20ANALISA%20UTK%20PDAMbaru.xls" TargetMode="External"/><Relationship Id="rId1" Type="http://schemas.openxmlformats.org/officeDocument/2006/relationships/externalLinkPath" Target="/Users/ACER/Downloads/koko/proyek%202011/PDAM/kangean%20sumenep/04%20BQ%20ANALISA%20UTK%20PDAMbaru.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A:\My%20Documents\joko\Div~QS\Daan%20Mogot\Ruko%20Daan%20Mogot%20R2a.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Sutikno-1\d\AGUS%20SASMITO,%20ST\PROJECT%202005\P%20MADIUN\SMA%20UNGGULAN\RAB%20SMU%20UNGGULAN%20TENDER%20MASTER\GOR.xls" TargetMode="External"/></Relationships>
</file>

<file path=xl/externalLinks/_rels/externalLink151.xml.rels><?xml version="1.0" encoding="UTF-8" standalone="yes"?>
<Relationships xmlns="http://schemas.openxmlformats.org/package/2006/relationships"><Relationship Id="rId2" Type="http://schemas.openxmlformats.org/officeDocument/2006/relationships/externalLinkPath" Target="../../../HP/AppData/Local/Temp/Al-Farisi/Jobscript/2011/Semen%20Gresik/Semen%20Agustus/RAB/RS.%20ANWAR%20MEDIKA/RAB/RAP%20Cikko%20%20dipakai%203%20Rev.kaca%20&amp;%20T.Pc%20pembenaran%20Rev.%20Juli'04.xls" TargetMode="External"/><Relationship Id="rId1" Type="http://schemas.openxmlformats.org/officeDocument/2006/relationships/externalLinkPath" Target="/Users/HP/AppData/Local/Temp/Al-Farisi/Jobscript/2011/Semen%20Gresik/Semen%20Agustus/RAB/RS.%20ANWAR%20MEDIKA/RAB/RAP%20Cikko%20%20dipakai%203%20Rev.kaca%20&amp;%20T.Pc%20pembenaran%20Rev.%20Juli'04.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Atas-5\C\ABU%20FAISAL\PROYEK%202005\MADIUN\K1%20PUSAKA%20PRBNDNGN%20PNW+BACKUP%20LAP+LAP%20PU.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Asd\D\asu\USULAN%20BIAYA%20RUMAH%20KETINTANG%20TIMMUR%20PTT.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ME%20Hendri\DATA\RAB%20ME%20pasar%20blitar.xls" TargetMode="External"/></Relationships>
</file>

<file path=xl/externalLinks/_rels/externalLink155.xml.rels><?xml version="1.0" encoding="UTF-8" standalone="yes"?>
<Relationships xmlns="http://schemas.openxmlformats.org/package/2006/relationships"><Relationship Id="rId2" Type="http://schemas.openxmlformats.org/officeDocument/2006/relationships/externalLinkPath" Target="../../../../File%20Iluc/My%20Documents/Prov/RAB%20Term-42.xls" TargetMode="External"/><Relationship Id="rId1" Type="http://schemas.openxmlformats.org/officeDocument/2006/relationships/externalLinkPath" Target="/File%20Iluc/My%20Documents/Prov/RAB%20Term-42.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Asd\D\Nanang\Rab%20tpsdp%20Profit\RAB%20SIPIL%20PROFIT%20EE%20(1).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Asd\D\WINDOWS\TEMP\RAB%20GEDUNG%20ELEKTRO.xls" TargetMode="External"/></Relationships>
</file>

<file path=xl/externalLinks/_rels/externalLink158.xml.rels><?xml version="1.0" encoding="UTF-8" standalone="yes"?>
<Relationships xmlns="http://schemas.openxmlformats.org/package/2006/relationships"><Relationship Id="rId2" Type="http://schemas.openxmlformats.org/officeDocument/2006/relationships/externalLinkPath" Target="../../../../proyek%202009/Ketabang%20Elementary%20School/sample%20unt/Dwi%20karya%20Jenangan.xls" TargetMode="External"/><Relationship Id="rId1" Type="http://schemas.openxmlformats.org/officeDocument/2006/relationships/externalLinkPath" Target="/proyek%202009/Ketabang%20Elementary%20School/sample%20unt/Dwi%20karya%20Jenangan.xls" TargetMode="External"/></Relationships>
</file>

<file path=xl/externalLinks/_rels/externalLink159.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DATA%20TENDER/TENDER%202006/LAMP_PENAWARAN_dhai-par-kel-tjg.XLS" TargetMode="External"/><Relationship Id="rId1" Type="http://schemas.openxmlformats.org/officeDocument/2006/relationships/externalLinkPath" Target="/&#916;%20Smad-Lock%20(Brankas%20Smadav)%20&#916;/data/LELANG/Proyek%20GEDUNG/Lama/DATA%20TENDER/TENDER%202006/LAMP_PENAWARAN_dhai-par-kel-tjg.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Sutikno-1\D\AGUS%20SASMITO,%20ST\PROJECT%202004\P%20MADIUN\P%20%20RSUD%20THP%20IV\Copy%20of%20RSUD%20Mad%20THP%20IVE.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USER2-PC\Users\AAAAAAAAAAAAAAAAA\New%20Program\20161020%20-%20Pekerjaan%20Weni\Employee%20attendance%20tracker.xlsx" TargetMode="External"/></Relationships>
</file>

<file path=xl/externalLinks/_rels/externalLink162.xml.rels><?xml version="1.0" encoding="UTF-8" standalone="yes"?>
<Relationships xmlns="http://schemas.openxmlformats.org/package/2006/relationships"><Relationship Id="rId2" Type="http://schemas.openxmlformats.org/officeDocument/2006/relationships/externalLinkPath" Target="../../../../Documents/PROYEK%202011%20CAS/PROPINSI/2008%20Non%20Consult/3_Penawaran/15_Wiyung%20Sampah/OE%20Wiyung/2008/Lelang%20Fisik/lelang/Kota%20Probolinggo/RAB%20TPA%20PROBOLINGGO-OE%20Siap%20lelang.xls" TargetMode="External"/><Relationship Id="rId1" Type="http://schemas.openxmlformats.org/officeDocument/2006/relationships/externalLinkPath" Target="/Documents/PROYEK%202011%20CAS/PROPINSI/2008%20Non%20Consult/3_Penawaran/15_Wiyung%20Sampah/OE%20Wiyung/2008/Lelang%20Fisik/lelang/Kota%20Probolinggo/RAB%20TPA%20PROBOLINGGO-OE%20Siap%20lelang.xls" TargetMode="External"/></Relationships>
</file>

<file path=xl/externalLinks/_rels/externalLink163.xml.rels><?xml version="1.0" encoding="UTF-8" standalone="yes"?>
<Relationships xmlns="http://schemas.openxmlformats.org/package/2006/relationships"><Relationship Id="rId2" Type="http://schemas.openxmlformats.org/officeDocument/2006/relationships/externalLinkPath" Target="../../../../1.%20DINAS%20PETERNAKAN%202012/CEMORO%20SEWU/1.%20RAB%20CHECK%20POINT%20CEMORO%20SEWU%20OK%20PRINT.xls" TargetMode="External"/><Relationship Id="rId1" Type="http://schemas.openxmlformats.org/officeDocument/2006/relationships/externalLinkPath" Target="/1.%20DINAS%20PETERNAKAN%202012/CEMORO%20SEWU/1.%20RAB%20CHECK%20POINT%20CEMORO%20SEWU%20OK%20PRINT.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Asd\D\gunungsari\ALL%20ABOUT%20gunung%20sari.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Sutikno1\D\HENDRI\PROYEK%202004\Madiun\RSUD%20Mad%20THP%20IVd.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Komputer1\Disk%20D\PUBLIC%20DATA\CND\DOKUMEN%20LELANG%20PUTAT%20GEDE\DOKUMEN%20LELANG%20PUTAT%20GEDE%20MAHAKARYA.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E:\KULIAH\SMESTER%206\RAB\kuliah%20m\semester%206\RAB\RAB%20rumah%202%20lantai\AHS%20RAB%20(Gabungan).xls" TargetMode="External"/></Relationships>
</file>

<file path=xl/externalLinks/_rels/externalLink168.xml.rels><?xml version="1.0" encoding="UTF-8" standalone="yes"?>
<Relationships xmlns="http://schemas.openxmlformats.org/package/2006/relationships"><Relationship Id="rId2" Type="http://schemas.openxmlformats.org/officeDocument/2006/relationships/externalLinkPath" Target="../../../HP/AppData/Local/Temp/Al-Farisi/Jobscript/2011/Semen%20Gresik/Semen%20Agustus/RAB/10.%20File%20Semrawut/Flashdisk%209%20Juni/Paket%205%20-%20Pembangunan%20Canopy%20Dan%20RAMP%20Gudang.xls" TargetMode="External"/><Relationship Id="rId1" Type="http://schemas.openxmlformats.org/officeDocument/2006/relationships/externalLinkPath" Target="/Users/HP/AppData/Local/Temp/Al-Farisi/Jobscript/2011/Semen%20Gresik/Semen%20Agustus/RAB/10.%20File%20Semrawut/Flashdisk%209%20Juni/Paket%205%20-%20Pembangunan%20Canopy%20Dan%20RAMP%20Gudang.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Bbw1\d\Documents%20and%20Settings\User\My%20Documents\&#160;&#160;PROYEK%202012\PASAR%20MENTIGI%202012\1-ARSIP-PROYEK\DATA%20ROOTS\PROYEK%20KLK'08\KLK%20NUSA%2008\RAB%20SD\RAB%20RAB%20SD%20234KLUMPU%20BOW.xls" TargetMode="External"/></Relationships>
</file>

<file path=xl/externalLinks/_rels/externalLink170.xml.rels><?xml version="1.0" encoding="UTF-8" standalone="yes"?>
<Relationships xmlns="http://schemas.openxmlformats.org/package/2006/relationships"><Relationship Id="rId2" Type="http://schemas.openxmlformats.org/officeDocument/2006/relationships/externalLinkPath" Target="../../../../Documents/PROYEK%202011%20CAS/PROPINSI/2008%20Non%20Consult/3_Penawaran/15_Wiyung%20Sampah/OE%20Wiyung/2008/Lelang%20Fisik/RAB%20TPA%20PROBOLINGGO-OE%20Siap%20lelang.xls" TargetMode="External"/><Relationship Id="rId1" Type="http://schemas.openxmlformats.org/officeDocument/2006/relationships/externalLinkPath" Target="/Documents/PROYEK%202011%20CAS/PROPINSI/2008%20Non%20Consult/3_Penawaran/15_Wiyung%20Sampah/OE%20Wiyung/2008/Lelang%20Fisik/RAB%20TPA%20PROBOLINGGO-OE%20Siap%20lelang.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Bbw1\d\Documents%20and%20Settings\All%20User\My%20Documents\!1.APROYEK%202007\!RAB%20KLK%202007\TORAH%20SEMAJA\RAB%20TORAH\RAB%20TORAH%202007SNI(anal%20krasem).xls" TargetMode="External"/></Relationships>
</file>

<file path=xl/externalLinks/_rels/externalLink172.xml.rels><?xml version="1.0" encoding="UTF-8" standalone="yes"?>
<Relationships xmlns="http://schemas.openxmlformats.org/package/2006/relationships"><Relationship Id="rId2" Type="http://schemas.openxmlformats.org/officeDocument/2006/relationships/externalLinkPath" Target="../../../../Documents%20and%20Settings/user/My%20Documents/LAP%20HARGA%20SAT/ANL%20HARGA%20SATUAN/EXCEL-PAHS/PANDUAN%20BQ/EE%20FO%20Pamanukan/3-DIV3.xls" TargetMode="External"/><Relationship Id="rId1" Type="http://schemas.openxmlformats.org/officeDocument/2006/relationships/externalLinkPath" Target="/Documents%20and%20Settings/user/My%20Documents/LAP%20HARGA%20SAT/ANL%20HARGA%20SATUAN/EXCEL-PAHS/PANDUAN%20BQ/EE%20FO%20Pamanukan/3-DIV3.xls" TargetMode="External"/></Relationships>
</file>

<file path=xl/externalLinks/_rels/externalLink173.xml.rels><?xml version="1.0" encoding="UTF-8" standalone="yes"?>
<Relationships xmlns="http://schemas.openxmlformats.org/package/2006/relationships"><Relationship Id="rId2" Type="http://schemas.openxmlformats.org/officeDocument/2006/relationships/externalLinkPath" Target="../../../ACER/Downloads/PDAM%20JAN%202012/PDAM%20BOJONEGORO/Bojonegoro%2012%20Feb%202012/RAB%20Spam%20Purwosari%202%20Kab.%20Bojonegoro.xls" TargetMode="External"/><Relationship Id="rId1" Type="http://schemas.openxmlformats.org/officeDocument/2006/relationships/externalLinkPath" Target="/Users/ACER/Downloads/PDAM%20JAN%202012/PDAM%20BOJONEGORO/Bojonegoro%2012%20Feb%202012/RAB%20Spam%20Purwosari%202%20Kab.%20Bojonegoro.xls" TargetMode="External"/></Relationships>
</file>

<file path=xl/externalLinks/_rels/externalLink174.xml.rels><?xml version="1.0" encoding="UTF-8" standalone="yes"?>
<Relationships xmlns="http://schemas.openxmlformats.org/package/2006/relationships"><Relationship Id="rId2" Type="http://schemas.openxmlformats.org/officeDocument/2006/relationships/externalLinkPath" Target="../../../../Teluk%20Amurung%20Tengah%20RW%20IV%20Perak%20Utara%20Pabean%20Cantikan/My%20Documents/Usa/KMS03/Analisa-KMS-JalurUtama.xls" TargetMode="External"/><Relationship Id="rId1" Type="http://schemas.openxmlformats.org/officeDocument/2006/relationships/externalLinkPath" Target="/Teluk%20Amurung%20Tengah%20RW%20IV%20Perak%20Utara%20Pabean%20Cantikan/My%20Documents/Usa/KMS03/Analisa-KMS-JalurUtama.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http://be5-mail.eudoramail.lycos.com/datalinda/My%20Documents/GRAMEDIA/BQ-TB-PKB.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Asd\D\My%20Documents\ROKHIM\RAB\ANALISA%20HSP%20VERSI%20PERMUKIMAN" TargetMode="External"/></Relationships>
</file>

<file path=xl/externalLinks/_rels/externalLink177.xml.rels><?xml version="1.0" encoding="UTF-8" standalone="yes"?>
<Relationships xmlns="http://schemas.openxmlformats.org/package/2006/relationships"><Relationship Id="rId2" Type="http://schemas.openxmlformats.org/officeDocument/2006/relationships/externalLinkPath" Target="../../../../Documents/PROYEK%202011%20CAS/PROPINSI/Oktober%202009/SULTON%20DESAIN/DESAIN%20RAB%2008%20Kec.Borno/6.%20Krosok.xls" TargetMode="External"/><Relationship Id="rId1" Type="http://schemas.openxmlformats.org/officeDocument/2006/relationships/externalLinkPath" Target="/Documents/PROYEK%202011%20CAS/PROPINSI/Oktober%202009/SULTON%20DESAIN/DESAIN%20RAB%2008%20Kec.Borno/6.%20Krosok.xls" TargetMode="External"/></Relationships>
</file>

<file path=xl/externalLinks/_rels/externalLink178.xml.rels><?xml version="1.0" encoding="UTF-8" standalone="yes"?>
<Relationships xmlns="http://schemas.openxmlformats.org/package/2006/relationships"><Relationship Id="rId1" Type="http://schemas.microsoft.com/office/2006/relationships/xlExternalLinkPath/xlPathMissing" Target="pek.rutin%2010.xls" TargetMode="External"/></Relationships>
</file>

<file path=xl/externalLinks/_rels/externalLink179.xml.rels><?xml version="1.0" encoding="UTF-8" standalone="yes"?>
<Relationships xmlns="http://schemas.openxmlformats.org/package/2006/relationships"><Relationship Id="rId2" Type="http://schemas.openxmlformats.org/officeDocument/2006/relationships/externalLinkPath" Target="../../../ACER/Downloads/PDAM%20JAN%202012/PDAM%20BOJONEGORO/RAB%20Spam%20Purwosari%202%20Kab.%20Bojonegoro.xls" TargetMode="External"/><Relationship Id="rId1" Type="http://schemas.openxmlformats.org/officeDocument/2006/relationships/externalLinkPath" Target="/Users/ACER/Downloads/PDAM%20JAN%202012/PDAM%20BOJONEGORO/RAB%20Spam%20Purwosari%202%20Kab.%20Bojonegoro.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USER2-PC\Users\AAAAAAAAAAAAAAAAA\New%20Program\20161020%20-%20Pekerjaan%20Weni\Pekerjaan%20Bu%20Weni.xlsx"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I:\DATA%20DATA\2007\dRAINASE%20%20UTM.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MYCOMPUTER-PC\Uma%20Sapta\Program%20Files\My%20Documents\RS.%20MMC%20Jakarta\Tender%20Paket%20Pekejaan\STP\BQ\2001\ITC_Bandung\ITC_BDG_Mechanical_1.xls" TargetMode="External"/></Relationships>
</file>

<file path=xl/externalLinks/_rels/externalLink183.xml.rels><?xml version="1.0" encoding="UTF-8" standalone="yes"?>
<Relationships xmlns="http://schemas.openxmlformats.org/package/2006/relationships"><Relationship Id="rId2" Type="http://schemas.openxmlformats.org/officeDocument/2006/relationships/externalLinkPath" Target="../../../HP/AppData/Local/Temp/Al-Farisi/Jobscript/2011/Semen%20Gresik/Semen%20Agustus/RAB/RS.%20ANWAR%20MEDIKA/RAB/ENDAH/AL%20WAHYU/PERHITUNGAN/RAB%20AL%20WAHYU%20Rev%204agsts09%20TAHAP%202REV.xls" TargetMode="External"/><Relationship Id="rId1" Type="http://schemas.openxmlformats.org/officeDocument/2006/relationships/externalLinkPath" Target="/Users/HP/AppData/Local/Temp/Al-Farisi/Jobscript/2011/Semen%20Gresik/Semen%20Agustus/RAB/RS.%20ANWAR%20MEDIKA/RAB/ENDAH/AL%20WAHYU/PERHITUNGAN/RAB%20AL%20WAHYU%20Rev%204agsts09%20TAHAP%202REV.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Pu_04\data%20(d)\DOEDHOZ\DED%20ALUN2%20TAHAP%20I\RAB\Sigit\BANJIR%202007\eproc%20tahap%20XII\Dokbi%20Boezem%20kalidami.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D:\00%20P_JULNI\E\WAY%20KANDIS%20III\FILE-FILE%20WAY%20KANDIS%20II\WAY%20KANDIS%20II\16.LAPORAN%20&amp;%20VOL\Hidrologi\PH-034-Karang%20Anyar.xls" TargetMode="External"/></Relationships>
</file>

<file path=xl/externalLinks/_rels/externalLink186.xml.rels><?xml version="1.0" encoding="UTF-8" standalone="yes"?>
<Relationships xmlns="http://schemas.openxmlformats.org/package/2006/relationships"><Relationship Id="rId2" Type="http://schemas.openxmlformats.org/officeDocument/2006/relationships/externalLinkPath" Target="../../../../adata/DEWE/PT%20BINA%20KARSA/RAB/RAB%20sma%20tri%20karya.xls" TargetMode="External"/><Relationship Id="rId1" Type="http://schemas.openxmlformats.org/officeDocument/2006/relationships/externalLinkPath" Target="/adata/DEWE/PT%20BINA%20KARSA/RAB/RAB%20sma%20tri%20karya.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Komputer1\Disk%20D\project%202005\DINAS%20BAJIR%202005\PETROKIMIA\DOKUMEN%20PENAWRAN%20PTROKIMIO%20M&amp;E.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Sutikno-1\d\AGUS%20SASMITO,%20ST\PROJECT%202005\P%20MADIUN\SMA%20UNGGULAN\RAB%20SMU%20UNGGULAN%20TENDER%20MASTER\Kembali%20ke%20ANALISA%20SNI%20-%202005%20KOREKSI%207-6-'05%20diprint%20(Aag).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Komputer1\Disk%20D\project%202005\DINAS%20BAJIR%202005\PETROKIMIA\RABP%20PTROKIMIO.xls" TargetMode="External"/></Relationships>
</file>

<file path=xl/externalLinks/_rels/externalLink190.xml.rels><?xml version="1.0" encoding="UTF-8" standalone="yes"?>
<Relationships xmlns="http://schemas.openxmlformats.org/package/2006/relationships"><Relationship Id="rId2" Type="http://schemas.openxmlformats.org/officeDocument/2006/relationships/externalLinkPath" Target="../../../ACER/Downloads/PDAM%20JAN%202012/PDAM%20PACITAN/RAB%20IKK%20Sukorejo%20Pacitan.xls" TargetMode="External"/><Relationship Id="rId1" Type="http://schemas.openxmlformats.org/officeDocument/2006/relationships/externalLinkPath" Target="/Users/ACER/Downloads/PDAM%20JAN%202012/PDAM%20PACITAN/RAB%20IKK%20Sukorejo%20Pacitan.xls" TargetMode="External"/></Relationships>
</file>

<file path=xl/externalLinks/_rels/externalLink191.xml.rels><?xml version="1.0" encoding="UTF-8" standalone="yes"?>
<Relationships xmlns="http://schemas.openxmlformats.org/package/2006/relationships"><Relationship Id="rId2" Type="http://schemas.openxmlformats.org/officeDocument/2006/relationships/externalLinkPath" Target="../../../../Data%20Lucky/Lucky/Data%20Excel/UMUM/Provinsi/2008/TARKIM/CV.IM/RAB_PEMBUATAN%20JLN.TRT.CV.IM.xls" TargetMode="External"/><Relationship Id="rId1" Type="http://schemas.openxmlformats.org/officeDocument/2006/relationships/externalLinkPath" Target="/Data%20Lucky/Lucky/Data%20Excel/UMUM/Provinsi/2008/TARKIM/CV.IM/RAB_PEMBUATAN%20JLN.TRT.CV.IM.xls" TargetMode="External"/></Relationships>
</file>

<file path=xl/externalLinks/_rels/externalLink192.xml.rels><?xml version="1.0" encoding="UTF-8" standalone="yes"?>
<Relationships xmlns="http://schemas.openxmlformats.org/package/2006/relationships"><Relationship Id="rId2" Type="http://schemas.openxmlformats.org/officeDocument/2006/relationships/externalLinkPath" Target="../../../../Teluk%20Amurung%20Tengah%20RW%20IV%20Perak%20Utara%20Pabean%20Cantikan/WINDOWS/TEMP/Medokan%20Ayu/01.%20Peningkatan%20saluran%20medokan%20Ayu.xls" TargetMode="External"/><Relationship Id="rId1" Type="http://schemas.openxmlformats.org/officeDocument/2006/relationships/externalLinkPath" Target="/Teluk%20Amurung%20Tengah%20RW%20IV%20Perak%20Utara%20Pabean%20Cantikan/WINDOWS/TEMP/Medokan%20Ayu/01.%20Peningkatan%20saluran%20medokan%20Ayu.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MYCOMPUTER-PC\Uma%20Sapta\Program%20Files\My%20Documents\RS.%20MMC%20Jakarta\Tender%20Paket%20Pekejaan\STP\BQ\2001\AMBASADOR\Bqplrev.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MYCOMPUTER-PC\Uma%20Sapta\Program%20Files\My%20Documents\RS.%20MMC%20Jakarta\Tender%20Paket%20Pekejaan\STP\BQ\2001\AMBASADOR\DAF-10%20AC%2010-11-2000%20OKE.xls" TargetMode="External"/></Relationships>
</file>

<file path=xl/externalLinks/_rels/externalLink195.xml.rels><?xml version="1.0" encoding="UTF-8" standalone="yes"?>
<Relationships xmlns="http://schemas.openxmlformats.org/package/2006/relationships"><Relationship Id="rId2" Type="http://schemas.openxmlformats.org/officeDocument/2006/relationships/externalLinkPath" Target="../../../../&#916;%20Smad-Lock%20(Brankas%20Smadav)%20&#916;/data/LELANG/Proyek%20GEDUNG/Lama/PENAWARAN/PARINGIN-HALONG/BOQ-MK-27.xls" TargetMode="External"/><Relationship Id="rId1" Type="http://schemas.openxmlformats.org/officeDocument/2006/relationships/externalLinkPath" Target="/&#916;%20Smad-Lock%20(Brankas%20Smadav)%20&#916;/data/LELANG/Proyek%20GEDUNG/Lama/PENAWARAN/PARINGIN-HALONG/BOQ-MK-27.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Bbw10\e\RAB%20puskesmas_23_06_2011.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STATION71\C\A..Khola\Project\sipil\Jalan\Jateng\Dmk-gdng-Pwd\DC_JL-Demak-GD-Pwdd.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D:\CBI%202025\Sparing\Lippo%20Cikarang\BOQ%20Pembelian%20Sensor%20COD,%20Amonia,%20dan%20TSS%20(For%20Tend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CAT-HAR"/>
      <sheetName val="304-01"/>
      <sheetName val="304-02"/>
      <sheetName val="304-03"/>
      <sheetName val="304-04"/>
      <sheetName val="304-05"/>
      <sheetName val="304-06"/>
      <sheetName val="304-07"/>
      <sheetName val="304-08"/>
      <sheetName val="304-09"/>
      <sheetName val="304-10"/>
      <sheetName val="304-11"/>
      <sheetName val="304-12"/>
      <sheetName val="304-13"/>
      <sheetName val="304-14"/>
      <sheetName val="TOTAL"/>
      <sheetName val="Bahan"/>
      <sheetName val="rekap total"/>
      <sheetName val="Genset"/>
      <sheetName val="Elektrikal"/>
      <sheetName val="Elektronik"/>
      <sheetName val="REK-EL "/>
      <sheetName val="REK-TRONIK"/>
      <sheetName val="304_06"/>
      <sheetName val="CATATAN"/>
      <sheetName val="DAF-1"/>
      <sheetName val="DAF-2"/>
      <sheetName val="DAF-3"/>
      <sheetName val="DAF-4"/>
      <sheetName val="DAF-5"/>
      <sheetName val="DAF-6"/>
      <sheetName val="DAF-7"/>
      <sheetName val="DAF-8"/>
      <sheetName val="DAF-9"/>
      <sheetName val="DAF-10"/>
      <sheetName val="DAF-11"/>
      <sheetName val="DAF-12"/>
      <sheetName val="DAF-13"/>
      <sheetName val="REK"/>
      <sheetName val="listrik"/>
      <sheetName val="t-phone"/>
      <sheetName val="struktur(kontrak)"/>
      <sheetName val="BQ STR GARUDA"/>
      <sheetName val="BQ 1"/>
      <sheetName val="Royal"/>
      <sheetName val="AC &amp; Fan "/>
      <sheetName val="BAG-2"/>
      <sheetName val="CAT_HRG"/>
      <sheetName val="Bag_1"/>
      <sheetName val="Bag_2"/>
      <sheetName val="Bag_9"/>
      <sheetName val="Penjumlahan"/>
      <sheetName val="I-KAMAR"/>
      <sheetName val="RAB"/>
      <sheetName val="MAPP"/>
      <sheetName val="rek det 1-3"/>
      <sheetName val="ANALISA"/>
      <sheetName val="BIAYA PEGAWAI"/>
      <sheetName val="Schedule"/>
      <sheetName val="escon"/>
      <sheetName val="Bill rekap"/>
      <sheetName val="Bill of Qty"/>
      <sheetName val="Concrete"/>
      <sheetName val="2_x0000__x0000_"/>
      <sheetName val="Sheet1"/>
      <sheetName val="2??"/>
      <sheetName val="II.5"/>
      <sheetName val="D_6"/>
      <sheetName val="D_7"/>
      <sheetName val="B - Norelec"/>
      <sheetName val="I_KAMAR"/>
      <sheetName val="NAMES"/>
      <sheetName val="Ind.MP Sch."/>
      <sheetName val="2__"/>
      <sheetName val="STR"/>
      <sheetName val="luar"/>
      <sheetName val="AC"/>
      <sheetName val="harsat"/>
      <sheetName val="upah_borong"/>
      <sheetName val="satuan_pek"/>
      <sheetName val="RINC FIN T4  _3_"/>
      <sheetName val="RINC FIN T4  _2_"/>
      <sheetName val="RINC hotel"/>
      <sheetName val="RINC FIN T4 "/>
      <sheetName val="daffin"/>
      <sheetName val="HARGA MATERIAL"/>
      <sheetName val="2_x005f_x0000__x005f_x0000_"/>
      <sheetName val="Kolom UT"/>
      <sheetName val="rekap_total"/>
      <sheetName val="REK-EL_"/>
      <sheetName val="BQ_STR_GARUDA"/>
      <sheetName val="BQ_1"/>
      <sheetName val="AC_&amp;_Fan_"/>
      <sheetName val="rek_det_1-3"/>
      <sheetName val="BIAYA_PEGAWAI"/>
      <sheetName val="Bill_rekap"/>
      <sheetName val="Bill_of_Qty"/>
      <sheetName val="A"/>
      <sheetName val="2_x005f_x005f_x005f_x0000__x005f_x005f_x005f_x0000_"/>
      <sheetName val="PIPING"/>
      <sheetName val="bq"/>
      <sheetName val="ARSITEKTUR"/>
      <sheetName val="D2.8"/>
      <sheetName val="Traf&amp;Genst"/>
      <sheetName val="D4.4.1"/>
      <sheetName val="D4.4.2"/>
      <sheetName val="D4.4.3"/>
      <sheetName val="Pipe"/>
      <sheetName val="HRG BHN"/>
      <sheetName val="Bill of Qty MEP"/>
      <sheetName val="B _ Norelec"/>
      <sheetName val="FINISHING"/>
      <sheetName val="DAF_2"/>
      <sheetName val=""/>
      <sheetName val="Rekap Addendum"/>
      <sheetName val="bestat besi"/>
      <sheetName val="HS"/>
      <sheetName val="Rekap"/>
      <sheetName val="NP"/>
      <sheetName val="CAT_HAR"/>
      <sheetName val="rekap_total1"/>
      <sheetName val="REK-EL_1"/>
      <sheetName val="BQ_STR_GARUDA1"/>
      <sheetName val="BQ_11"/>
      <sheetName val="AC_&amp;_Fan_1"/>
      <sheetName val="ANALISA_GRS_SELATAN"/>
      <sheetName val="ANALISA_GRS_TENGAH"/>
      <sheetName val="2"/>
      <sheetName val="Cash Flow bulanan"/>
      <sheetName val="DAF_1"/>
      <sheetName val="_x000d_Ā 獭瑣"/>
      <sheetName val="_x000a_Ā 獭瑣"/>
      <sheetName val="List Contract"/>
      <sheetName val="REKAP GROSS"/>
      <sheetName val="data"/>
      <sheetName val="D7(1)"/>
      <sheetName val="4-Basic Price"/>
      <sheetName val="Harga Bahan &amp; Upah "/>
      <sheetName val="Estimate"/>
      <sheetName val="BOQ"/>
      <sheetName val="5-ALAT(1)"/>
      <sheetName val="Bill No. 8- Staff Residences"/>
      <sheetName val="2_x0000__x0000_�"/>
      <sheetName val="2??�"/>
      <sheetName val="2_x005f_x0000__x005f_x0000_�"/>
      <sheetName val="2__�"/>
      <sheetName val="2_x005f_x005f_x005f_x0000__x005f_x005f_x005f_x0000_�"/>
      <sheetName val="2_x005f_x005f_x005f_x005f_x005f_x005f_x005f_x0000__x005"/>
      <sheetName val="_x000d_Ā_x0009_獭瑣"/>
      <sheetName val="_x0000_"/>
      <sheetName val="?"/>
      <sheetName val="Str HOTEL"/>
      <sheetName val="5.AC"/>
      <sheetName val="2.LISTRIK"/>
      <sheetName val="Daikin"/>
      <sheetName val="TOTAL "/>
      <sheetName val="FURNITURE"/>
      <sheetName val="Helipad"/>
      <sheetName val="bahan "/>
      <sheetName val="_x000a_Ā_x0009_獭瑣"/>
      <sheetName val="_Ā 獭瑣"/>
      <sheetName val="PROTECTION "/>
      <sheetName val="hortAbbrevDayName1_x0000_ShortAbbrevD"/>
      <sheetName val="DAF-3.7A"/>
      <sheetName val="_"/>
      <sheetName val="anal-drainase,tanah&amp;ps batu"/>
      <sheetName val="anal-beton"/>
      <sheetName val="anal-aspal"/>
      <sheetName val="Mall"/>
      <sheetName val="BQ-E20-02(Rp)"/>
      <sheetName val="TABEL-DETASIR"/>
      <sheetName val="_x0000_&lt;_x0000_U_x0000_n_x0000__x0000_ _x0000_¹_x0000_Ò_x0000_ë_x0000_Ą_x0000_ĝ_x0000_Ķ_x0000_ŏ_x0000_Ũ_x0000_Ɓ_x0000_ƚ_x0000_"/>
      <sheetName val="Analisa Harga Satuan"/>
      <sheetName val="Hit Vol Str Jamb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G-2"/>
      <sheetName val="BAG_2"/>
      <sheetName val="CAT_HRG"/>
      <sheetName val="BAG-1"/>
      <sheetName val="BAG-3"/>
      <sheetName val="BAG-4"/>
      <sheetName val="BAG-5"/>
      <sheetName val="BAG-6"/>
      <sheetName val="BAG-7"/>
      <sheetName val="BAG-8"/>
      <sheetName val="BAG-9"/>
      <sheetName val="BAG-10"/>
      <sheetName val="BAG-11"/>
      <sheetName val="BAG-12"/>
      <sheetName val="BAG-13"/>
      <sheetName val="TOTAL"/>
      <sheetName val="GRAND TOTAL"/>
      <sheetName val="[BQ-PS&amp;A.xlsÝCAT_HRG"/>
      <sheetName val="Week (2)"/>
      <sheetName val="_BQ-PS&amp;A.xlsÝCAT_HRG"/>
      <sheetName val="Material"/>
      <sheetName val="Mall"/>
      <sheetName val="data grafik"/>
      <sheetName val="Cover"/>
      <sheetName val="PAD-F"/>
      <sheetName val="A"/>
      <sheetName val="SAT-BHN"/>
      <sheetName val="Fill this out first___"/>
      <sheetName val="Bag_1"/>
      <sheetName val="DAFTAR 7"/>
      <sheetName val="DAF_1"/>
      <sheetName val="DAFTAR_8"/>
      <sheetName val="304-06"/>
      <sheetName val="304_06"/>
      <sheetName val="HRG BHN"/>
      <sheetName val="Cover Daf_2"/>
      <sheetName val="Ch"/>
      <sheetName val="Anl"/>
      <sheetName val="I_KAMAR"/>
      <sheetName val="Analisa"/>
      <sheetName val="DivVII"/>
      <sheetName val="DAFTAR HARGA"/>
      <sheetName val="BQ-E20-02(Rp)"/>
      <sheetName val="rab - persiapan &amp; lantai-1"/>
      <sheetName val="TE TS FA LAN MATV"/>
      <sheetName val="BQ"/>
      <sheetName val="S-Curve"/>
      <sheetName val="DETAIL"/>
      <sheetName val="DAFTAR NO_1_PRELIM"/>
      <sheetName val="daftar harsat"/>
      <sheetName val="DAF_2"/>
      <sheetName val="DAF_3"/>
      <sheetName val="DAF_4"/>
      <sheetName val="LAMP_AB "/>
      <sheetName val="Hargamat"/>
      <sheetName val="Plat"/>
      <sheetName val="Break_down"/>
      <sheetName val="daf_3_OK_"/>
      <sheetName val="daf-3(OK)"/>
      <sheetName val="daf_7_OK_"/>
      <sheetName val="daf-7(OK)"/>
      <sheetName val="BOQ KSN"/>
      <sheetName val="COMM"/>
      <sheetName val="FINAL"/>
      <sheetName val="Sumber Daya"/>
      <sheetName val="SCHEDULE"/>
      <sheetName val="BOQ INTERN"/>
      <sheetName val="ANALYS EXTERN"/>
      <sheetName val="WELCOME"/>
      <sheetName val="BQ RESO"/>
      <sheetName val="REKAP INDIRECT"/>
      <sheetName val="CASH FLOW"/>
      <sheetName val="ORGANIZATION"/>
      <sheetName val="MATRIX"/>
      <sheetName val="SUMMARY IN"/>
      <sheetName val="PROGRAM"/>
      <sheetName val="INDIRECT COST"/>
      <sheetName val="rumus"/>
      <sheetName val="Bag_9"/>
      <sheetName val="PERALATAN AHU"/>
      <sheetName val="AIR CURTAIN"/>
      <sheetName val="DUCTING "/>
      <sheetName val="DIFFUSER &amp; GRILLE "/>
      <sheetName val="PERALATAN EVB+CU"/>
      <sheetName val="PERALATAN FAN"/>
      <sheetName val="KATUP-KATUP"/>
      <sheetName val="PIPA CHILLER"/>
      <sheetName val="PIPA DRAIN"/>
      <sheetName val="PIPA REFRIGERANT"/>
      <sheetName val="POMPA CHILLER"/>
      <sheetName val="CATU DAYA LISTRIK"/>
      <sheetName val="ES-PARK"/>
      <sheetName val="ES_PARK"/>
      <sheetName val="DAFTAR NO_2"/>
      <sheetName val="DAFTAR NO_3"/>
      <sheetName val="DAF-1"/>
      <sheetName val="Fill this out first..."/>
      <sheetName val="DAF_2 "/>
      <sheetName val="GRAND_TOTAL"/>
      <sheetName val="[BQ-PS&amp;A_xlsÝCAT_HRG"/>
      <sheetName val="Week_(2)"/>
      <sheetName val="DAFTAR_7"/>
      <sheetName val="data_grafik"/>
      <sheetName val="HRG_BHN"/>
      <sheetName val="Fill_this_out_first___"/>
      <sheetName val="Cover_Daf_2"/>
      <sheetName val="_BQ-PS&amp;A_xlsÝCAT_HRG"/>
      <sheetName val="DAFTAR_HARGA"/>
      <sheetName val="LAMP_AB_"/>
      <sheetName val="Std-Spek EL"/>
      <sheetName val="Analisa Gabungan"/>
      <sheetName val="Sub"/>
      <sheetName val="Bill No 6 Koord _ Attendance"/>
      <sheetName val="DUCT"/>
      <sheetName val="Harga Satuan"/>
      <sheetName val="FINISHING"/>
      <sheetName val="Alat"/>
      <sheetName val="atap"/>
      <sheetName val="REKAP"/>
      <sheetName val="04.GS"/>
      <sheetName val="RC-ANL"/>
      <sheetName val="PERSIAPAN"/>
      <sheetName val="Hrg Sat"/>
      <sheetName val="Rincian"/>
      <sheetName val="PPC"/>
      <sheetName val="Daf 1"/>
      <sheetName val="Bill of Qty MEP"/>
      <sheetName val="TOWN"/>
      <sheetName val="I-KAMAR"/>
      <sheetName val="DAFTAR NO_4"/>
      <sheetName val="AC"/>
      <sheetName val="LISTRIK"/>
      <sheetName val="F ALARM"/>
      <sheetName val="boq"/>
      <sheetName val="hsd"/>
      <sheetName val="anal_hs"/>
      <sheetName val="Payment Status"/>
      <sheetName val="sched"/>
      <sheetName val="Cash Flow bulanan"/>
      <sheetName val="DAF-3"/>
      <sheetName val="DAF-4"/>
      <sheetName val="BAHAN"/>
      <sheetName val="REKAP_Akap"/>
      <sheetName val="anal"/>
      <sheetName val="Harga "/>
      <sheetName val="Plumbing"/>
      <sheetName val="Hsatbahan"/>
      <sheetName val="RAB"/>
      <sheetName val="FAK"/>
      <sheetName val="Resume"/>
      <sheetName val="Plafond"/>
      <sheetName val="Rev &amp; CI"/>
      <sheetName val="合成単価作成表-BLDG"/>
      <sheetName val="合成単価作成表_BLDG"/>
      <sheetName val="DAF-2"/>
      <sheetName val="Bill No 6 Koord &amp; Attendance"/>
      <sheetName val="Analis_Tanah"/>
      <sheetName val="Harga"/>
      <sheetName val="Panel,feeder,elek"/>
      <sheetName val="eqp-rek"/>
      <sheetName val="B - Norelec"/>
      <sheetName val="name"/>
      <sheetName val="ANA-HRG"/>
      <sheetName val="Isolasi Luar Dalam"/>
      <sheetName val="Isolasi Luar"/>
      <sheetName val="COVER "/>
      <sheetName val="TOTAL "/>
      <sheetName val="_AnaBah"/>
      <sheetName val="upah"/>
      <sheetName val="Grand summary"/>
      <sheetName val="D2.8"/>
      <sheetName val="Bill-2"/>
      <sheetName val="For RKAP OKOP"/>
      <sheetName val="escon"/>
      <sheetName val="STR"/>
      <sheetName val="luar"/>
      <sheetName val="RINC hotel"/>
      <sheetName val="RINC FIN T4 "/>
      <sheetName val="RINC FIN T4  _3_"/>
      <sheetName val="RINC FIN T4  _2_"/>
      <sheetName val="Markup"/>
      <sheetName val="Estimate"/>
      <sheetName val="H.Satuan"/>
      <sheetName val="LAL _ PASAR PAGI "/>
      <sheetName val="TH XL"/>
      <sheetName val="THPDMoi  (2)"/>
      <sheetName val="lam-moi"/>
      <sheetName val="#REF"/>
      <sheetName val="thao-go"/>
      <sheetName val="t-h HA THE"/>
      <sheetName val="bhn-upah"/>
      <sheetName val="UPAH BAHAN"/>
      <sheetName val="2"/>
      <sheetName val="3"/>
      <sheetName val="4"/>
      <sheetName val="5"/>
      <sheetName val="6"/>
      <sheetName val="7.1"/>
      <sheetName val="7.2"/>
      <sheetName val="8"/>
      <sheetName val="GSMTOWER"/>
      <sheetName val="PREM"/>
      <sheetName val="CAT HRG"/>
      <sheetName val="SAP"/>
      <sheetName val="Penjumlahan"/>
      <sheetName val="daffin"/>
      <sheetName val="2.1"/>
      <sheetName val="2.2"/>
      <sheetName val="BQ-PS&amp;A"/>
      <sheetName val="Ahs_2"/>
      <sheetName val="Ahs_1"/>
      <sheetName val="GRAND_TOTAL1"/>
      <sheetName val="[BQ-PS&amp;A_xlsÝCAT_HRG1"/>
      <sheetName val="Week_(2)1"/>
      <sheetName val="DAFTAR_71"/>
      <sheetName val="_BQ-PS&amp;A_xlsÝCAT_HRG1"/>
      <sheetName val="Fill_this_out_first___1"/>
      <sheetName val="data_grafik1"/>
      <sheetName val="HRG_BHN1"/>
      <sheetName val="Cover_Daf_21"/>
      <sheetName val="Pricing"/>
      <sheetName val="HARGA ALAT"/>
      <sheetName val="5-Peralatan"/>
      <sheetName val="lokasari-el"/>
      <sheetName val="Pile"/>
      <sheetName val="Elektrikal"/>
      <sheetName val="Bag_1_prelim_"/>
      <sheetName val="BQ STR_BONGKARAN_Bag 2_5_"/>
      <sheetName val="harsat"/>
      <sheetName val="data"/>
      <sheetName val="REKAP GROSS"/>
      <sheetName val="me"/>
      <sheetName val="6-MVAC"/>
      <sheetName val="harga bahan"/>
      <sheetName val="L-4 Rutin"/>
      <sheetName val="DAF.ALAT"/>
      <sheetName val="Pipe"/>
      <sheetName val="VLOOK"/>
      <sheetName val="Price"/>
      <sheetName val="A_2"/>
      <sheetName val="DAF-9"/>
      <sheetName val="Level"/>
      <sheetName val="Sheet1"/>
      <sheetName val="Sum"/>
      <sheetName val="umum"/>
      <sheetName val="analisa alat"/>
      <sheetName val="SUB LAIN2"/>
      <sheetName val="SUB ME"/>
      <sheetName val="SUB KUSEN"/>
      <sheetName val="analisa pekerjaan"/>
      <sheetName val="ars asrama "/>
      <sheetName val="str asrama"/>
      <sheetName val="mechanical asrama"/>
      <sheetName val="electrical asrama"/>
      <sheetName val="ME. Kelas"/>
      <sheetName val="ars kelas"/>
      <sheetName val="str kelas"/>
      <sheetName val="REKAP MERAH"/>
      <sheetName val="Mekanikal"/>
      <sheetName val="Sumber_Daya"/>
      <sheetName val="BOQ_INTERN"/>
      <sheetName val="ANALYS_EXTERN"/>
      <sheetName val="BQ_RESO"/>
      <sheetName val="REKAP_INDIRECT"/>
      <sheetName val="CASH_FLOW"/>
      <sheetName val="SUMMARY_IN"/>
      <sheetName val="INDIRECT_COST"/>
      <sheetName val="rab_-_persiapan_&amp;_lantai-1"/>
      <sheetName val="daftar_harsat"/>
      <sheetName val="TE_TS_FA_LAN_MATV"/>
      <sheetName val="DAFTAR_NO_1_PRELIM"/>
      <sheetName val="dasboard"/>
      <sheetName val="AHS_Kusen"/>
      <sheetName val="harsat&amp;upah"/>
      <sheetName val="HB"/>
      <sheetName val="D &amp; W sizes"/>
      <sheetName val="BAHAN UPAH"/>
      <sheetName val="01A- RAB"/>
      <sheetName val="Anls"/>
      <sheetName val="Analisa Harga"/>
      <sheetName val="PMK"/>
      <sheetName val="LAMP-A"/>
      <sheetName val="Ahs. Pipa-Valve"/>
      <sheetName val="Ahs.Peralatan"/>
      <sheetName val="BQ-1A prelim"/>
      <sheetName val="upah_borong"/>
      <sheetName val="satuan_pek"/>
      <sheetName val="Har-mat"/>
      <sheetName val="Analisa 2"/>
      <sheetName val="rab me (by owner) "/>
      <sheetName val="BQ (by owner)"/>
      <sheetName val="rab me (fisik)"/>
      <sheetName val="UP_an"/>
      <sheetName val="BTL-Persiapan"/>
      <sheetName val="BTL-Bau"/>
      <sheetName val="BTL-alat"/>
      <sheetName val="AN-ALT"/>
      <sheetName val="#REF!"/>
      <sheetName val="Sat Bah _ Up"/>
      <sheetName val="ANA-C"/>
      <sheetName val="chitimc"/>
      <sheetName val="dongia (2)"/>
      <sheetName val="LKVL-CK-HT-GD1"/>
      <sheetName val="giathanh1"/>
      <sheetName val="gtrinh"/>
      <sheetName val="phuluc1"/>
      <sheetName val="TONG HOP VL-NC"/>
      <sheetName val="chitiet"/>
      <sheetName val="TONGKE3p "/>
      <sheetName val="TH VL, NC, DDHT Thanhphuoc"/>
      <sheetName val="DONGIA"/>
      <sheetName val="DON GIA"/>
      <sheetName val="TONGKE-HT"/>
      <sheetName val="DG"/>
      <sheetName val="dtxl"/>
      <sheetName val="CHITIET VL-NC-TT -1p"/>
      <sheetName val="TONG HOP VL-NC TT"/>
      <sheetName val="TNHCHINH"/>
      <sheetName val="CHITIET VL-NC"/>
      <sheetName val="VC"/>
      <sheetName val="Tiepdia"/>
      <sheetName val="CHITIET VL-NC-TT-3p"/>
      <sheetName val="TDTKP"/>
      <sheetName val="TDTKP1"/>
      <sheetName val="KPVC-BD "/>
      <sheetName val="VCV-BE-TONG"/>
      <sheetName val="arab"/>
      <sheetName val="Concrete"/>
      <sheetName val="Harga Satuan Dasar"/>
      <sheetName val="analysis"/>
      <sheetName val="Hrg.mat.1"/>
      <sheetName val="Hrata bj (20x40)"/>
      <sheetName val="Ana CV(pen)."/>
      <sheetName val="1500P_3+0"/>
      <sheetName val="Vibro_Roller"/>
      <sheetName val="Art"/>
      <sheetName val="AA_Eng"/>
      <sheetName val="U_rate"/>
      <sheetName val="Basic Price"/>
      <sheetName val="CPAoC"/>
      <sheetName val="Rekap Bill"/>
      <sheetName val="Bill"/>
      <sheetName val="Menu"/>
      <sheetName val="Daf Alat"/>
      <sheetName val="Jdw Alat"/>
      <sheetName val="Plant"/>
      <sheetName val="S Penawar"/>
      <sheetName val="Subkon"/>
      <sheetName val="O"/>
      <sheetName val="L_TIGA"/>
      <sheetName val="L-TIGA"/>
      <sheetName val="RAB Arsitek"/>
      <sheetName val="Sheet3"/>
      <sheetName val="총괄표"/>
      <sheetName val="Bill_2"/>
      <sheetName val="Bill rekap"/>
      <sheetName val="Bill of Qty"/>
      <sheetName val="BPS"/>
      <sheetName val="RTO"/>
      <sheetName val="Sche_R1"/>
      <sheetName val="Sche_R2"/>
      <sheetName val="FAC"/>
      <sheetName val="WCF"/>
      <sheetName val="EQA"/>
      <sheetName val="BUP"/>
      <sheetName val="Sche_Og"/>
      <sheetName val="Sche_R2B"/>
      <sheetName val="QPV"/>
      <sheetName val="Pay"/>
      <sheetName val="KOM-HAR1"/>
      <sheetName val="KOM-HAR2"/>
      <sheetName val="KOM-HAR4"/>
      <sheetName val="CAT_HAR"/>
      <sheetName val="[BQ-PS&amp;A.xls�CAT_HRG"/>
      <sheetName val="_BQ-PS&amp;A.xls�CAT_HRG"/>
      <sheetName val="[BQ-PS&amp;A_xls�CAT_HRG"/>
      <sheetName val="_BQ-PS&amp;A_xls�CAT_HRG"/>
      <sheetName val="Hrg.Sat"/>
      <sheetName val="???????-BLDG"/>
      <sheetName val="ANALISA VALVE"/>
      <sheetName val="PKK"/>
      <sheetName val="Analisa &amp; Upah"/>
      <sheetName val="Daftar Harga Material"/>
      <sheetName val="CATATAN HARGA (Int)"/>
      <sheetName val="Cover Daft 2"/>
      <sheetName val="DAFTAR NO.1"/>
      <sheetName val="DAF 2"/>
      <sheetName val="A2"/>
      <sheetName val="PIPA"/>
      <sheetName val="Panel"/>
      <sheetName val="Bangunan Utama"/>
      <sheetName val="NAMES"/>
      <sheetName val="Equipment"/>
      <sheetName val="DAF_HARGA_PEK"/>
      <sheetName val="RABT"/>
      <sheetName val="Analisa STR"/>
      <sheetName val="ME_External"/>
      <sheetName val="Mall_ME"/>
      <sheetName val="Ijin"/>
      <sheetName val="G1 Sheet"/>
      <sheetName val="Analisa  (2)"/>
      <sheetName val="AC-C"/>
      <sheetName val="BQ ARS"/>
      <sheetName val="Harga Bahan &amp; Upah "/>
      <sheetName val="analisa struktur"/>
      <sheetName val="Lansekap"/>
      <sheetName val="TNH, PAGAR &amp; TURAP"/>
      <sheetName val="HB "/>
      <sheetName val="G_SUMMARY"/>
      <sheetName val="OFFICE 2 LT"/>
      <sheetName val="Calculation Details"/>
      <sheetName val="Outline"/>
      <sheetName val="Ana"/>
      <sheetName val="Standard Room Deluxe Queen"/>
      <sheetName val="FORM X COST"/>
      <sheetName val="Analisa Harga Satuan"/>
      <sheetName val="OFFICE"/>
      <sheetName val="RECEIVING INPECTION"/>
      <sheetName val="BQ_E20_02_Rp_"/>
      <sheetName val="K"/>
      <sheetName val="NK-BP"/>
      <sheetName val="GTS I PS"/>
      <sheetName val="_______-BLDG"/>
      <sheetName val="refrig 12"/>
      <sheetName val="Ducting12"/>
      <sheetName val="valve"/>
      <sheetName val="Rekap MEP"/>
      <sheetName val="D.2.1.Peralatan Utama "/>
      <sheetName val="rp"/>
      <sheetName val="Asrama Lt.1"/>
      <sheetName val="GRAND_TOTAL2"/>
      <sheetName val="[BQ-PS&amp;A_xlsÝCAT_HRG2"/>
      <sheetName val="Week_(2)2"/>
      <sheetName val="DAFTAR_72"/>
      <sheetName val="_BQ-PS&amp;A_xlsÝCAT_HRG2"/>
      <sheetName val="Fill_this_out_first___2"/>
      <sheetName val="data_grafik2"/>
      <sheetName val="HRG_BHN2"/>
      <sheetName val="Cover_Daf_22"/>
      <sheetName val="DAFTAR_HARGA1"/>
      <sheetName val="LAMP_AB_1"/>
      <sheetName val="PERALATAN_AHU"/>
      <sheetName val="AIR_CURTAIN"/>
      <sheetName val="DUCTING_"/>
      <sheetName val="DIFFUSER_&amp;_GRILLE_"/>
      <sheetName val="PERALATAN_EVB+CU"/>
      <sheetName val="PERALATAN_FAN"/>
      <sheetName val="PIPA_CHILLER"/>
      <sheetName val="PIPA_DRAIN"/>
      <sheetName val="PIPA_REFRIGERANT"/>
      <sheetName val="POMPA_CHILLER"/>
      <sheetName val="CATU_DAYA_LISTRIK"/>
      <sheetName val="Std-Spek_EL"/>
      <sheetName val="Analisa_Gabungan"/>
      <sheetName val="Bill_No_6_Koord___Attendance"/>
      <sheetName val="Fill_this_out_first___3"/>
      <sheetName val="DAF_2_"/>
      <sheetName val="DAFTAR_NO_2"/>
      <sheetName val="DAFTAR_NO_3"/>
      <sheetName val="Payment_Status"/>
      <sheetName val="BOQ_KSN"/>
      <sheetName val="Harga_Satuan"/>
      <sheetName val="04_GS"/>
      <sheetName val="Hrg_Sat"/>
      <sheetName val="koef"/>
      <sheetName val="BQ-IABK"/>
      <sheetName val="BQ_IABK"/>
      <sheetName val="Kolom UT"/>
      <sheetName val="Analisa HSP"/>
      <sheetName val="4-MVAC"/>
      <sheetName val="5-El"/>
      <sheetName val="2-Pl"/>
      <sheetName val="COV"/>
      <sheetName val="CATATAN HARGA "/>
      <sheetName val="LAL - PASAR PAGI "/>
      <sheetName val="Uraian Teknis"/>
      <sheetName val="Index"/>
      <sheetName val="fxterbilang"/>
      <sheetName val="GENERAL"/>
      <sheetName val="Bill No. 2.1"/>
      <sheetName val="Proj Cost Sumry"/>
      <sheetName val="LPP-1"/>
      <sheetName val="DAFTAR_NO_1_PRELIM1"/>
      <sheetName val="rab_-_persiapan_&amp;_lantai-11"/>
      <sheetName val="daftar_harsat1"/>
      <sheetName val="TE_TS_FA_LAN_MATV1"/>
      <sheetName val="Sumber_Daya1"/>
      <sheetName val="BOQ_INTERN1"/>
      <sheetName val="ANALYS_EXTERN1"/>
      <sheetName val="BQ_RESO1"/>
      <sheetName val="REKAP_INDIRECT1"/>
      <sheetName val="CASH_FLOW1"/>
      <sheetName val="SUMMARY_IN1"/>
      <sheetName val="INDIRECT_COST1"/>
      <sheetName val="DAFTAR_NO_4"/>
      <sheetName val="Rev_&amp;_CI"/>
      <sheetName val="Grand_summary"/>
      <sheetName val="D2_8"/>
      <sheetName val="Bill_of_Qty_MEP"/>
      <sheetName val="H_Satuan"/>
      <sheetName val="CAT_HRG1"/>
      <sheetName val="Isolasi_Luar_Dalam"/>
      <sheetName val="Isolasi_Luar"/>
      <sheetName val="Bill_No_6_Koord_&amp;_Attendance"/>
      <sheetName val="B_-_Norelec"/>
      <sheetName val="LAL___PASAR_PAGI_"/>
      <sheetName val="F_ALARM"/>
      <sheetName val="analisa_alat"/>
      <sheetName val="SUB_LAIN2"/>
      <sheetName val="SUB_ME"/>
      <sheetName val="SUB_KUSEN"/>
      <sheetName val="analisa_pekerjaan"/>
      <sheetName val="ars_asrama_"/>
      <sheetName val="str_asrama"/>
      <sheetName val="mechanical_asrama"/>
      <sheetName val="electrical_asrama"/>
      <sheetName val="ME__Kelas"/>
      <sheetName val="ars_kelas"/>
      <sheetName val="str_kelas"/>
      <sheetName val="REKAP_MERAH"/>
      <sheetName val="Cash_Flow_bulanan"/>
      <sheetName val="2_1"/>
      <sheetName val="2_2"/>
      <sheetName val="REKAP_GROSS"/>
      <sheetName val="COVER_"/>
      <sheetName val="TOTAL_"/>
      <sheetName val="HARGA_ALAT"/>
      <sheetName val="Analisa_Harga"/>
      <sheetName val="Hrg_Sat1"/>
      <sheetName val="D_&amp;_W_sizes"/>
      <sheetName val="GRAND_TOTAL3"/>
      <sheetName val="[BQ-PS&amp;A_xlsÝCAT_HRG3"/>
      <sheetName val="Week_(2)3"/>
      <sheetName val="DAFTAR_73"/>
      <sheetName val="_BQ-PS&amp;A_xlsÝCAT_HRG3"/>
      <sheetName val="Fill_this_out_first___4"/>
      <sheetName val="data_grafik3"/>
      <sheetName val="HRG_BHN3"/>
      <sheetName val="Cover_Daf_23"/>
      <sheetName val="DAFTAR_NO_1_PRELIM2"/>
      <sheetName val="rab_-_persiapan_&amp;_lantai-12"/>
      <sheetName val="daftar_harsat2"/>
      <sheetName val="DAFTAR_HARGA2"/>
      <sheetName val="LAMP_AB_2"/>
      <sheetName val="TE_TS_FA_LAN_MATV2"/>
      <sheetName val="PERALATAN_AHU1"/>
      <sheetName val="AIR_CURTAIN1"/>
      <sheetName val="DUCTING_1"/>
      <sheetName val="DIFFUSER_&amp;_GRILLE_1"/>
      <sheetName val="PERALATAN_EVB+CU1"/>
      <sheetName val="PERALATAN_FAN1"/>
      <sheetName val="PIPA_CHILLER1"/>
      <sheetName val="PIPA_DRAIN1"/>
      <sheetName val="PIPA_REFRIGERANT1"/>
      <sheetName val="POMPA_CHILLER1"/>
      <sheetName val="CATU_DAYA_LISTRIK1"/>
      <sheetName val="DAF_2_1"/>
      <sheetName val="Sumber_Daya2"/>
      <sheetName val="BOQ_INTERN2"/>
      <sheetName val="ANALYS_EXTERN2"/>
      <sheetName val="BQ_RESO2"/>
      <sheetName val="REKAP_INDIRECT2"/>
      <sheetName val="CASH_FLOW2"/>
      <sheetName val="SUMMARY_IN2"/>
      <sheetName val="INDIRECT_COST2"/>
      <sheetName val="Std-Spek_EL1"/>
      <sheetName val="Analisa_Gabungan1"/>
      <sheetName val="Bill_No_6_Koord___Attendance1"/>
      <sheetName val="Fill_this_out_first___5"/>
      <sheetName val="Payment_Status1"/>
      <sheetName val="DAFTAR_NO_21"/>
      <sheetName val="DAFTAR_NO_31"/>
      <sheetName val="DAFTAR_NO_41"/>
      <sheetName val="Hrg_Sat2"/>
      <sheetName val="Rev_&amp;_CI1"/>
      <sheetName val="04_GS1"/>
      <sheetName val="Grand_summary1"/>
      <sheetName val="D2_81"/>
      <sheetName val="BOQ_KSN1"/>
      <sheetName val="Harga_Satuan1"/>
      <sheetName val="Bill_of_Qty_MEP1"/>
      <sheetName val="H_Satuan1"/>
      <sheetName val="CAT_HRG2"/>
      <sheetName val="Isolasi_Luar_Dalam1"/>
      <sheetName val="Isolasi_Luar1"/>
      <sheetName val="Bill_No_6_Koord_&amp;_Attendance1"/>
      <sheetName val="B_-_Norelec1"/>
      <sheetName val="LAL___PASAR_PAGI_1"/>
      <sheetName val="F_ALARM1"/>
      <sheetName val="analisa_alat1"/>
      <sheetName val="SUB_LAIN21"/>
      <sheetName val="SUB_ME1"/>
      <sheetName val="SUB_KUSEN1"/>
      <sheetName val="analisa_pekerjaan1"/>
      <sheetName val="ars_asrama_1"/>
      <sheetName val="str_asrama1"/>
      <sheetName val="mechanical_asrama1"/>
      <sheetName val="electrical_asrama1"/>
      <sheetName val="ME__Kelas1"/>
      <sheetName val="ars_kelas1"/>
      <sheetName val="str_kelas1"/>
      <sheetName val="REKAP_MERAH1"/>
      <sheetName val="Cash_Flow_bulanan1"/>
      <sheetName val="2_11"/>
      <sheetName val="2_21"/>
      <sheetName val="REKAP_GROSS1"/>
      <sheetName val="COVER_1"/>
      <sheetName val="TOTAL_1"/>
      <sheetName val="HARGA_ALAT1"/>
      <sheetName val="Analisa_Harga1"/>
      <sheetName val="Hrg_Sat3"/>
      <sheetName val="D_&amp;_W_sizes1"/>
      <sheetName val="struktur"/>
      <sheetName val="PDMP"/>
      <sheetName val="PCE"/>
      <sheetName val="PRODUK"/>
      <sheetName val="TOOL-ME"/>
      <sheetName val="Insts"/>
      <sheetName val="WSSPR"/>
      <sheetName val="Code"/>
      <sheetName val="Settings"/>
      <sheetName val="Price Biaya Cadangan"/>
      <sheetName val="BQ.Rekapitulasi  Akhir"/>
      <sheetName val="APEK"/>
      <sheetName val="ASAT"/>
      <sheetName val="GRAND_TOTAL4"/>
      <sheetName val="Elec-ins"/>
      <sheetName val="SCH5"/>
      <sheetName val="bahan+upah"/>
      <sheetName val="bq analisa"/>
      <sheetName val="Master Edit"/>
      <sheetName val="BOQ EXTERN"/>
      <sheetName val="BQ Detail"/>
      <sheetName val="Analisa pre"/>
      <sheetName val="Materials"/>
      <sheetName val="METHOD"/>
      <sheetName val="Labour"/>
      <sheetName val="BQ Rekap"/>
      <sheetName val="Harga-RAB"/>
      <sheetName val="NET表"/>
      <sheetName val="BQ表"/>
      <sheetName val="uraian analisa"/>
      <sheetName val="???????_BLDG"/>
      <sheetName val="________BLDG"/>
      <sheetName val="[BQ-PS&amp;A.xls?CAT_HRG"/>
      <sheetName val="_BQ-PS&amp;A.xls?CAT_HRG"/>
      <sheetName val="[BQ-PS&amp;A_xls?CAT_HRG"/>
      <sheetName val="_BQ-PS&amp;A_xls?CAT_HRG"/>
      <sheetName val="_BQ-PS&amp;A.xls_CAT_HRG"/>
      <sheetName val="_BQ-PS&amp;A_xls_CAT_HRG"/>
      <sheetName val="COV_3"/>
      <sheetName val="rate ars"/>
      <sheetName val="D&amp;W"/>
      <sheetName val=" Rate str "/>
      <sheetName val="MU"/>
      <sheetName val="GEDUNG-A"/>
      <sheetName val="概総括1"/>
      <sheetName val="REQDELTA"/>
      <sheetName val="Supl.X"/>
      <sheetName val="Pag_hal"/>
      <sheetName val="Conn. Lib"/>
      <sheetName val="ana_sipil"/>
      <sheetName val="bq_baja"/>
      <sheetName val="MAIN BQ"/>
      <sheetName val="BOW"/>
      <sheetName val="STD Lanjutan"/>
      <sheetName val="NS Lanjutan"/>
      <sheetName val="database"/>
      <sheetName val="HSATUAN"/>
      <sheetName val="IPL_SCHEDULE"/>
      <sheetName val="TB"/>
      <sheetName val="ANLS-PJ"/>
      <sheetName val="bau"/>
      <sheetName val="MAPP"/>
      <sheetName val="rek det 1-3"/>
      <sheetName val="HRG BAHAN &amp; UPAH okk"/>
      <sheetName val="HRG BAHAN _ UPAH okk"/>
      <sheetName val="Analis Kusen okk"/>
      <sheetName val="isian"/>
      <sheetName val="struktur tdk dipakai"/>
      <sheetName val="LPP"/>
      <sheetName val="Bill.1.VAC-Supply-A"/>
      <sheetName val="Piping"/>
      <sheetName val="A H S P"/>
      <sheetName val="PENJ_TOTAL"/>
      <sheetName val="villa"/>
      <sheetName val="rab-str.Adm"/>
      <sheetName val="eq_data"/>
      <sheetName val="7-2"/>
      <sheetName val=" R A B"/>
      <sheetName val="DSU"/>
      <sheetName val="Lean Concrete"/>
      <sheetName val="RAB AR&amp;STR"/>
      <sheetName val="I-ME"/>
      <sheetName val="Rekap Direct Cost"/>
      <sheetName val="Agregat Halus &amp; Kasar"/>
      <sheetName val="prog-mgu"/>
      <sheetName val="Rekap Prelim"/>
      <sheetName val="CNI"/>
      <sheetName val="HARGA RATA"/>
      <sheetName val="Sal"/>
      <sheetName val="TRE TABLE"/>
      <sheetName val="_x0000__x0000__x0000__x0000_"/>
      <sheetName val="HRG SAT. MATERIAL"/>
      <sheetName val="HRG SAT. UPAH"/>
      <sheetName val="TABEL"/>
      <sheetName val="????"/>
      <sheetName val="kepmenaker150"/>
      <sheetName val="TRF 150"/>
      <sheetName val="srtberkas"/>
      <sheetName val="Pt"/>
      <sheetName val="DAF-5"/>
      <sheetName val="6_1_1"/>
      <sheetName val="6_1_2"/>
      <sheetName val="6_1_3"/>
      <sheetName val="Traf&amp;Genst"/>
      <sheetName val="NET?"/>
      <sheetName val="BQ?"/>
      <sheetName val="???"/>
      <sheetName val="Analisa Alat Berat"/>
      <sheetName val="Asrm 1"/>
      <sheetName val="COST BD"/>
      <sheetName val="Slab"/>
      <sheetName val="Analisa ME (2)"/>
      <sheetName val="Analisa_Harga_x0005_"/>
      <sheetName val="COVER_x0000_ê"/>
      <sheetName val="_BQ-PS&amp;A_xls�CAT_HRG1"/>
      <sheetName val="[BQ-PS&amp;A_xls�CAT_HRG1"/>
      <sheetName val=" "/>
      <sheetName val="AHS - CPO"/>
      <sheetName val="Bid Summary"/>
      <sheetName val="AHS"/>
      <sheetName val="Sheet1 (2)"/>
      <sheetName val="???1"/>
      <sheetName val="PC"/>
      <sheetName val="[BQ-PS&amp;A_xls .AT_HRG"/>
      <sheetName val="[BQ-PS&amp;A_xls⬈.AT_HRG"/>
      <sheetName val="lokasaUiêk_x0000_"/>
      <sheetName val=""/>
      <sheetName val="L-Mechanical"/>
      <sheetName val="Bab.No.2.2- Arsitektur"/>
      <sheetName val="SCEDUL"/>
      <sheetName val="rekap str_ars"/>
      <sheetName val="BQ HS"/>
      <sheetName val="RUKO TYPE 1"/>
      <sheetName val="EE-PROP"/>
      <sheetName val="cargo"/>
      <sheetName val="Beton"/>
      <sheetName val="Aspal (2)"/>
      <sheetName val="Relok-PJU"/>
      <sheetName val="SITE-E"/>
      <sheetName val="Bahan "/>
      <sheetName val="Electrikal"/>
      <sheetName val="Elektronik"/>
      <sheetName val="Fire Fighting"/>
      <sheetName val="Item Kompensasi"/>
      <sheetName val="BQ-M"/>
      <sheetName val="EK-JAN-07"/>
      <sheetName val="Price Persiapan dan Penunjang"/>
      <sheetName val="REKAPITULASI"/>
      <sheetName val="Bill No 6"/>
      <sheetName val="Bill No 7"/>
      <sheetName val="ANALIS"/>
      <sheetName val="DIVI6"/>
      <sheetName val="SAT-DAS"/>
      <sheetName val="ANALISA KOEFF ESKALASI"/>
      <sheetName val="Div2"/>
      <sheetName val="an. struktur"/>
      <sheetName val="ANALISA GRS TENGAH"/>
      <sheetName val="_x005f_x0000__x005f_x0000__x005f_x0000__x005f_x0000_"/>
      <sheetName val="HARSAT_BAH"/>
      <sheetName val="Alat_k3"/>
      <sheetName val="BTL-Rupa"/>
      <sheetName val="UPL"/>
      <sheetName val="DIV.1"/>
      <sheetName val="DIV_1"/>
      <sheetName val="PaintBreak"/>
      <sheetName val="Bill No_1"/>
      <sheetName val="Basic"/>
      <sheetName val="DRWD"/>
      <sheetName val="INDEKS"/>
      <sheetName val="JABATAN"/>
      <sheetName val="HARGA MATERIAL"/>
      <sheetName val="inter"/>
      <sheetName val="PAD_F"/>
      <sheetName val="112-885"/>
      <sheetName val="UPH,BHN,ALT"/>
      <sheetName val="Analisa Baku ME "/>
      <sheetName val="Analisa Baku STR ARS"/>
      <sheetName val="pro ra op"/>
      <sheetName val="grafik"/>
      <sheetName val="renc mgn"/>
      <sheetName val="DATA PROYEK"/>
      <sheetName val="DSBDY"/>
      <sheetName val="Sum_Intern"/>
      <sheetName val="HU"/>
      <sheetName val="Written"/>
      <sheetName val="磨煤加压"/>
      <sheetName val="Gorong Aramco"/>
      <sheetName val="NP"/>
      <sheetName val="rek_PUS oe"/>
      <sheetName val="tifico"/>
      <sheetName val="110 cs EW"/>
      <sheetName val="H.SAT"/>
      <sheetName val="NET_"/>
      <sheetName val="BQ_"/>
      <sheetName val="___"/>
      <sheetName val="326BQSTC"/>
      <sheetName val="UP MINOR"/>
      <sheetName val="RAP"/>
      <sheetName val="a.h ars sum"/>
      <sheetName val="har-sat"/>
      <sheetName val="Als_Struk"/>
      <sheetName val="SAT_BHN"/>
      <sheetName val="4-Basic Price"/>
      <sheetName val="Analis_Drainase"/>
      <sheetName val="tgp-02"/>
      <sheetName val="KUM"/>
      <sheetName val="Analisa RAP"/>
      <sheetName val="Analisa RAB"/>
      <sheetName val="CekList"/>
      <sheetName val="BQ OE"/>
      <sheetName val="Sch Tender"/>
      <sheetName val="Alat B"/>
      <sheetName val="Bahan B"/>
      <sheetName val="Upah B"/>
      <sheetName val="Lain-Lain"/>
      <sheetName val="Telusur"/>
      <sheetName val="Penyebaran M"/>
      <sheetName val="Rekap RAP"/>
      <sheetName val="BUL"/>
      <sheetName val="s_v13"/>
      <sheetName val="Mobilisasi"/>
      <sheetName val=" Harga Satuan"/>
      <sheetName val="OKTOBER"/>
      <sheetName val="BoQ C4"/>
      <sheetName val="RAB ME"/>
      <sheetName val="penil"/>
      <sheetName val="Up"/>
      <sheetName val="DAFTAR ISI"/>
      <sheetName val="Kuantitas &amp; Harga"/>
      <sheetName val="表三甲"/>
      <sheetName val="SBU"/>
      <sheetName val="S_UPAH"/>
      <sheetName val="S_BAHAN"/>
      <sheetName val="ELEC STIS"/>
      <sheetName val="rincian A"/>
      <sheetName val="DAFTAR BAHAN DAN UPA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6"/>
      <sheetName val="SUPER"/>
      <sheetName val="REKAP"/>
      <sheetName val="RAB"/>
      <sheetName val="SAT-JADI"/>
      <sheetName val="LS"/>
      <sheetName val="ANALISA"/>
      <sheetName val="HARGA"/>
      <sheetName val="ALAT"/>
      <sheetName val="KASAR&amp;HALUS"/>
      <sheetName val="KLAS.C"/>
      <sheetName val="QUARRY"/>
      <sheetName val="METODE"/>
      <sheetName val="SKEMA"/>
      <sheetName val="JDWL"/>
      <sheetName val="Sheet5"/>
      <sheetName val="Sheet4"/>
      <sheetName val="Sheet3"/>
      <sheetName val="ON SITE"/>
      <sheetName val="Sheet1"/>
      <sheetName val="KONFIRMASI.AMP"/>
      <sheetName val="URAIAN"/>
      <sheetName val="KONFIRMASI.SC"/>
      <sheetName val="A1"/>
      <sheetName val="U1"/>
      <sheetName val="F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27">
          <cell r="BO127" t="str">
            <v xml:space="preserve"> Usia 3 th.</v>
          </cell>
        </row>
        <row r="128">
          <cell r="BO128">
            <v>3000000</v>
          </cell>
        </row>
        <row r="167">
          <cell r="BO167" t="str">
            <v xml:space="preserve"> Alat Baru</v>
          </cell>
        </row>
        <row r="168">
          <cell r="BO168">
            <v>92000000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ANALISA"/>
      <sheetName val="BAHAN &amp; UPAH"/>
    </sheetNames>
    <sheetDataSet>
      <sheetData sheetId="0" refreshError="1"/>
      <sheetData sheetId="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T VOL BAJA"/>
      <sheetName val="HB "/>
      <sheetName val="ANALISA"/>
      <sheetName val="REKAP"/>
      <sheetName val="BANGUNAN UTAMA1"/>
      <sheetName val="INSTALASI ME 2"/>
      <sheetName val="KANTOR"/>
      <sheetName val="MUSHOLLA"/>
      <sheetName val="POS JAGA"/>
      <sheetName val="KM&amp;WC musolla"/>
      <sheetName val="KM&amp;WC 3 bh"/>
      <sheetName val="PAGAR DEPAN"/>
      <sheetName val="PAGAR SAMP &amp; BEL"/>
      <sheetName val="HALAMAN"/>
      <sheetName val="DEPO SAMPAH"/>
      <sheetName val="REKAP (2)"/>
      <sheetName val="INSTALASI ME KIOS"/>
      <sheetName val="LOS LESEHAN"/>
      <sheetName val="KIOS SAMPING"/>
      <sheetName val="Analisa  BOW"/>
      <sheetName val="Basic Price"/>
      <sheetName val="harga dasar"/>
      <sheetName val="Peralatan"/>
      <sheetName val="5-ALAT(1)"/>
      <sheetName val="4-Basic Price"/>
      <sheetName val="HIT_VOL_BAJA"/>
      <sheetName val="HB_"/>
      <sheetName val="BANGUNAN_UTAMA1"/>
      <sheetName val="INSTALASI_ME_2"/>
      <sheetName val="POS_JAGA"/>
      <sheetName val="KM&amp;WC_musolla"/>
      <sheetName val="KM&amp;WC_3_bh"/>
      <sheetName val="PAGAR_DEPAN"/>
      <sheetName val="PAGAR_SAMP_&amp;_BEL"/>
      <sheetName val="DEPO_SAMPAH"/>
      <sheetName val="REKAP_(2)"/>
      <sheetName val="INSTALASI_ME_KIOS"/>
      <sheetName val="LOS_LESEHAN"/>
      <sheetName val="KIOS_SAMPING"/>
      <sheetName val="RAB_ME"/>
      <sheetName val="HB"/>
      <sheetName val="Harga_Bahan_&amp;_Upah"/>
      <sheetName val="Bahan&amp;Upah"/>
      <sheetName val="SKEDUL"/>
      <sheetName val="FAK"/>
      <sheetName val="NEG02"/>
      <sheetName val="RAB"/>
      <sheetName val="harga satuan"/>
      <sheetName val="bacap analisa"/>
      <sheetName val="kop"/>
      <sheetName val="time-schedule"/>
      <sheetName val="Sheet7"/>
      <sheetName val="Sheet8"/>
      <sheetName val="Sheet9"/>
      <sheetName val="Sheet10"/>
      <sheetName val="Sheet11"/>
      <sheetName val="Sheet12"/>
      <sheetName val="Sheet13"/>
      <sheetName val="Sheet14"/>
      <sheetName val="Sheet15"/>
      <sheetName val="Sheet16"/>
      <sheetName val="Analisa ME (2)"/>
      <sheetName val="HRG BHN"/>
      <sheetName val="Isolasi Luar Dalam"/>
      <sheetName val="Isolasi Luar"/>
      <sheetName val="PERSIAPAN"/>
      <sheetName val="Hrg Sat"/>
      <sheetName val="PIN-SOR"/>
      <sheetName val="Peralatan (2)"/>
      <sheetName val="Harga Satuan Bahan"/>
      <sheetName val="Harga"/>
      <sheetName val="HRG BAHAN &amp; UPAH okk"/>
      <sheetName val="Analis Kusen okk"/>
      <sheetName val="A"/>
      <sheetName val="harsat"/>
      <sheetName val="anal"/>
      <sheetName val="PPC"/>
      <sheetName val="Mob"/>
      <sheetName val="TOWN"/>
      <sheetName val="Ref"/>
      <sheetName val="srtberkas"/>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sheet1"/>
      <sheetName val="Kuantitas &amp; Harga"/>
      <sheetName val="Rekap Biaya"/>
      <sheetName val="Elektrikal"/>
      <sheetName val="Sheet3"/>
      <sheetName val="DIV-3"/>
      <sheetName val="DIV-7"/>
      <sheetName val="Daf-Har-Pening"/>
      <sheetName val="BAG-2"/>
      <sheetName val="Engine"/>
      <sheetName val="umum"/>
      <sheetName val="UPAH"/>
      <sheetName val="Daf Harga"/>
      <sheetName val="Bill"/>
      <sheetName val="Rekap Bill"/>
      <sheetName val="An_ Harga"/>
      <sheetName val="Cover"/>
      <sheetName val="Markup"/>
      <sheetName val="DATA"/>
      <sheetName val="H Sat"/>
      <sheetName val="database-emp"/>
      <sheetName val="Eng_Hrs"/>
      <sheetName val="Waste"/>
      <sheetName val="GAS"/>
      <sheetName val="AHU FCU"/>
      <sheetName val="FM-200"/>
      <sheetName val="Ducting"/>
      <sheetName val="IT"/>
      <sheetName val="TLP"/>
      <sheetName val="TRAY-EC"/>
      <sheetName val="list"/>
      <sheetName val="bahan+upah"/>
      <sheetName val="DAF.HRG"/>
      <sheetName val="Sat-Rap"/>
      <sheetName val="ANALISA 2"/>
      <sheetName val="UPAH&amp;BAHAN"/>
      <sheetName val="har.sat.B"/>
    </sheetNames>
    <sheetDataSet>
      <sheetData sheetId="0" refreshError="1"/>
      <sheetData sheetId="1" refreshError="1">
        <row r="13">
          <cell r="F13">
            <v>14775</v>
          </cell>
        </row>
        <row r="23">
          <cell r="F23">
            <v>95000</v>
          </cell>
        </row>
        <row r="33">
          <cell r="F33">
            <v>3000000</v>
          </cell>
        </row>
        <row r="36">
          <cell r="F36">
            <v>1294680</v>
          </cell>
        </row>
        <row r="37">
          <cell r="F37">
            <v>1200000</v>
          </cell>
        </row>
        <row r="45">
          <cell r="F45">
            <v>135000</v>
          </cell>
        </row>
        <row r="48">
          <cell r="F48">
            <v>45000</v>
          </cell>
        </row>
        <row r="49">
          <cell r="F49">
            <v>55000</v>
          </cell>
        </row>
        <row r="50">
          <cell r="F50">
            <v>45000</v>
          </cell>
        </row>
        <row r="54">
          <cell r="F54">
            <v>2750</v>
          </cell>
        </row>
        <row r="55">
          <cell r="F55">
            <v>340000</v>
          </cell>
        </row>
        <row r="56">
          <cell r="F56">
            <v>17500</v>
          </cell>
        </row>
        <row r="65">
          <cell r="F65">
            <v>6500</v>
          </cell>
        </row>
        <row r="68">
          <cell r="F68">
            <v>600000</v>
          </cell>
        </row>
        <row r="69">
          <cell r="F69">
            <v>5500</v>
          </cell>
        </row>
        <row r="101">
          <cell r="F101">
            <v>25000</v>
          </cell>
        </row>
        <row r="104">
          <cell r="F104">
            <v>2500</v>
          </cell>
        </row>
        <row r="150">
          <cell r="F150">
            <v>200</v>
          </cell>
        </row>
        <row r="156">
          <cell r="F156">
            <v>85000</v>
          </cell>
        </row>
        <row r="157">
          <cell r="F157">
            <v>17500</v>
          </cell>
        </row>
        <row r="159">
          <cell r="F159">
            <v>8400</v>
          </cell>
        </row>
        <row r="161">
          <cell r="F161">
            <v>54000</v>
          </cell>
        </row>
        <row r="162">
          <cell r="F162">
            <v>960</v>
          </cell>
        </row>
        <row r="163">
          <cell r="F163">
            <v>20000</v>
          </cell>
        </row>
        <row r="165">
          <cell r="F165">
            <v>40000</v>
          </cell>
        </row>
        <row r="166">
          <cell r="F166">
            <v>47000</v>
          </cell>
        </row>
        <row r="177">
          <cell r="F177">
            <v>45000</v>
          </cell>
        </row>
        <row r="178">
          <cell r="F178">
            <v>1500</v>
          </cell>
        </row>
        <row r="182">
          <cell r="F182">
            <v>7000</v>
          </cell>
        </row>
        <row r="183">
          <cell r="F183">
            <v>125000</v>
          </cell>
        </row>
        <row r="185">
          <cell r="F185">
            <v>200000</v>
          </cell>
        </row>
        <row r="186">
          <cell r="F186">
            <v>235000</v>
          </cell>
        </row>
        <row r="187">
          <cell r="F187">
            <v>775</v>
          </cell>
        </row>
        <row r="198">
          <cell r="F198">
            <v>27500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F-ALAT-03"/>
      <sheetName val="alat"/>
      <sheetName val="Informasi"/>
      <sheetName val="Rekap"/>
      <sheetName val="RAB"/>
      <sheetName val="ANALIS"/>
      <sheetName val="UPah"/>
      <sheetName val="Subcont"/>
    </sheetNames>
    <sheetDataSet>
      <sheetData sheetId="0"/>
      <sheetData sheetId="1" refreshError="1"/>
      <sheetData sheetId="2">
        <row r="26">
          <cell r="BP26" t="str">
            <v xml:space="preserve"> Usia 3 th.</v>
          </cell>
        </row>
        <row r="27">
          <cell r="BP27">
            <v>957394179.39769518</v>
          </cell>
        </row>
        <row r="46">
          <cell r="BP46" t="str">
            <v xml:space="preserve"> Usia 3 th.</v>
          </cell>
        </row>
        <row r="47">
          <cell r="BP47">
            <v>114357709.14207083</v>
          </cell>
        </row>
        <row r="66">
          <cell r="BP66" t="str">
            <v xml:space="preserve"> Usia 3 th.</v>
          </cell>
        </row>
        <row r="67">
          <cell r="BP67">
            <v>23544234.235132232</v>
          </cell>
        </row>
        <row r="86">
          <cell r="BP86" t="str">
            <v xml:space="preserve"> Usia 3 th.</v>
          </cell>
        </row>
        <row r="87">
          <cell r="BP87">
            <v>154214734.24011612</v>
          </cell>
        </row>
        <row r="106">
          <cell r="BP106" t="str">
            <v xml:space="preserve"> Alat Baru</v>
          </cell>
        </row>
        <row r="107">
          <cell r="BP107">
            <v>150000000</v>
          </cell>
        </row>
        <row r="127">
          <cell r="BP127">
            <v>35316351.352698356</v>
          </cell>
        </row>
        <row r="146">
          <cell r="BP146" t="str">
            <v xml:space="preserve"> Usia 4 th.</v>
          </cell>
        </row>
        <row r="147">
          <cell r="BP147">
            <v>116039440.15886605</v>
          </cell>
        </row>
        <row r="186">
          <cell r="BP186" t="str">
            <v xml:space="preserve"> Alat Baru</v>
          </cell>
        </row>
        <row r="187">
          <cell r="BP187">
            <v>267815664.42462918</v>
          </cell>
        </row>
        <row r="206">
          <cell r="BP206" t="str">
            <v xml:space="preserve"> Usia 2 th.</v>
          </cell>
        </row>
        <row r="207">
          <cell r="BP207">
            <v>280176387.39807361</v>
          </cell>
        </row>
        <row r="226">
          <cell r="BP226" t="str">
            <v xml:space="preserve"> Alat Baru</v>
          </cell>
        </row>
        <row r="227">
          <cell r="BP227">
            <v>117721171.17566119</v>
          </cell>
        </row>
        <row r="246">
          <cell r="BP246" t="str">
            <v xml:space="preserve"> Alat Baru</v>
          </cell>
        </row>
        <row r="247">
          <cell r="BP247">
            <v>65000000</v>
          </cell>
        </row>
        <row r="266">
          <cell r="BP266" t="str">
            <v xml:space="preserve"> Usia 2 th.</v>
          </cell>
        </row>
        <row r="267">
          <cell r="BP267">
            <v>215429743.25146002</v>
          </cell>
        </row>
        <row r="286">
          <cell r="BP286" t="str">
            <v xml:space="preserve"> Alat Baru</v>
          </cell>
        </row>
        <row r="287">
          <cell r="BP287">
            <v>189000000</v>
          </cell>
        </row>
        <row r="306">
          <cell r="BP306" t="str">
            <v xml:space="preserve"> Usia 1 th.</v>
          </cell>
        </row>
        <row r="307">
          <cell r="BP307">
            <v>302151006.0175302</v>
          </cell>
        </row>
        <row r="326">
          <cell r="BP326" t="str">
            <v xml:space="preserve"> Usia 2 th.</v>
          </cell>
        </row>
        <row r="327">
          <cell r="BP327">
            <v>141265405.41079339</v>
          </cell>
        </row>
        <row r="346">
          <cell r="BP346" t="str">
            <v xml:space="preserve"> Alat Baru</v>
          </cell>
        </row>
        <row r="347">
          <cell r="BP347">
            <v>285473840.10097831</v>
          </cell>
        </row>
        <row r="366">
          <cell r="BP366" t="str">
            <v xml:space="preserve"> Usia 3 th.</v>
          </cell>
        </row>
        <row r="367">
          <cell r="BP367">
            <v>68866885.137761772</v>
          </cell>
        </row>
        <row r="386">
          <cell r="BP386" t="str">
            <v xml:space="preserve"> Usia 1 th.</v>
          </cell>
        </row>
        <row r="387">
          <cell r="BP387">
            <v>208366472.98092026</v>
          </cell>
        </row>
        <row r="406">
          <cell r="BP406" t="str">
            <v xml:space="preserve"> Alat Baru</v>
          </cell>
        </row>
        <row r="407">
          <cell r="BP407">
            <v>5886058.5587830599</v>
          </cell>
        </row>
        <row r="426">
          <cell r="BP426" t="str">
            <v xml:space="preserve"> Usia 3 th.</v>
          </cell>
        </row>
        <row r="427">
          <cell r="BP427">
            <v>271935905.41577721</v>
          </cell>
        </row>
        <row r="446">
          <cell r="BP446" t="str">
            <v xml:space="preserve"> Usia 1 th.</v>
          </cell>
        </row>
        <row r="447">
          <cell r="BP447">
            <v>2943029.27939153</v>
          </cell>
        </row>
        <row r="466">
          <cell r="BP466" t="str">
            <v xml:space="preserve"> Alat Baru</v>
          </cell>
        </row>
        <row r="467">
          <cell r="BP467">
            <v>105949054.05809507</v>
          </cell>
        </row>
        <row r="486">
          <cell r="BP486" t="str">
            <v xml:space="preserve"> Usia 2 th.</v>
          </cell>
        </row>
        <row r="487">
          <cell r="BP487">
            <v>5959634.2907678485</v>
          </cell>
        </row>
        <row r="506">
          <cell r="BP506" t="str">
            <v xml:space="preserve"> Usia 2 th.</v>
          </cell>
        </row>
        <row r="507">
          <cell r="BP507">
            <v>1765817.5676349183</v>
          </cell>
        </row>
        <row r="526">
          <cell r="BP526" t="str">
            <v xml:space="preserve"> Usia 2 th.</v>
          </cell>
        </row>
        <row r="527">
          <cell r="BP527">
            <v>1050000</v>
          </cell>
        </row>
        <row r="546">
          <cell r="BP546" t="str">
            <v xml:space="preserve"> Alat Baru</v>
          </cell>
        </row>
        <row r="547">
          <cell r="BP547">
            <v>46000000</v>
          </cell>
        </row>
        <row r="566">
          <cell r="BP566" t="str">
            <v xml:space="preserve"> Alat Baru</v>
          </cell>
        </row>
        <row r="567">
          <cell r="BP567">
            <v>112500000</v>
          </cell>
        </row>
        <row r="586">
          <cell r="BP586" t="str">
            <v xml:space="preserve"> Alat Baru</v>
          </cell>
        </row>
        <row r="587">
          <cell r="BP587">
            <v>166250000</v>
          </cell>
        </row>
        <row r="606">
          <cell r="BP606" t="str">
            <v xml:space="preserve"> Alat Baru</v>
          </cell>
        </row>
        <row r="607">
          <cell r="BP607">
            <v>1250000000</v>
          </cell>
        </row>
        <row r="626">
          <cell r="BP626" t="str">
            <v xml:space="preserve"> Alat Baru</v>
          </cell>
        </row>
        <row r="627">
          <cell r="BP627">
            <v>525000000</v>
          </cell>
        </row>
        <row r="646">
          <cell r="BP646" t="str">
            <v xml:space="preserve"> Alat Baru</v>
          </cell>
        </row>
        <row r="647">
          <cell r="BP647">
            <v>15000000</v>
          </cell>
        </row>
        <row r="666">
          <cell r="BP666" t="str">
            <v xml:space="preserve"> Alat Baru</v>
          </cell>
        </row>
        <row r="667">
          <cell r="BP667">
            <v>2250000000</v>
          </cell>
        </row>
        <row r="697">
          <cell r="BP697" t="str">
            <v xml:space="preserve"> Alat Baru</v>
          </cell>
        </row>
        <row r="698">
          <cell r="BP698">
            <v>5000000</v>
          </cell>
        </row>
      </sheetData>
      <sheetData sheetId="3" refreshError="1"/>
      <sheetData sheetId="4" refreshError="1"/>
      <sheetData sheetId="5"/>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SCLAIMER"/>
      <sheetName val="mata pembayaran"/>
      <sheetName val="Rekap"/>
      <sheetName val="TKDN"/>
      <sheetName val="SUBKON"/>
      <sheetName val="jadwal"/>
      <sheetName val="SPH"/>
      <sheetName val="rekap (2)"/>
      <sheetName val="RAB GEDEG"/>
      <sheetName val="rab"/>
      <sheetName val="%"/>
      <sheetName val="MAJOR"/>
      <sheetName val="Peta Quarry"/>
      <sheetName val="BOQ"/>
      <sheetName val="gutter"/>
      <sheetName val="pancng"/>
      <sheetName val="4-Basic Price"/>
      <sheetName val="5-ALAT(1)"/>
      <sheetName val="ATB-L"/>
      <sheetName val="D3"/>
      <sheetName val="D5"/>
      <sheetName val="D6"/>
      <sheetName val="D7(1)"/>
      <sheetName val="D7(2)"/>
      <sheetName val="D8(2)"/>
      <sheetName val="Mobilisasi"/>
      <sheetName val="Perhitungan Mobilisasi Alat"/>
      <sheetName val="Lalu Lintas"/>
      <sheetName val="Jembatan Sementara"/>
      <sheetName val="Informasi"/>
      <sheetName val="Analisa K3"/>
      <sheetName val="4-Analisa Quarry"/>
      <sheetName val="4-Formulir harga bahan"/>
      <sheetName val="5-ALAT(2)"/>
      <sheetName val="Agg Halus &amp; Kasar"/>
      <sheetName val="Agg A"/>
      <sheetName val="Agg B dan S"/>
      <sheetName val="Agg C"/>
      <sheetName val="Agg  CBR 60"/>
      <sheetName val="D1"/>
      <sheetName val="D2"/>
      <sheetName val="D4"/>
      <sheetName val="D8(1)"/>
      <sheetName val="D9"/>
      <sheetName val="D10 LS-Rutin"/>
      <sheetName val="D10 Kuantitas"/>
      <sheetName val="D10 Analisa HSP"/>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9">
          <cell r="AW9">
            <v>221238.47829828362</v>
          </cell>
        </row>
        <row r="13">
          <cell r="AW13">
            <v>87791.265502857132</v>
          </cell>
        </row>
        <row r="14">
          <cell r="AW14">
            <v>320993.98117220675</v>
          </cell>
        </row>
        <row r="15">
          <cell r="AW15">
            <v>180000</v>
          </cell>
        </row>
        <row r="20">
          <cell r="AW20">
            <v>314817.09397220676</v>
          </cell>
        </row>
        <row r="24">
          <cell r="AW24">
            <v>205692.08677220679</v>
          </cell>
        </row>
        <row r="26">
          <cell r="AW26">
            <v>205692.08677220679</v>
          </cell>
        </row>
        <row r="30">
          <cell r="AW30">
            <v>222523.95914118961</v>
          </cell>
        </row>
        <row r="38">
          <cell r="AW38">
            <v>294227.46812594135</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DAF-ALAT-03"/>
      <sheetName val="alat"/>
      <sheetName val="Informasi"/>
      <sheetName val="Rekap"/>
      <sheetName val="RAB"/>
      <sheetName val="ANALIS"/>
      <sheetName val="UPah"/>
      <sheetName val="Subcont"/>
    </sheetNames>
    <sheetDataSet>
      <sheetData sheetId="0"/>
      <sheetData sheetId="1" refreshError="1"/>
      <sheetData sheetId="2">
        <row r="26">
          <cell r="BP26" t="str">
            <v xml:space="preserve"> Usia 3 th.</v>
          </cell>
        </row>
        <row r="27">
          <cell r="BP27">
            <v>957394179.39769518</v>
          </cell>
        </row>
        <row r="46">
          <cell r="BP46" t="str">
            <v xml:space="preserve"> Usia 3 th.</v>
          </cell>
        </row>
        <row r="47">
          <cell r="BP47">
            <v>114357709.14207083</v>
          </cell>
        </row>
        <row r="66">
          <cell r="BP66" t="str">
            <v xml:space="preserve"> Usia 3 th.</v>
          </cell>
        </row>
        <row r="67">
          <cell r="BP67">
            <v>23544234.235132232</v>
          </cell>
        </row>
        <row r="86">
          <cell r="BP86" t="str">
            <v xml:space="preserve"> Usia 3 th.</v>
          </cell>
        </row>
        <row r="87">
          <cell r="BP87">
            <v>154214734.24011612</v>
          </cell>
        </row>
        <row r="106">
          <cell r="BP106" t="str">
            <v xml:space="preserve"> Alat Baru</v>
          </cell>
        </row>
        <row r="107">
          <cell r="BP107">
            <v>150000000</v>
          </cell>
        </row>
        <row r="146">
          <cell r="BP146" t="str">
            <v xml:space="preserve"> Usia 4 th.</v>
          </cell>
        </row>
        <row r="147">
          <cell r="BP147">
            <v>116039440.15886605</v>
          </cell>
        </row>
        <row r="186">
          <cell r="BP186" t="str">
            <v xml:space="preserve"> Alat Baru</v>
          </cell>
        </row>
        <row r="187">
          <cell r="BP187">
            <v>267815664.42462918</v>
          </cell>
        </row>
        <row r="206">
          <cell r="BP206" t="str">
            <v xml:space="preserve"> Usia 2 th.</v>
          </cell>
        </row>
        <row r="207">
          <cell r="BP207">
            <v>280176387.39807361</v>
          </cell>
        </row>
        <row r="226">
          <cell r="BP226" t="str">
            <v xml:space="preserve"> Alat Baru</v>
          </cell>
        </row>
        <row r="227">
          <cell r="BP227">
            <v>117721171.17566119</v>
          </cell>
        </row>
        <row r="246">
          <cell r="BP246" t="str">
            <v xml:space="preserve"> Alat Baru</v>
          </cell>
        </row>
        <row r="247">
          <cell r="BP247">
            <v>65000000</v>
          </cell>
        </row>
        <row r="266">
          <cell r="BP266" t="str">
            <v xml:space="preserve"> Usia 2 th.</v>
          </cell>
        </row>
        <row r="267">
          <cell r="BP267">
            <v>215429743.25146002</v>
          </cell>
        </row>
        <row r="286">
          <cell r="BP286" t="str">
            <v xml:space="preserve"> Alat Baru</v>
          </cell>
        </row>
        <row r="287">
          <cell r="BP287">
            <v>189000000</v>
          </cell>
        </row>
        <row r="306">
          <cell r="BP306" t="str">
            <v xml:space="preserve"> Usia 1 th.</v>
          </cell>
        </row>
        <row r="307">
          <cell r="BP307">
            <v>302151006.0175302</v>
          </cell>
        </row>
        <row r="326">
          <cell r="BP326" t="str">
            <v xml:space="preserve"> Usia 2 th.</v>
          </cell>
        </row>
        <row r="327">
          <cell r="BP327">
            <v>141265405.41079339</v>
          </cell>
        </row>
        <row r="346">
          <cell r="BP346" t="str">
            <v xml:space="preserve"> Alat Baru</v>
          </cell>
        </row>
        <row r="347">
          <cell r="BP347">
            <v>285473840.10097831</v>
          </cell>
        </row>
        <row r="366">
          <cell r="BP366" t="str">
            <v xml:space="preserve"> Usia 3 th.</v>
          </cell>
        </row>
        <row r="367">
          <cell r="BP367">
            <v>68866885.137761772</v>
          </cell>
        </row>
        <row r="386">
          <cell r="BP386" t="str">
            <v xml:space="preserve"> Usia 1 th.</v>
          </cell>
        </row>
        <row r="387">
          <cell r="BP387">
            <v>208366472.98092026</v>
          </cell>
        </row>
        <row r="406">
          <cell r="BP406" t="str">
            <v xml:space="preserve"> Alat Baru</v>
          </cell>
        </row>
        <row r="407">
          <cell r="BP407">
            <v>5886058.5587830599</v>
          </cell>
        </row>
        <row r="426">
          <cell r="BP426" t="str">
            <v xml:space="preserve"> Usia 3 th.</v>
          </cell>
        </row>
        <row r="427">
          <cell r="BP427">
            <v>271935905.41577721</v>
          </cell>
        </row>
        <row r="446">
          <cell r="BP446" t="str">
            <v xml:space="preserve"> Usia 1 th.</v>
          </cell>
        </row>
        <row r="447">
          <cell r="BP447">
            <v>2943029.27939153</v>
          </cell>
        </row>
        <row r="466">
          <cell r="BP466" t="str">
            <v xml:space="preserve"> Alat Baru</v>
          </cell>
        </row>
        <row r="467">
          <cell r="BP467">
            <v>105949054.05809507</v>
          </cell>
        </row>
        <row r="486">
          <cell r="BP486" t="str">
            <v xml:space="preserve"> Usia 2 th.</v>
          </cell>
        </row>
        <row r="487">
          <cell r="BP487">
            <v>5959634.2907678485</v>
          </cell>
        </row>
        <row r="506">
          <cell r="BP506" t="str">
            <v xml:space="preserve"> Usia 2 th.</v>
          </cell>
        </row>
        <row r="507">
          <cell r="BP507">
            <v>1765817.5676349183</v>
          </cell>
        </row>
        <row r="526">
          <cell r="BP526" t="str">
            <v xml:space="preserve"> Usia 2 th.</v>
          </cell>
        </row>
        <row r="527">
          <cell r="BP527">
            <v>1050000</v>
          </cell>
        </row>
        <row r="546">
          <cell r="BP546" t="str">
            <v xml:space="preserve"> Alat Baru</v>
          </cell>
        </row>
        <row r="547">
          <cell r="BP547">
            <v>46000000</v>
          </cell>
        </row>
        <row r="566">
          <cell r="BP566" t="str">
            <v xml:space="preserve"> Alat Baru</v>
          </cell>
        </row>
        <row r="567">
          <cell r="BP567">
            <v>112500000</v>
          </cell>
        </row>
        <row r="586">
          <cell r="BP586" t="str">
            <v xml:space="preserve"> Alat Baru</v>
          </cell>
        </row>
        <row r="587">
          <cell r="BP587">
            <v>166250000</v>
          </cell>
        </row>
        <row r="606">
          <cell r="BP606" t="str">
            <v xml:space="preserve"> Alat Baru</v>
          </cell>
        </row>
        <row r="607">
          <cell r="BP607">
            <v>1250000000</v>
          </cell>
        </row>
        <row r="626">
          <cell r="BP626" t="str">
            <v xml:space="preserve"> Alat Baru</v>
          </cell>
        </row>
        <row r="627">
          <cell r="BP627">
            <v>525000000</v>
          </cell>
        </row>
        <row r="646">
          <cell r="BP646" t="str">
            <v xml:space="preserve"> Alat Baru</v>
          </cell>
        </row>
        <row r="647">
          <cell r="BP647">
            <v>15000000</v>
          </cell>
        </row>
        <row r="666">
          <cell r="BP666" t="str">
            <v xml:space="preserve"> Alat Baru</v>
          </cell>
        </row>
        <row r="667">
          <cell r="BP667">
            <v>2250000000</v>
          </cell>
        </row>
        <row r="697">
          <cell r="BP697" t="str">
            <v xml:space="preserve"> Alat Baru</v>
          </cell>
        </row>
        <row r="698">
          <cell r="BP698">
            <v>5000000</v>
          </cell>
        </row>
      </sheetData>
      <sheetData sheetId="3" refreshError="1"/>
      <sheetData sheetId="4" refreshError="1"/>
      <sheetData sheetId="5"/>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B-SNI"/>
      <sheetName val="AN-SNI"/>
      <sheetName val="EE-SNI"/>
      <sheetName val="UB-JARINGAN"/>
      <sheetName val="AN-JARINGAN"/>
      <sheetName val="EE-JARINGAN"/>
      <sheetName val="EE-JARINGAN (edit)"/>
      <sheetName val="Kel.1A-oke1 (3)"/>
      <sheetName val="Kel.3A-oke1 (3)"/>
      <sheetName val="Kel.4A-oke1 (3)"/>
      <sheetName val="Kel.5A-oke1 (3)"/>
      <sheetName val="Kel.6A-oke1 (3)"/>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han"/>
      <sheetName val="Upah"/>
      <sheetName val="BAHAN-UPAH"/>
      <sheetName val="ANALISA1"/>
      <sheetName val="Sheet2 (2)"/>
      <sheetName val="RAB SIPIL"/>
      <sheetName val="RAB MEP"/>
      <sheetName val="SUMMARY"/>
      <sheetName val="kusen"/>
      <sheetName val="VOL.GDG A"/>
      <sheetName val="HARGA BESI PERLONJOR"/>
      <sheetName val="ANALISA SNI'13 "/>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61">
          <cell r="I461">
            <v>2425</v>
          </cell>
        </row>
        <row r="2288">
          <cell r="I2288" t="e">
            <v>#REF!</v>
          </cell>
        </row>
        <row r="2296">
          <cell r="I2296" t="e">
            <v>#REF!</v>
          </cell>
        </row>
        <row r="2312">
          <cell r="I2312" t="e">
            <v>#REF!</v>
          </cell>
        </row>
      </sheetData>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iaya"/>
      <sheetName val="Kuantitas &amp; Harga"/>
      <sheetName val="Pekerjaan Utama"/>
      <sheetName val="%"/>
      <sheetName val="ts"/>
      <sheetName val="stones"/>
      <sheetName val="amp"/>
    </sheetNames>
    <sheetDataSet>
      <sheetData sheetId="0"/>
      <sheetData sheetId="1">
        <row r="21">
          <cell r="G21">
            <v>329850000</v>
          </cell>
        </row>
        <row r="54">
          <cell r="G54">
            <v>640376814</v>
          </cell>
        </row>
        <row r="88">
          <cell r="G88">
            <v>2954990659.4169998</v>
          </cell>
        </row>
        <row r="108">
          <cell r="G108">
            <v>0</v>
          </cell>
        </row>
        <row r="126">
          <cell r="G126">
            <v>5092262477.0200005</v>
          </cell>
        </row>
        <row r="159">
          <cell r="G159">
            <v>7597506478.6899996</v>
          </cell>
        </row>
        <row r="286">
          <cell r="G286">
            <v>0</v>
          </cell>
        </row>
        <row r="330">
          <cell r="G330">
            <v>309729282.91024083</v>
          </cell>
        </row>
        <row r="359">
          <cell r="G359">
            <v>117833634.54653302</v>
          </cell>
        </row>
        <row r="372">
          <cell r="G372">
            <v>0</v>
          </cell>
        </row>
      </sheetData>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p"/>
      <sheetName val="indir"/>
      <sheetName val="Equip"/>
      <sheetName val="labor"/>
      <sheetName val="LOADDAT"/>
      <sheetName val="Div2"/>
      <sheetName val="Analisa"/>
      <sheetName val="cvlRKYS"/>
      <sheetName val="Bare Summary"/>
      <sheetName val="Memb Schd"/>
      <sheetName val="ESCON"/>
      <sheetName val="STR"/>
      <sheetName val="Conn. Lib"/>
      <sheetName val="IPL_SCHEDULE"/>
      <sheetName val="AN_KSN"/>
      <sheetName val="Harga"/>
      <sheetName val="Kantor"/>
      <sheetName val="Upah"/>
      <sheetName val="Matrl"/>
      <sheetName val="LOADING2"/>
      <sheetName val="AC"/>
      <sheetName val="dia-in"/>
      <sheetName val="Cash Flow bulanan"/>
      <sheetName val="RAB AR&amp;STR"/>
      <sheetName val="PPC"/>
      <sheetName val="A"/>
      <sheetName val="NAMES"/>
      <sheetName val="HARGA MATERIAL"/>
      <sheetName val="villa"/>
      <sheetName val="SEX"/>
      <sheetName val="H.Satuan"/>
      <sheetName val="Cover Daf_2"/>
      <sheetName val="GSMTOWER"/>
      <sheetName val="Estimate"/>
      <sheetName val="01A- RAB"/>
      <sheetName val="DATA HARGA"/>
      <sheetName val="BQ STP 35 M3 A&amp;B"/>
      <sheetName val="DETAIL RAP"/>
      <sheetName val="Week9-Feb    "/>
      <sheetName val="I-ME"/>
      <sheetName val="Steel-Twr"/>
      <sheetName val="rab - persiapan &amp; lantai-1"/>
      <sheetName val="MASTER R1"/>
      <sheetName val="Pipe"/>
      <sheetName val="valve-20k"/>
      <sheetName val="valve"/>
      <sheetName val="Dafmat"/>
      <sheetName val="SITE-E"/>
      <sheetName val="Bunga"/>
      <sheetName val="anal SNI"/>
      <sheetName val="bahan SNI"/>
      <sheetName val="HPP"/>
      <sheetName val="name"/>
      <sheetName val="Perm. Test"/>
      <sheetName val="Rate"/>
      <sheetName val="Rekap Addendum"/>
      <sheetName val="Cov_bid"/>
      <sheetName val="BoQ"/>
      <sheetName val="THREE PASS"/>
      <sheetName val="vessel weight"/>
      <sheetName val="Proc_REK_1"/>
      <sheetName val="Mob"/>
      <sheetName val="D7"/>
      <sheetName val="I-KAMAR"/>
      <sheetName val="CBD"/>
      <sheetName val="PConsCS"/>
      <sheetName val="XREF"/>
      <sheetName val="TBM"/>
      <sheetName val="tifico"/>
      <sheetName val="Cover"/>
      <sheetName val="struktur tdk dipakai"/>
      <sheetName val="BAG-2"/>
      <sheetName val="BAG_2"/>
      <sheetName val="Rekapitulasi"/>
      <sheetName val="TOTAL  "/>
      <sheetName val="Analisa Harga Satuan"/>
      <sheetName val="SAP"/>
      <sheetName val="bahan"/>
      <sheetName val="arab"/>
      <sheetName val="Project_P"/>
      <sheetName val="Rek_Div"/>
      <sheetName val="ITEM OF WORK"/>
      <sheetName val="Summary"/>
      <sheetName val="Kuantitas &amp; Harga"/>
      <sheetName val="DHSD"/>
      <sheetName val="TIM"/>
      <sheetName val="PLUMBING"/>
      <sheetName val="Bare_Summary"/>
      <sheetName val="Memb_Schd"/>
      <sheetName val="Conn__Lib"/>
      <sheetName val="Cash_Flow_bulanan"/>
      <sheetName val="RAB_AR&amp;STR"/>
      <sheetName val="RAB"/>
      <sheetName val="TOWN"/>
      <sheetName val="DAF_2"/>
      <sheetName val="MarkUp"/>
      <sheetName val="TU"/>
      <sheetName val="대비표"/>
      <sheetName val="Harsat"/>
      <sheetName val="Pt"/>
      <sheetName val="Productivity"/>
      <sheetName val="civil-yin"/>
      <sheetName val="Man Power"/>
      <sheetName val="Peralatan"/>
      <sheetName val="Rkp"/>
      <sheetName val="NP 7"/>
      <sheetName val="SUM ME"/>
      <sheetName val=" schedule AMD-2 Rev III"/>
      <sheetName val="RESUME"/>
      <sheetName val="BQ Rev. 0"/>
      <sheetName val="alat"/>
      <sheetName val="5-ALAT(1)"/>
      <sheetName val="AHS"/>
      <sheetName val="Galian 1"/>
      <sheetName val="Vibro_Roller"/>
      <sheetName val="DATA PROYEK"/>
      <sheetName val="B. PERSONIL"/>
      <sheetName val="Lamp-4 Sat-Das"/>
      <sheetName val="SchC"/>
      <sheetName val="SewAlat"/>
      <sheetName val="ETo"/>
      <sheetName val="Sheet2"/>
      <sheetName val="Sheet3"/>
      <sheetName val="koef"/>
      <sheetName val="SCH"/>
      <sheetName val="LAMA (wilayah 4)"/>
      <sheetName val="Personnel"/>
      <sheetName val="Up &amp; bhn"/>
      <sheetName val="kontrak"/>
      <sheetName val="GAGAL PROD"/>
      <sheetName val="THREE_PASS"/>
      <sheetName val="vessel_weight"/>
      <sheetName val="Perm__Test"/>
      <sheetName val="struktur_tdk_dipakai"/>
      <sheetName val="HARGA_MATERIAL"/>
      <sheetName val="H_Satuan"/>
      <sheetName val="Cover_Daf_2"/>
      <sheetName val="01A-_RAB"/>
      <sheetName val="DATA_HARGA"/>
      <sheetName val="BQ_STP_35_M3_A&amp;B"/>
      <sheetName val="DETAIL_RAP"/>
      <sheetName val="Week9-Feb____"/>
      <sheetName val="rab_-_persiapan_&amp;_lantai-1"/>
      <sheetName val="MASTER_R1"/>
      <sheetName val="_schedule_AMD-2_Rev_III"/>
      <sheetName val="GAGAL_PROD"/>
      <sheetName val="Volume"/>
      <sheetName val="4.04"/>
      <sheetName val="Notes"/>
      <sheetName val="REF.ONLY"/>
      <sheetName val="MP_PLAN"/>
      <sheetName val="CASH"/>
      <sheetName val="집계표(OPTION)"/>
      <sheetName val="Bid Summary"/>
      <sheetName val="HARGA SATUAN"/>
      <sheetName val="4-Basic Price"/>
      <sheetName val="SDMTA"/>
      <sheetName val="12+900"/>
      <sheetName val="SD"/>
      <sheetName val="Komposisi"/>
      <sheetName val="AHS Aspal"/>
      <sheetName val="AHS Marka"/>
      <sheetName val="Analisa lampu"/>
      <sheetName val="REKAP"/>
      <sheetName val="jadwal"/>
      <sheetName val="Usulan"/>
      <sheetName val="DIV1"/>
      <sheetName val="SCHEDULE"/>
      <sheetName val="Agregat Halus &amp; Kasar"/>
      <sheetName val="Breakdown Equipment"/>
      <sheetName val="Equipment (2)"/>
      <sheetName val="S CURVE"/>
      <sheetName val="DKH"/>
      <sheetName val="BASIC"/>
      <sheetName val="L-4a,b"/>
      <sheetName val="HB "/>
      <sheetName val="dongia (2)"/>
      <sheetName val="LKVL-CK-HT-GD1"/>
      <sheetName val="giathanh1"/>
      <sheetName val="chitimc"/>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Input Data"/>
      <sheetName val="BasicPrice"/>
      <sheetName val="Rkp1"/>
      <sheetName val="61005"/>
      <sheetName val="61006"/>
      <sheetName val="61007"/>
      <sheetName val="61008"/>
      <sheetName val="Hsat-A"/>
      <sheetName val="Twr (15)"/>
      <sheetName val="Scheme Mob."/>
      <sheetName val="data_val"/>
      <sheetName val="Labor Rate"/>
      <sheetName val="BILL"/>
      <sheetName val="CALC"/>
      <sheetName val="Daf Pekerjaan"/>
      <sheetName val="UPH,BHN,ALT"/>
      <sheetName val="F1c DATA ADM6"/>
      <sheetName val="kalkulasi"/>
      <sheetName val="vol_1"/>
      <sheetName val="pricing"/>
      <sheetName val="Job Data"/>
      <sheetName val="DB_ET200(R. A)"/>
      <sheetName val="04"/>
      <sheetName val="07"/>
      <sheetName val="08"/>
      <sheetName val="05"/>
      <sheetName val="06"/>
      <sheetName val="HSD"/>
      <sheetName val="MC-01"/>
      <sheetName val="Uba"/>
      <sheetName val="Prod 15-1- Rekap 1"/>
      <sheetName val="Rekap Biaya"/>
      <sheetName val="10"/>
      <sheetName val="5"/>
      <sheetName val="Cash Flow"/>
      <sheetName val="harga dasar T-M-A"/>
      <sheetName val="Parameter"/>
      <sheetName val="BASIC PRICE"/>
      <sheetName val="Valuation"/>
      <sheetName val="bq"/>
      <sheetName val="dongia _2_"/>
      <sheetName val="lam_moi"/>
      <sheetName val="THPDMoi  _2_"/>
      <sheetName val="_REF"/>
      <sheetName val="thao_go"/>
      <sheetName val="CHITIET VL_NC"/>
      <sheetName val="CHITIET VL_NC_TT _1p"/>
      <sheetName val="CHITIET VL_NC_TT_3p"/>
      <sheetName val="TONGKE_HT"/>
      <sheetName val="t_h HA THE"/>
      <sheetName val="KPVC_BD "/>
      <sheetName val="VCV_BE_TONG"/>
      <sheetName val="ANHAR"/>
      <sheetName val="SUBCON"/>
      <sheetName val="Mark Up"/>
      <sheetName val="BOQ (Diisi dulu))"/>
      <sheetName val="Harga Mat "/>
      <sheetName val="Panel"/>
      <sheetName val="RAB (OK)"/>
      <sheetName val="Div8"/>
      <sheetName val="Div3"/>
      <sheetName val="Div5"/>
      <sheetName val="kont anak1"/>
      <sheetName val="I_KAMAR"/>
      <sheetName val="ANALISA SNI'13 "/>
      <sheetName val="SAT_BHN"/>
      <sheetName val="Upah "/>
      <sheetName val="HRG BAHAN &amp; UPAH okk"/>
      <sheetName val="Analis Kusen okk"/>
      <sheetName val="NP"/>
      <sheetName val="Links"/>
      <sheetName val="C"/>
      <sheetName val="CALK_LMA"/>
      <sheetName val="Currency Rate"/>
      <sheetName val="DATA"/>
      <sheetName val="Fire Fighting"/>
      <sheetName val="INF"/>
      <sheetName val="351BQMCN"/>
      <sheetName val="BQ-E20-02(Rp)"/>
      <sheetName val="HSBU ANA"/>
      <sheetName val="Harga Bahan"/>
      <sheetName val="HSA &amp; PAB"/>
      <sheetName val="Harga Upah "/>
      <sheetName val="HS_TRG"/>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
      <sheetName val="AAAAAAAAA"/>
      <sheetName val="Analisa BOW 07"/>
      <sheetName val="cover"/>
      <sheetName val="HARGA BESI PERLONJOR"/>
      <sheetName val="kusen"/>
      <sheetName val="ANALISA SNI'13 "/>
      <sheetName val="VOL.GDG A"/>
      <sheetName val="VOL.GDG B"/>
      <sheetName val="VOL.GDG BL1"/>
      <sheetName val="VOL.GDG BL2"/>
      <sheetName val="VOL.GDG CL1"/>
      <sheetName val="VOL.GDG CL2"/>
      <sheetName val="VOL.GDG DL1"/>
      <sheetName val="BUTHANTIHINGAN"/>
      <sheetName val="KIOS A1"/>
      <sheetName val="KIOS A2"/>
      <sheetName val="KIOS A3"/>
      <sheetName val="KIOS A4"/>
      <sheetName val="LOS B4"/>
      <sheetName val="LOS B5A"/>
      <sheetName val="LOS B7"/>
      <sheetName val="PELATARAN C1"/>
      <sheetName val="PELATARAN C3"/>
      <sheetName val="KANTOR D"/>
      <sheetName val="WC F"/>
      <sheetName val="TEMPAT SUCI G"/>
      <sheetName val="PAGAR"/>
      <sheetName val="Rekap"/>
      <sheetName val="KIOS A5"/>
      <sheetName val="KIOS A6"/>
      <sheetName val="LOS B6"/>
      <sheetName val="PELATARAN C2"/>
      <sheetName val="KOPERASI PASAR E"/>
      <sheetName val="RAB Penataan"/>
      <sheetName val="RAB kantor"/>
      <sheetName val="HitvolKantor"/>
      <sheetName val="Persiapan"/>
      <sheetName val="A1"/>
      <sheetName val="LOS B2"/>
      <sheetName val="LOS B3"/>
      <sheetName val="KIOS 8"/>
      <sheetName val="ANALISA BANGLI"/>
      <sheetName val="RAB"/>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SCLAIMER"/>
      <sheetName val="MAJOR"/>
      <sheetName val="%"/>
      <sheetName val="Rekap"/>
      <sheetName val="Informasi"/>
      <sheetName val="SPH"/>
      <sheetName val="REKAP-BTG"/>
      <sheetName val="RAB-BTG"/>
      <sheetName val="UPAH-BTG"/>
      <sheetName val="BAHAN-BTG"/>
      <sheetName val="MOBILISASI-BTG1"/>
      <sheetName val="MOBILISASI-ALAT BTG"/>
      <sheetName val="JDWAL"/>
      <sheetName val="TKDN"/>
      <sheetName val="SUBKON"/>
      <sheetName val="BOQ"/>
      <sheetName val="D2"/>
      <sheetName val="D3"/>
      <sheetName val="D7(1)"/>
      <sheetName val="D7(2)"/>
      <sheetName val="Peta Quarry"/>
      <sheetName val="Perhitungan Mobilisasi Alat"/>
      <sheetName val="Jembatan Sementara"/>
      <sheetName val="CTB"/>
      <sheetName val="SCH"/>
      <sheetName val="DFT UPAH&amp;BHN"/>
      <sheetName val="5-ALAT(1)"/>
      <sheetName val="D6 ASBT"/>
      <sheetName val="D7(3)"/>
      <sheetName val="D8(1)"/>
      <sheetName val="D9"/>
      <sheetName val="D10 Kuantitas"/>
      <sheetName val="D10 Analisa HSP"/>
      <sheetName val="4-Analisa Quarry"/>
      <sheetName val="4-formulir harga bahan"/>
      <sheetName val="5-ALAT (2)"/>
      <sheetName val="Agg Halus &amp; Kasar"/>
      <sheetName val="Agg A"/>
      <sheetName val="Agg B"/>
      <sheetName val="Agg C"/>
      <sheetName val="RAB (2)"/>
      <sheetName val="D8(2)"/>
      <sheetName val="D10 LS-Rutin"/>
      <sheetName val="Lalu Lintas"/>
      <sheetName val="D6"/>
      <sheetName val="D5"/>
      <sheetName val="D4"/>
      <sheetName val="Mobilisasi"/>
      <sheetName val="4-Basic Price"/>
      <sheetName val="hITUNG"/>
      <sheetName val="RAB Kakuluk Mesak"/>
      <sheetName val="REKAPAN RAB Kakuluk Mesak"/>
      <sheetName val="SCHEDULE"/>
      <sheetName val="hrg bahan"/>
      <sheetName val="harga upah"/>
    </sheetNames>
    <sheetDataSet>
      <sheetData sheetId="0"/>
      <sheetData sheetId="1" refreshError="1"/>
      <sheetData sheetId="2"/>
      <sheetData sheetId="3">
        <row r="28">
          <cell r="H28">
            <v>568751028.04550207</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ow r="19">
          <cell r="G19">
            <v>18800000</v>
          </cell>
        </row>
        <row r="37">
          <cell r="G37">
            <v>20247804.927343164</v>
          </cell>
        </row>
        <row r="60">
          <cell r="G60">
            <v>3572181.8667842927</v>
          </cell>
        </row>
        <row r="73">
          <cell r="G73">
            <v>2257021.2489266167</v>
          </cell>
        </row>
        <row r="86">
          <cell r="G86">
            <v>2512865.3710498102</v>
          </cell>
        </row>
        <row r="124">
          <cell r="G124">
            <v>43976648.098568387</v>
          </cell>
        </row>
        <row r="225">
          <cell r="G225">
            <v>303316567.26002073</v>
          </cell>
        </row>
        <row r="275">
          <cell r="G275">
            <v>33143734.8122168</v>
          </cell>
        </row>
        <row r="301">
          <cell r="G301">
            <v>5923651.4673647806</v>
          </cell>
        </row>
        <row r="312">
          <cell r="G312">
            <v>83295914.079999998</v>
          </cell>
        </row>
      </sheetData>
      <sheetData sheetId="16"/>
      <sheetData sheetId="17"/>
      <sheetData sheetId="18"/>
      <sheetData sheetId="19" refreshError="1"/>
      <sheetData sheetId="20" refreshError="1"/>
      <sheetData sheetId="21" refreshError="1"/>
      <sheetData sheetId="22"/>
      <sheetData sheetId="23" refreshError="1"/>
      <sheetData sheetId="24" refreshError="1"/>
      <sheetData sheetId="25" refreshError="1"/>
      <sheetData sheetId="26">
        <row r="9">
          <cell r="AW9">
            <v>372056.23499999999</v>
          </cell>
        </row>
        <row r="12">
          <cell r="AW12">
            <v>180000</v>
          </cell>
        </row>
        <row r="13">
          <cell r="AW13">
            <v>61690.095000000001</v>
          </cell>
        </row>
        <row r="14">
          <cell r="AW14">
            <v>433331.25</v>
          </cell>
        </row>
        <row r="15">
          <cell r="AW15">
            <v>107142.85714285716</v>
          </cell>
        </row>
        <row r="16">
          <cell r="AW16">
            <v>123214.28571428571</v>
          </cell>
        </row>
        <row r="17">
          <cell r="AW17">
            <v>399432.14999999997</v>
          </cell>
        </row>
        <row r="18">
          <cell r="AW18">
            <v>313161.30000000005</v>
          </cell>
        </row>
        <row r="20">
          <cell r="AW20">
            <v>552000</v>
          </cell>
        </row>
        <row r="22">
          <cell r="AW22">
            <v>142500</v>
          </cell>
        </row>
        <row r="23">
          <cell r="AW23">
            <v>149529.45000000001</v>
          </cell>
        </row>
        <row r="24">
          <cell r="AW24">
            <v>227535.57</v>
          </cell>
        </row>
        <row r="30">
          <cell r="AW30">
            <v>180986.02500000002</v>
          </cell>
        </row>
        <row r="34">
          <cell r="AW34">
            <v>799596.46154927276</v>
          </cell>
        </row>
        <row r="36">
          <cell r="AW36">
            <v>336228.77087171242</v>
          </cell>
        </row>
        <row r="38">
          <cell r="AW38">
            <v>243543.62087171242</v>
          </cell>
        </row>
      </sheetData>
      <sheetData sheetId="27"/>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refreshError="1"/>
      <sheetData sheetId="42" refreshError="1"/>
      <sheetData sheetId="43"/>
      <sheetData sheetId="44" refreshError="1"/>
      <sheetData sheetId="45"/>
      <sheetData sheetId="46" refreshError="1"/>
      <sheetData sheetId="47" refreshError="1"/>
      <sheetData sheetId="48">
        <row r="8">
          <cell r="D8" t="str">
            <v>(L01)</v>
          </cell>
          <cell r="E8" t="str">
            <v>Jam</v>
          </cell>
          <cell r="F8">
            <v>12142.857142857143</v>
          </cell>
        </row>
        <row r="9">
          <cell r="D9" t="str">
            <v>(L02)</v>
          </cell>
          <cell r="E9" t="str">
            <v>Jam</v>
          </cell>
          <cell r="F9">
            <v>12857.142857142857</v>
          </cell>
        </row>
        <row r="10">
          <cell r="D10" t="str">
            <v>(L03)</v>
          </cell>
          <cell r="E10" t="str">
            <v>Jam</v>
          </cell>
          <cell r="F10">
            <v>14285.714285714286</v>
          </cell>
        </row>
        <row r="11">
          <cell r="D11" t="str">
            <v>(L04)</v>
          </cell>
          <cell r="E11" t="str">
            <v>Jam</v>
          </cell>
          <cell r="F11">
            <v>21428.571428571428</v>
          </cell>
        </row>
        <row r="12">
          <cell r="D12" t="str">
            <v>(L05)</v>
          </cell>
          <cell r="E12" t="str">
            <v>Jam</v>
          </cell>
          <cell r="F12">
            <v>12142.857142857143</v>
          </cell>
        </row>
        <row r="13">
          <cell r="D13" t="str">
            <v>(L06)</v>
          </cell>
          <cell r="E13" t="str">
            <v>Jam</v>
          </cell>
          <cell r="F13">
            <v>14285.714285714286</v>
          </cell>
        </row>
        <row r="14">
          <cell r="D14" t="str">
            <v>(L07)</v>
          </cell>
          <cell r="E14" t="str">
            <v>Jam</v>
          </cell>
          <cell r="F14">
            <v>12142.857142857143</v>
          </cell>
        </row>
        <row r="15">
          <cell r="D15" t="str">
            <v>(L08)</v>
          </cell>
          <cell r="E15" t="str">
            <v>Jam</v>
          </cell>
          <cell r="F15">
            <v>14285.714285714286</v>
          </cell>
        </row>
        <row r="16">
          <cell r="D16" t="str">
            <v>(L09)</v>
          </cell>
          <cell r="E16" t="str">
            <v>Jam</v>
          </cell>
          <cell r="F16">
            <v>12142.857142857143</v>
          </cell>
        </row>
        <row r="17">
          <cell r="D17" t="str">
            <v>(L10)</v>
          </cell>
          <cell r="E17" t="str">
            <v>Jam</v>
          </cell>
          <cell r="F17">
            <v>13571.428571428571</v>
          </cell>
        </row>
        <row r="53">
          <cell r="F53">
            <v>110000</v>
          </cell>
        </row>
        <row r="54">
          <cell r="F54">
            <v>125000</v>
          </cell>
        </row>
        <row r="60">
          <cell r="F60">
            <v>12700</v>
          </cell>
        </row>
        <row r="61">
          <cell r="F61">
            <v>9000</v>
          </cell>
        </row>
        <row r="62">
          <cell r="F62">
            <v>1300</v>
          </cell>
        </row>
        <row r="67">
          <cell r="F67">
            <v>85000</v>
          </cell>
        </row>
        <row r="70">
          <cell r="F70">
            <v>16500</v>
          </cell>
        </row>
        <row r="71">
          <cell r="F71">
            <v>3200000</v>
          </cell>
        </row>
        <row r="78">
          <cell r="F78">
            <v>175000</v>
          </cell>
        </row>
        <row r="79">
          <cell r="F79">
            <v>185000</v>
          </cell>
        </row>
        <row r="90">
          <cell r="F90">
            <v>0</v>
          </cell>
        </row>
        <row r="91">
          <cell r="F91">
            <v>12000</v>
          </cell>
        </row>
        <row r="98">
          <cell r="F98">
            <v>0</v>
          </cell>
        </row>
        <row r="101">
          <cell r="F101">
            <v>0</v>
          </cell>
        </row>
        <row r="102">
          <cell r="F102">
            <v>11000</v>
          </cell>
        </row>
      </sheetData>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
      <sheetName val="K.TambahAC"/>
      <sheetName val="FH"/>
      <sheetName val="K.TambahFH"/>
      <sheetName val="Pipe"/>
      <sheetName val="valve"/>
      <sheetName val="valve 16k"/>
      <sheetName val="ASS-PL"/>
      <sheetName val="Fitting"/>
      <sheetName val="Ana duct"/>
      <sheetName val="Hsd Duct"/>
      <sheetName val="Grille"/>
      <sheetName val="D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SUM-PRO (4)"/>
      <sheetName val="SUM-PRO (3)"/>
      <sheetName val="SUM-PRO (2)"/>
      <sheetName val="SUM-PRO"/>
      <sheetName val="SEX (4)"/>
      <sheetName val="SEX (3)"/>
      <sheetName val="SEX (2)"/>
      <sheetName val="SEX"/>
      <sheetName val="scope"/>
      <sheetName val="MAKER"/>
      <sheetName val="PRO-PH3"/>
      <sheetName val="PRO-PH2"/>
      <sheetName val="PRO"/>
      <sheetName val="BQ"/>
      <sheetName val="equipment"/>
      <sheetName val="B - Norelec"/>
      <sheetName val="A"/>
      <sheetName val="lintec-sumicon"/>
      <sheetName val="AC"/>
      <sheetName val="Unit Rate"/>
      <sheetName val="Pipe"/>
      <sheetName val="SUM-PRO_(4)"/>
      <sheetName val="SUM-PRO_(3)"/>
      <sheetName val="SUM-PRO_(2)"/>
      <sheetName val="SEX_(4)"/>
      <sheetName val="SEX_(3)"/>
      <sheetName val="SEX_(2)"/>
      <sheetName val="B_-_Norelec"/>
      <sheetName val="tifico"/>
      <sheetName val="sort2"/>
      <sheetName val="Cover Daf-2"/>
      <sheetName val="CAT_HAR"/>
      <sheetName val="Fill this out first___"/>
      <sheetName val="I-KAMAR"/>
      <sheetName val="I_KAMAR"/>
      <sheetName val="Cash Flow bulanan"/>
      <sheetName val="SUM-PRO_(4)1"/>
      <sheetName val="SUM-PRO_(3)1"/>
      <sheetName val="SUM-PRO_(2)1"/>
      <sheetName val="SEX_(4)1"/>
      <sheetName val="SEX_(3)1"/>
      <sheetName val="SEX_(2)1"/>
      <sheetName val="B_-_Norelec1"/>
      <sheetName val="Unit_Rate"/>
      <sheetName val="Fill_this_out_first___"/>
      <sheetName val="H.Satuan"/>
      <sheetName val="Bill of Qty MEP"/>
      <sheetName val="BAG-2"/>
      <sheetName val="Daftar Upah"/>
      <sheetName val="#REF"/>
      <sheetName val="Cover"/>
      <sheetName val="harsat"/>
      <sheetName val="DSBDY"/>
      <sheetName val="NAMES"/>
      <sheetName val="RAB AR&amp;STR"/>
      <sheetName val="Material"/>
      <sheetName val="4-Basic Price"/>
      <sheetName val="DAF-1"/>
      <sheetName val="PRD 01-7"/>
      <sheetName val="PRD 01-8"/>
      <sheetName val="PRD 01-9"/>
      <sheetName val="PRD 01-10"/>
      <sheetName val="PRD 01-11"/>
      <sheetName val="PRD 01-3"/>
      <sheetName val="PRD 01-4"/>
      <sheetName val="Pers"/>
      <sheetName val="HM"/>
      <sheetName val="HB "/>
      <sheetName val="NET表"/>
      <sheetName val="BQ表"/>
      <sheetName val="DAFTAR 7"/>
      <sheetName val="EE-PR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
          <cell r="P7" t="str">
            <v xml:space="preserve">B U D G E T A R Y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 Spek"/>
      <sheetName val="LP-CRT"/>
      <sheetName val="SAP"/>
      <sheetName val="PLB"/>
      <sheetName val="Harga Satuan"/>
      <sheetName val="daf-3(OK)"/>
      <sheetName val="daf-7(OK)"/>
      <sheetName val="SITE-E"/>
      <sheetName val="Foundation"/>
      <sheetName val="lamp-d"/>
      <sheetName val="Material"/>
      <sheetName val="plumbing"/>
      <sheetName val="ah sanitary"/>
      <sheetName val="DAF-2"/>
      <sheetName val="Cover"/>
      <sheetName val="CONSUMABLE"/>
      <sheetName val="Currency Rate"/>
      <sheetName val="Steel-Twr"/>
      <sheetName val="Fill this out first..."/>
      <sheetName val="BAG-III"/>
      <sheetName val="BAG_III"/>
      <sheetName val="BQ"/>
      <sheetName val="BQ ARS"/>
      <sheetName val="Elektrikal"/>
      <sheetName val="Eva_Spek"/>
      <sheetName val="Harga_Satuan"/>
      <sheetName val="LS_Rutin"/>
      <sheetName val="ESCON"/>
      <sheetName val="A"/>
      <sheetName val="daf_3_OK_"/>
      <sheetName val="daf_7_OK_"/>
      <sheetName val="I-KAMAR"/>
      <sheetName val="DAF_2"/>
      <sheetName val="ah_sanitary"/>
      <sheetName val="Currency_Rate"/>
      <sheetName val="Daf 1"/>
      <sheetName val="Kolom"/>
      <sheetName val="BAG-2"/>
      <sheetName val="Bill_1_VAC_Supply_A"/>
      <sheetName val="2_2"/>
      <sheetName val="harsat"/>
      <sheetName val="INPUT DATAS"/>
      <sheetName val="Sch.1"/>
      <sheetName val="Scd_RAB"/>
      <sheetName val="Penwrn"/>
      <sheetName val="ANALISA"/>
      <sheetName val="SAT-BHN"/>
      <sheetName val="H.Satuan"/>
      <sheetName val="Upah"/>
      <sheetName val="Rate"/>
      <sheetName val="Harga ME "/>
      <sheetName val="STR"/>
      <sheetName val="price"/>
      <sheetName val="Bgt_Jun-05"/>
      <sheetName val="Bahan "/>
      <sheetName val="Pekerjaan "/>
      <sheetName val="SEX"/>
      <sheetName val="chitimc"/>
      <sheetName val="Isolasi Luar"/>
      <sheetName val="Total Load List"/>
      <sheetName val="Fill this out first___"/>
      <sheetName val="ALAT"/>
      <sheetName val="Isolasi Luar Dalam"/>
      <sheetName val="Persiapan"/>
      <sheetName val="Eva_Spek1"/>
      <sheetName val="Harga_Satuan1"/>
      <sheetName val="BQ_ARS"/>
      <sheetName val="Daf_1"/>
      <sheetName val="BAG_2"/>
      <sheetName val="Bahan"/>
      <sheetName val="BQ atap bengkel"/>
      <sheetName val="str bengkel"/>
      <sheetName val="TE TS FA LAN MATV"/>
      <sheetName val="sheet1"/>
      <sheetName val="SPEC"/>
      <sheetName val="Bill rekap"/>
      <sheetName val="Bill of Qty"/>
      <sheetName val="ALEK"/>
      <sheetName val="FINISHING"/>
      <sheetName val="STRUKTUR"/>
      <sheetName val="mat_me pipa"/>
      <sheetName val="Ahs.2"/>
      <sheetName val="Ahs.1"/>
      <sheetName val="sort"/>
      <sheetName val="DAFTAR HARGA"/>
      <sheetName val="REF.ONLY"/>
      <sheetName val="INDEX"/>
      <sheetName val="A+Supl."/>
      <sheetName val="7"/>
      <sheetName val="Bldg"/>
      <sheetName val="drain"/>
      <sheetName val="Structure"/>
      <sheetName val="Bill No. 2"/>
      <sheetName val="machinery"/>
      <sheetName val="walk way"/>
      <sheetName val="Architecture"/>
      <sheetName val="Pt"/>
      <sheetName val="Rekap"/>
      <sheetName val="BoQ"/>
      <sheetName val="HS_TRG"/>
      <sheetName val="data"/>
      <sheetName val="Cover1"/>
      <sheetName val="DAF-1"/>
      <sheetName val="mu"/>
      <sheetName val="#REF!"/>
      <sheetName val="Rekapitulasi"/>
      <sheetName val="Peralatan (2)"/>
      <sheetName val="Penjumlahan"/>
      <sheetName val="304_06"/>
      <sheetName val="Cash Flow bulanan"/>
      <sheetName val="I_KAMAR"/>
      <sheetName val="RAB MEK 15 M MB "/>
      <sheetName val="VAC-1"/>
      <sheetName val="Jurnal"/>
      <sheetName val="mat baja"/>
      <sheetName val="harga baja"/>
      <sheetName val="BQ-Str"/>
      <sheetName val="Bhn"/>
      <sheetName val="rab me (by owner) "/>
      <sheetName val="BQ (by owner)"/>
      <sheetName val="rab me (fisik)"/>
      <sheetName val="Rekap Direct Cost"/>
      <sheetName val="AC"/>
      <sheetName val="PT."/>
      <sheetName val="Input"/>
      <sheetName val="Huruf"/>
      <sheetName val="UNIT CHILLER"/>
      <sheetName val="Biaya-Lat"/>
      <sheetName val="ah_sanitary1"/>
      <sheetName val="Currency_Rate1"/>
      <sheetName val="Fill_this_out_first___"/>
      <sheetName val="Analisa Teknik"/>
      <sheetName val="arab"/>
      <sheetName val="RAB"/>
      <sheetName val="Hrg.Sat"/>
      <sheetName val="Volume"/>
      <sheetName val="HRG BHN"/>
      <sheetName val="analysis"/>
      <sheetName val="L-TIGA"/>
      <sheetName val="L_TIGA"/>
      <sheetName val="Fab+erect"/>
      <sheetName val="HARGA ALAT"/>
      <sheetName val="Kuantitas &amp; Harga"/>
      <sheetName val="AHS Marka"/>
      <sheetName val="AHS Aspal"/>
      <sheetName val="R_Srikana"/>
      <sheetName val="UPAH~K"/>
      <sheetName val="ANALIS"/>
      <sheetName val="BAHAN~"/>
      <sheetName val="UNIT PRICE ANALYSIS (KSN)"/>
      <sheetName val="Dashboard"/>
      <sheetName val="Cover "/>
      <sheetName val="Daftar-Isi"/>
      <sheetName val="PEMBATAS"/>
      <sheetName val="RPD"/>
      <sheetName val="SPD"/>
      <sheetName val="PO2"/>
      <sheetName val="LBP-01 "/>
      <sheetName val="Sheet2"/>
      <sheetName val="PBK-01"/>
      <sheetName val="CFP-11"/>
      <sheetName val="hutang-lapangan "/>
      <sheetName val="CASH-lapangan"/>
      <sheetName val="CASH-Divisi"/>
      <sheetName val="Hutang-Divisi"/>
      <sheetName val="Rekap klad"/>
      <sheetName val="daftarhutang"/>
      <sheetName val="LPP-101"/>
      <sheetName val="RLP-01"/>
      <sheetName val="ASAT"/>
      <sheetName val="RRK-01"/>
      <sheetName val="PU DANA KERJA"/>
      <sheetName val="LPF-01"/>
      <sheetName val="MOS-01 "/>
      <sheetName val="RSK-01"/>
      <sheetName val="RTS-11"/>
      <sheetName val="RTS-21"/>
      <sheetName val="antisipasi"/>
      <sheetName val="RAPA"/>
      <sheetName val="AAK-01"/>
      <sheetName val="DAFTAR HUTANG"/>
      <sheetName val="KARTU PIUTANG"/>
      <sheetName val="LAP ALAT"/>
      <sheetName val="PROGRESS DIAKUI"/>
      <sheetName val="KKP-1"/>
      <sheetName val="M-RESIKO "/>
      <sheetName val="PANJR"/>
      <sheetName val="FM-MR01 "/>
      <sheetName val="FM-MR02 "/>
      <sheetName val="FM-MR03 Lap Bulan Agus"/>
      <sheetName val="FOTO"/>
      <sheetName val="DATA PROYEK"/>
      <sheetName val="RUANG LINGKUP"/>
      <sheetName val="Mob"/>
      <sheetName val="Listrik"/>
      <sheetName val="Perm. Test"/>
      <sheetName val="合成単価作成表-BLDG"/>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Analisa STR"/>
      <sheetName val="TOWN"/>
      <sheetName val="Tataudara"/>
      <sheetName val="HB "/>
      <sheetName val="DATA GRAFIK"/>
      <sheetName val="rumus"/>
      <sheetName val="Koef"/>
      <sheetName val="Analisa  (2)"/>
      <sheetName val="Sat Bahan"/>
      <sheetName val="Sat Alat"/>
      <sheetName val="Sat Upah"/>
      <sheetName val="H.SAT"/>
      <sheetName val="BQ (1)"/>
      <sheetName val="Bill of Qty MEP"/>
      <sheetName val="Tabel Berat"/>
      <sheetName val="Column"/>
      <sheetName val="Steel"/>
      <sheetName val="HB me"/>
      <sheetName val="jobhist"/>
      <sheetName val="met bab3"/>
      <sheetName val="anal bab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AB SIPIL"/>
      <sheetName val="Bahan"/>
      <sheetName val="Upah"/>
      <sheetName val="BAHAN-UPAH"/>
      <sheetName val="ANALISA1"/>
      <sheetName val="RAB MEP"/>
      <sheetName val="kusen"/>
      <sheetName val="VOL.GDG A"/>
      <sheetName val="HARGA BESI PERLONJOR"/>
      <sheetName val="ANALISA SNI'13 "/>
      <sheetName val="Sheet1"/>
      <sheetName val="Sheet2"/>
      <sheetName val="Sheet2 (2)"/>
    </sheetNames>
    <sheetDataSet>
      <sheetData sheetId="0" refreshError="1"/>
      <sheetData sheetId="1" refreshError="1"/>
      <sheetData sheetId="2" refreshError="1"/>
      <sheetData sheetId="3" refreshError="1"/>
      <sheetData sheetId="4" refreshError="1"/>
      <sheetData sheetId="5" refreshError="1">
        <row r="37">
          <cell r="J37">
            <v>36593.75</v>
          </cell>
        </row>
        <row r="54">
          <cell r="J54">
            <v>169635.41666666666</v>
          </cell>
        </row>
        <row r="55">
          <cell r="J55">
            <v>151359.41666666666</v>
          </cell>
        </row>
        <row r="56">
          <cell r="J56">
            <v>163635.41666666666</v>
          </cell>
        </row>
        <row r="69">
          <cell r="J69">
            <v>299958.25</v>
          </cell>
        </row>
        <row r="78">
          <cell r="J78">
            <v>600101.25</v>
          </cell>
        </row>
        <row r="88">
          <cell r="J88">
            <v>663663.99470899464</v>
          </cell>
        </row>
        <row r="97">
          <cell r="J97">
            <v>810652.69841269846</v>
          </cell>
        </row>
        <row r="115">
          <cell r="J115">
            <v>912843.28042328032</v>
          </cell>
        </row>
        <row r="132">
          <cell r="J132">
            <v>178942.66666666669</v>
          </cell>
        </row>
        <row r="141">
          <cell r="J141">
            <v>193636.79166666669</v>
          </cell>
        </row>
        <row r="153">
          <cell r="J153">
            <v>509956.25</v>
          </cell>
        </row>
        <row r="165">
          <cell r="J165">
            <v>516166.25</v>
          </cell>
        </row>
        <row r="177">
          <cell r="J177">
            <v>999396.25</v>
          </cell>
        </row>
        <row r="193">
          <cell r="J193">
            <v>2967095.7804232808</v>
          </cell>
        </row>
        <row r="222">
          <cell r="J222">
            <v>3234203.1970899468</v>
          </cell>
        </row>
        <row r="224">
          <cell r="J224">
            <v>3466111.0304232803</v>
          </cell>
        </row>
        <row r="251">
          <cell r="J251">
            <v>7171944.9470899468</v>
          </cell>
        </row>
        <row r="254">
          <cell r="J254">
            <v>7519806.6970899468</v>
          </cell>
        </row>
        <row r="309">
          <cell r="J309">
            <v>10067552.447089946</v>
          </cell>
        </row>
        <row r="363">
          <cell r="J363">
            <v>81088.3</v>
          </cell>
        </row>
        <row r="374">
          <cell r="J374">
            <v>107392.31666666668</v>
          </cell>
        </row>
        <row r="375">
          <cell r="J375">
            <v>96392.316666666666</v>
          </cell>
        </row>
        <row r="430">
          <cell r="J430">
            <v>682821.16666666674</v>
          </cell>
        </row>
        <row r="486">
          <cell r="J486">
            <v>125278.95</v>
          </cell>
        </row>
        <row r="503">
          <cell r="J503">
            <v>136479.45000000001</v>
          </cell>
        </row>
        <row r="527">
          <cell r="J527">
            <v>51931.846666666672</v>
          </cell>
        </row>
        <row r="535">
          <cell r="J535">
            <v>37718.85</v>
          </cell>
        </row>
        <row r="596">
          <cell r="J596">
            <v>118827.75</v>
          </cell>
        </row>
        <row r="605">
          <cell r="J605">
            <v>92299.166666666672</v>
          </cell>
        </row>
        <row r="627">
          <cell r="J627">
            <v>318494</v>
          </cell>
        </row>
        <row r="634">
          <cell r="J634">
            <v>298610.5</v>
          </cell>
        </row>
        <row r="651">
          <cell r="J651">
            <v>179693.11250000002</v>
          </cell>
        </row>
        <row r="659">
          <cell r="J659">
            <v>66684.166666666672</v>
          </cell>
        </row>
        <row r="692">
          <cell r="J692">
            <v>139925.73333333334</v>
          </cell>
        </row>
        <row r="693">
          <cell r="J693">
            <v>139925.73333333334</v>
          </cell>
        </row>
        <row r="702">
          <cell r="J702">
            <v>255890.55833333335</v>
          </cell>
        </row>
        <row r="710">
          <cell r="J710">
            <v>145395.38233333331</v>
          </cell>
        </row>
        <row r="711">
          <cell r="J711">
            <v>401285.94066666666</v>
          </cell>
        </row>
        <row r="732">
          <cell r="J732">
            <v>18735.933333333334</v>
          </cell>
        </row>
        <row r="745">
          <cell r="J745">
            <v>150709.91666666666</v>
          </cell>
        </row>
        <row r="757">
          <cell r="J757">
            <v>169997.91666666666</v>
          </cell>
        </row>
        <row r="769">
          <cell r="J769">
            <v>177865.91666666666</v>
          </cell>
        </row>
        <row r="795">
          <cell r="J795">
            <v>182183.75</v>
          </cell>
        </row>
        <row r="819">
          <cell r="J819">
            <v>24535.85</v>
          </cell>
        </row>
        <row r="820">
          <cell r="J820">
            <v>27262.85</v>
          </cell>
        </row>
        <row r="863">
          <cell r="J863">
            <v>33017.60833333333</v>
          </cell>
        </row>
        <row r="918">
          <cell r="J918">
            <v>52731.308333333342</v>
          </cell>
        </row>
        <row r="931">
          <cell r="J931">
            <v>28035</v>
          </cell>
        </row>
        <row r="950">
          <cell r="J950">
            <v>140179.4375</v>
          </cell>
        </row>
        <row r="971">
          <cell r="J971">
            <v>264070.41666666669</v>
          </cell>
        </row>
        <row r="986">
          <cell r="J986">
            <v>150064.58333333334</v>
          </cell>
        </row>
        <row r="1014">
          <cell r="J1014">
            <v>43763.4375</v>
          </cell>
        </row>
        <row r="1030">
          <cell r="J1030">
            <v>263911.45833333331</v>
          </cell>
        </row>
        <row r="1278">
          <cell r="J1278">
            <v>196189.5</v>
          </cell>
        </row>
        <row r="1291">
          <cell r="J1291">
            <v>117586.75</v>
          </cell>
        </row>
      </sheetData>
      <sheetData sheetId="6" refreshError="1"/>
      <sheetData sheetId="7" refreshError="1"/>
      <sheetData sheetId="8" refreshError="1"/>
      <sheetData sheetId="9" refreshError="1"/>
      <sheetData sheetId="10" refreshError="1">
        <row r="325">
          <cell r="B325" t="str">
            <v>PEKERJAAN PERSIAPAN</v>
          </cell>
        </row>
        <row r="340">
          <cell r="A340" t="str">
            <v>A1</v>
          </cell>
          <cell r="I340" t="e">
            <v>#REF!</v>
          </cell>
        </row>
        <row r="349">
          <cell r="A349" t="str">
            <v>A2</v>
          </cell>
          <cell r="I349" t="e">
            <v>#REF!</v>
          </cell>
        </row>
        <row r="370">
          <cell r="A370" t="str">
            <v>A3</v>
          </cell>
          <cell r="I370" t="e">
            <v>#REF!</v>
          </cell>
        </row>
        <row r="383">
          <cell r="A383" t="str">
            <v>A4</v>
          </cell>
          <cell r="I383" t="e">
            <v>#REF!</v>
          </cell>
        </row>
        <row r="393">
          <cell r="A393" t="str">
            <v>A5</v>
          </cell>
          <cell r="I393" t="e">
            <v>#REF!</v>
          </cell>
        </row>
        <row r="397">
          <cell r="A397" t="str">
            <v>A6</v>
          </cell>
          <cell r="I397">
            <v>7450</v>
          </cell>
        </row>
        <row r="411">
          <cell r="A411" t="str">
            <v>A7</v>
          </cell>
          <cell r="I411" t="e">
            <v>#REF!</v>
          </cell>
        </row>
        <row r="418">
          <cell r="A418" t="str">
            <v>A8</v>
          </cell>
          <cell r="I418" t="e">
            <v>#REF!</v>
          </cell>
        </row>
        <row r="426">
          <cell r="A426" t="str">
            <v>A9</v>
          </cell>
          <cell r="I426" t="e">
            <v>#REF!</v>
          </cell>
        </row>
        <row r="433">
          <cell r="A433" t="str">
            <v>A10</v>
          </cell>
          <cell r="I433" t="e">
            <v>#REF!</v>
          </cell>
        </row>
        <row r="437">
          <cell r="A437" t="str">
            <v>A11</v>
          </cell>
          <cell r="I437">
            <v>301659</v>
          </cell>
        </row>
        <row r="441">
          <cell r="A441" t="str">
            <v>A12</v>
          </cell>
          <cell r="I441">
            <v>282159</v>
          </cell>
        </row>
        <row r="445">
          <cell r="A445" t="str">
            <v>A13</v>
          </cell>
          <cell r="I445">
            <v>17314.5</v>
          </cell>
        </row>
        <row r="449">
          <cell r="A449" t="str">
            <v>A14</v>
          </cell>
          <cell r="I449">
            <v>2750</v>
          </cell>
        </row>
        <row r="453">
          <cell r="A453" t="str">
            <v>A15</v>
          </cell>
          <cell r="I453">
            <v>1490</v>
          </cell>
        </row>
        <row r="460">
          <cell r="A460" t="str">
            <v>A16</v>
          </cell>
          <cell r="I460">
            <v>4087.5</v>
          </cell>
        </row>
        <row r="461">
          <cell r="A461" t="str">
            <v>A16a</v>
          </cell>
          <cell r="I461">
            <v>2425</v>
          </cell>
        </row>
        <row r="468">
          <cell r="A468" t="str">
            <v>A17</v>
          </cell>
          <cell r="I468">
            <v>4087.5</v>
          </cell>
        </row>
        <row r="469">
          <cell r="A469" t="str">
            <v>A17a</v>
          </cell>
          <cell r="I469">
            <v>2425</v>
          </cell>
        </row>
        <row r="476">
          <cell r="A476" t="str">
            <v>A18</v>
          </cell>
          <cell r="I476">
            <v>386665.9</v>
          </cell>
        </row>
        <row r="477">
          <cell r="A477" t="str">
            <v>A18a</v>
          </cell>
          <cell r="I477">
            <v>120665.90000000001</v>
          </cell>
        </row>
        <row r="481">
          <cell r="A481" t="str">
            <v>A19</v>
          </cell>
          <cell r="I481">
            <v>9700</v>
          </cell>
        </row>
        <row r="485">
          <cell r="A485" t="str">
            <v>A20</v>
          </cell>
          <cell r="I485">
            <v>18450</v>
          </cell>
        </row>
        <row r="489">
          <cell r="A489" t="str">
            <v>A21</v>
          </cell>
          <cell r="I489">
            <v>2394</v>
          </cell>
        </row>
        <row r="493">
          <cell r="A493" t="str">
            <v>A22</v>
          </cell>
          <cell r="I493">
            <v>3899</v>
          </cell>
        </row>
        <row r="497">
          <cell r="A497" t="str">
            <v>A23</v>
          </cell>
          <cell r="I497">
            <v>2262.5</v>
          </cell>
        </row>
        <row r="503">
          <cell r="A503" t="str">
            <v>B1</v>
          </cell>
          <cell r="I503">
            <v>33125</v>
          </cell>
        </row>
        <row r="507">
          <cell r="A507" t="str">
            <v>B2</v>
          </cell>
          <cell r="I507">
            <v>40725</v>
          </cell>
        </row>
        <row r="511">
          <cell r="A511" t="str">
            <v>B3</v>
          </cell>
          <cell r="I511">
            <v>48455</v>
          </cell>
        </row>
        <row r="515">
          <cell r="A515" t="str">
            <v>B4</v>
          </cell>
          <cell r="I515">
            <v>44080</v>
          </cell>
        </row>
        <row r="519">
          <cell r="A519" t="str">
            <v>B5</v>
          </cell>
          <cell r="I519">
            <v>66900</v>
          </cell>
        </row>
        <row r="523">
          <cell r="A523" t="str">
            <v>B6</v>
          </cell>
          <cell r="I523">
            <v>53325</v>
          </cell>
        </row>
        <row r="527">
          <cell r="A527" t="str">
            <v>B7</v>
          </cell>
          <cell r="I527">
            <v>2425</v>
          </cell>
        </row>
        <row r="531">
          <cell r="A531" t="str">
            <v>B8</v>
          </cell>
          <cell r="I531">
            <v>14510</v>
          </cell>
        </row>
        <row r="535">
          <cell r="A535" t="str">
            <v>B9</v>
          </cell>
          <cell r="I535">
            <v>11039.5</v>
          </cell>
        </row>
        <row r="539">
          <cell r="A539" t="str">
            <v>B10</v>
          </cell>
          <cell r="I539">
            <v>24250</v>
          </cell>
        </row>
        <row r="544">
          <cell r="A544" t="str">
            <v>B11</v>
          </cell>
          <cell r="I544" t="e">
            <v>#REF!</v>
          </cell>
        </row>
        <row r="549">
          <cell r="A549" t="str">
            <v>B12</v>
          </cell>
          <cell r="I549" t="e">
            <v>#REF!</v>
          </cell>
        </row>
        <row r="554">
          <cell r="A554" t="str">
            <v>B13</v>
          </cell>
          <cell r="I554" t="e">
            <v>#REF!</v>
          </cell>
        </row>
        <row r="559">
          <cell r="A559" t="str">
            <v>B14</v>
          </cell>
          <cell r="I559" t="e">
            <v>#REF!</v>
          </cell>
        </row>
        <row r="560">
          <cell r="B560" t="str">
            <v>PEKERJAAN PONDASI</v>
          </cell>
        </row>
        <row r="570">
          <cell r="A570" t="str">
            <v>C1</v>
          </cell>
          <cell r="I570" t="e">
            <v>#REF!</v>
          </cell>
        </row>
        <row r="579">
          <cell r="A579" t="str">
            <v>C2</v>
          </cell>
          <cell r="I579" t="e">
            <v>#REF!</v>
          </cell>
        </row>
        <row r="588">
          <cell r="A588" t="str">
            <v>C3</v>
          </cell>
          <cell r="I588" t="e">
            <v>#REF!</v>
          </cell>
        </row>
        <row r="597">
          <cell r="A597" t="str">
            <v>C4</v>
          </cell>
          <cell r="I597" t="e">
            <v>#REF!</v>
          </cell>
        </row>
        <row r="609">
          <cell r="A609" t="str">
            <v>C5</v>
          </cell>
          <cell r="I609" t="e">
            <v>#REF!</v>
          </cell>
        </row>
        <row r="619">
          <cell r="A619" t="str">
            <v>C6</v>
          </cell>
          <cell r="I619" t="e">
            <v>#REF!</v>
          </cell>
        </row>
        <row r="635">
          <cell r="A635" t="str">
            <v>C7</v>
          </cell>
          <cell r="I635" t="e">
            <v>#REF!</v>
          </cell>
        </row>
        <row r="643">
          <cell r="A643" t="str">
            <v>C8</v>
          </cell>
          <cell r="I643" t="e">
            <v>#REF!</v>
          </cell>
        </row>
        <row r="659">
          <cell r="A659" t="str">
            <v>C9</v>
          </cell>
          <cell r="I659" t="e">
            <v>#REF!</v>
          </cell>
        </row>
        <row r="660">
          <cell r="B660" t="str">
            <v>PEKERJAAN BETON</v>
          </cell>
        </row>
        <row r="670">
          <cell r="A670" t="str">
            <v>D1</v>
          </cell>
          <cell r="I670" t="e">
            <v>#REF!</v>
          </cell>
        </row>
        <row r="679">
          <cell r="A679" t="str">
            <v>D2</v>
          </cell>
        </row>
        <row r="688">
          <cell r="A688" t="str">
            <v>D3</v>
          </cell>
          <cell r="I688" t="e">
            <v>#REF!</v>
          </cell>
        </row>
        <row r="697">
          <cell r="A697" t="str">
            <v>D4</v>
          </cell>
          <cell r="I697" t="e">
            <v>#REF!</v>
          </cell>
        </row>
        <row r="706">
          <cell r="A706" t="str">
            <v>D5</v>
          </cell>
          <cell r="I706" t="e">
            <v>#REF!</v>
          </cell>
        </row>
        <row r="714">
          <cell r="A714" t="str">
            <v>D6</v>
          </cell>
        </row>
        <row r="723">
          <cell r="A723" t="str">
            <v>D7</v>
          </cell>
          <cell r="I723" t="e">
            <v>#REF!</v>
          </cell>
        </row>
        <row r="732">
          <cell r="A732" t="str">
            <v>D8</v>
          </cell>
          <cell r="I732" t="e">
            <v>#REF!</v>
          </cell>
        </row>
        <row r="744">
          <cell r="A744" t="str">
            <v>D9</v>
          </cell>
          <cell r="I744" t="e">
            <v>#REF!</v>
          </cell>
        </row>
        <row r="756">
          <cell r="A756" t="str">
            <v>D10</v>
          </cell>
          <cell r="I756" t="e">
            <v>#REF!</v>
          </cell>
        </row>
        <row r="768">
          <cell r="A768" t="str">
            <v>D11</v>
          </cell>
          <cell r="I768" t="e">
            <v>#REF!</v>
          </cell>
        </row>
        <row r="781">
          <cell r="A781" t="str">
            <v>D12</v>
          </cell>
          <cell r="I781" t="e">
            <v>#REF!</v>
          </cell>
        </row>
        <row r="793">
          <cell r="A793" t="str">
            <v>D13</v>
          </cell>
          <cell r="I793" t="e">
            <v>#REF!</v>
          </cell>
        </row>
        <row r="809">
          <cell r="A809" t="str">
            <v>D14</v>
          </cell>
          <cell r="I809" t="e">
            <v>#REF!</v>
          </cell>
        </row>
        <row r="815">
          <cell r="A815" t="str">
            <v>D15</v>
          </cell>
          <cell r="I815" t="e">
            <v>#REF!</v>
          </cell>
        </row>
        <row r="816">
          <cell r="A816" t="str">
            <v>D15a</v>
          </cell>
          <cell r="I816" t="e">
            <v>#REF!</v>
          </cell>
        </row>
        <row r="817">
          <cell r="A817" t="str">
            <v>D15b</v>
          </cell>
          <cell r="I817" t="e">
            <v>#REF!</v>
          </cell>
        </row>
        <row r="818">
          <cell r="A818" t="str">
            <v>D15c</v>
          </cell>
          <cell r="I818" t="e">
            <v>#REF!</v>
          </cell>
        </row>
        <row r="819">
          <cell r="A819" t="str">
            <v>D15d</v>
          </cell>
          <cell r="I819" t="e">
            <v>#REF!</v>
          </cell>
        </row>
        <row r="820">
          <cell r="A820" t="str">
            <v>D15e</v>
          </cell>
          <cell r="I820" t="e">
            <v>#REF!</v>
          </cell>
        </row>
        <row r="821">
          <cell r="A821" t="str">
            <v>D15f</v>
          </cell>
          <cell r="I821" t="e">
            <v>#REF!</v>
          </cell>
        </row>
        <row r="822">
          <cell r="A822" t="str">
            <v>D15g</v>
          </cell>
          <cell r="I822" t="e">
            <v>#REF!</v>
          </cell>
        </row>
        <row r="823">
          <cell r="A823" t="str">
            <v>D15h</v>
          </cell>
          <cell r="I823" t="e">
            <v>#REF!</v>
          </cell>
        </row>
        <row r="824">
          <cell r="A824" t="str">
            <v>D15i</v>
          </cell>
          <cell r="I824" t="e">
            <v>#REF!</v>
          </cell>
        </row>
        <row r="825">
          <cell r="A825" t="str">
            <v>D15j</v>
          </cell>
          <cell r="I825" t="e">
            <v>#REF!</v>
          </cell>
        </row>
        <row r="826">
          <cell r="A826" t="str">
            <v>D15k</v>
          </cell>
          <cell r="I826" t="e">
            <v>#REF!</v>
          </cell>
        </row>
        <row r="827">
          <cell r="A827" t="str">
            <v>D15l</v>
          </cell>
          <cell r="I827" t="e">
            <v>#REF!</v>
          </cell>
        </row>
        <row r="828">
          <cell r="A828" t="str">
            <v>D15m</v>
          </cell>
          <cell r="I828" t="e">
            <v>#REF!</v>
          </cell>
        </row>
        <row r="829">
          <cell r="A829" t="str">
            <v>D15n</v>
          </cell>
          <cell r="I829" t="e">
            <v>#REF!</v>
          </cell>
        </row>
        <row r="830">
          <cell r="A830" t="str">
            <v>D15o</v>
          </cell>
          <cell r="I830" t="e">
            <v>#REF!</v>
          </cell>
        </row>
        <row r="831">
          <cell r="A831" t="str">
            <v>D15p</v>
          </cell>
          <cell r="I831" t="e">
            <v>#REF!</v>
          </cell>
        </row>
        <row r="832">
          <cell r="A832" t="str">
            <v>D15q</v>
          </cell>
          <cell r="I832" t="e">
            <v>#REF!</v>
          </cell>
        </row>
        <row r="833">
          <cell r="A833" t="str">
            <v>D15r</v>
          </cell>
          <cell r="I833" t="e">
            <v>#REF!</v>
          </cell>
        </row>
        <row r="834">
          <cell r="A834" t="str">
            <v>D15s</v>
          </cell>
          <cell r="I834" t="e">
            <v>#REF!</v>
          </cell>
        </row>
        <row r="852">
          <cell r="A852" t="str">
            <v>D16</v>
          </cell>
          <cell r="I852" t="e">
            <v>#REF!</v>
          </cell>
        </row>
        <row r="868">
          <cell r="A868" t="str">
            <v>D17</v>
          </cell>
          <cell r="I868" t="e">
            <v>#REF!</v>
          </cell>
        </row>
        <row r="874">
          <cell r="A874" t="str">
            <v>D18</v>
          </cell>
          <cell r="I874" t="e">
            <v>#REF!</v>
          </cell>
        </row>
        <row r="875">
          <cell r="A875" t="str">
            <v>D18a</v>
          </cell>
          <cell r="I875" t="e">
            <v>#REF!</v>
          </cell>
        </row>
        <row r="876">
          <cell r="A876" t="str">
            <v>D18b</v>
          </cell>
          <cell r="I876" t="e">
            <v>#REF!</v>
          </cell>
        </row>
        <row r="877">
          <cell r="A877" t="str">
            <v>D18c</v>
          </cell>
          <cell r="I877" t="e">
            <v>#REF!</v>
          </cell>
        </row>
        <row r="878">
          <cell r="A878" t="str">
            <v>D18d</v>
          </cell>
          <cell r="I878" t="e">
            <v>#REF!</v>
          </cell>
        </row>
        <row r="879">
          <cell r="A879" t="str">
            <v>D18e</v>
          </cell>
          <cell r="I879" t="e">
            <v>#REF!</v>
          </cell>
        </row>
        <row r="880">
          <cell r="A880" t="str">
            <v>D18f</v>
          </cell>
          <cell r="I880" t="e">
            <v>#REF!</v>
          </cell>
        </row>
        <row r="881">
          <cell r="A881" t="str">
            <v>D18g</v>
          </cell>
          <cell r="I881" t="e">
            <v>#REF!</v>
          </cell>
        </row>
        <row r="882">
          <cell r="A882" t="str">
            <v>D18h</v>
          </cell>
          <cell r="I882" t="e">
            <v>#REF!</v>
          </cell>
        </row>
        <row r="883">
          <cell r="A883" t="str">
            <v>D18i</v>
          </cell>
          <cell r="I883" t="e">
            <v>#REF!</v>
          </cell>
        </row>
        <row r="884">
          <cell r="A884" t="str">
            <v>D18j</v>
          </cell>
          <cell r="I884" t="e">
            <v>#REF!</v>
          </cell>
        </row>
        <row r="885">
          <cell r="A885" t="str">
            <v>D18k</v>
          </cell>
          <cell r="I885" t="e">
            <v>#REF!</v>
          </cell>
        </row>
        <row r="886">
          <cell r="A886" t="str">
            <v>D18l</v>
          </cell>
          <cell r="I886" t="e">
            <v>#REF!</v>
          </cell>
        </row>
        <row r="887">
          <cell r="A887" t="str">
            <v>D18m</v>
          </cell>
          <cell r="I887" t="e">
            <v>#REF!</v>
          </cell>
        </row>
        <row r="888">
          <cell r="A888" t="str">
            <v>D18n</v>
          </cell>
          <cell r="I888" t="e">
            <v>#REF!</v>
          </cell>
        </row>
        <row r="889">
          <cell r="A889" t="str">
            <v>D18o</v>
          </cell>
          <cell r="I889" t="e">
            <v>#REF!</v>
          </cell>
        </row>
        <row r="890">
          <cell r="A890" t="str">
            <v>D18p</v>
          </cell>
          <cell r="I890" t="e">
            <v>#REF!</v>
          </cell>
        </row>
        <row r="891">
          <cell r="A891" t="str">
            <v>D18q</v>
          </cell>
          <cell r="I891" t="e">
            <v>#REF!</v>
          </cell>
        </row>
        <row r="892">
          <cell r="A892" t="str">
            <v>D18r</v>
          </cell>
          <cell r="I892" t="e">
            <v>#REF!</v>
          </cell>
        </row>
        <row r="893">
          <cell r="A893" t="str">
            <v>D18s</v>
          </cell>
          <cell r="I893" t="e">
            <v>#REF!</v>
          </cell>
        </row>
        <row r="911">
          <cell r="I911" t="e">
            <v>#REF!</v>
          </cell>
        </row>
        <row r="930">
          <cell r="I930" t="e">
            <v>#REF!</v>
          </cell>
        </row>
        <row r="936">
          <cell r="I936" t="e">
            <v>#REF!</v>
          </cell>
        </row>
        <row r="937">
          <cell r="A937" t="str">
            <v>D21a</v>
          </cell>
          <cell r="I937" t="e">
            <v>#REF!</v>
          </cell>
        </row>
        <row r="938">
          <cell r="A938" t="str">
            <v>D21b</v>
          </cell>
          <cell r="I938" t="e">
            <v>#REF!</v>
          </cell>
        </row>
        <row r="939">
          <cell r="A939" t="str">
            <v>D21c</v>
          </cell>
          <cell r="I939" t="e">
            <v>#REF!</v>
          </cell>
        </row>
        <row r="940">
          <cell r="A940" t="str">
            <v>D21d</v>
          </cell>
          <cell r="I940" t="e">
            <v>#REF!</v>
          </cell>
        </row>
        <row r="941">
          <cell r="A941" t="str">
            <v>D21e</v>
          </cell>
          <cell r="I941" t="e">
            <v>#REF!</v>
          </cell>
        </row>
        <row r="942">
          <cell r="A942" t="str">
            <v>D21f</v>
          </cell>
          <cell r="I942" t="e">
            <v>#REF!</v>
          </cell>
        </row>
        <row r="943">
          <cell r="A943" t="str">
            <v>D21g</v>
          </cell>
          <cell r="I943" t="e">
            <v>#REF!</v>
          </cell>
        </row>
        <row r="944">
          <cell r="A944" t="str">
            <v>D21h</v>
          </cell>
          <cell r="I944" t="e">
            <v>#REF!</v>
          </cell>
        </row>
        <row r="945">
          <cell r="A945" t="str">
            <v>D21i</v>
          </cell>
          <cell r="I945" t="e">
            <v>#REF!</v>
          </cell>
        </row>
        <row r="946">
          <cell r="A946" t="str">
            <v>D21j</v>
          </cell>
          <cell r="I946" t="e">
            <v>#REF!</v>
          </cell>
        </row>
        <row r="947">
          <cell r="A947" t="str">
            <v>D21k</v>
          </cell>
          <cell r="I947" t="e">
            <v>#REF!</v>
          </cell>
        </row>
        <row r="948">
          <cell r="A948" t="str">
            <v>D21l</v>
          </cell>
          <cell r="I948" t="e">
            <v>#REF!</v>
          </cell>
        </row>
        <row r="949">
          <cell r="A949" t="str">
            <v>D21m</v>
          </cell>
          <cell r="I949" t="e">
            <v>#REF!</v>
          </cell>
        </row>
        <row r="950">
          <cell r="A950" t="str">
            <v>D21n</v>
          </cell>
          <cell r="I950" t="e">
            <v>#REF!</v>
          </cell>
        </row>
        <row r="951">
          <cell r="A951" t="str">
            <v>D21o</v>
          </cell>
          <cell r="I951" t="e">
            <v>#REF!</v>
          </cell>
        </row>
        <row r="952">
          <cell r="A952" t="str">
            <v>D21p</v>
          </cell>
          <cell r="I952" t="e">
            <v>#REF!</v>
          </cell>
        </row>
        <row r="953">
          <cell r="A953" t="str">
            <v>D21q</v>
          </cell>
          <cell r="I953" t="e">
            <v>#REF!</v>
          </cell>
        </row>
        <row r="954">
          <cell r="A954" t="str">
            <v>D21r</v>
          </cell>
          <cell r="I954" t="e">
            <v>#REF!</v>
          </cell>
        </row>
        <row r="955">
          <cell r="A955" t="str">
            <v>D21s</v>
          </cell>
          <cell r="I955" t="e">
            <v>#REF!</v>
          </cell>
        </row>
        <row r="956">
          <cell r="A956" t="str">
            <v>D21t</v>
          </cell>
          <cell r="I956" t="e">
            <v>#REF!</v>
          </cell>
        </row>
        <row r="977">
          <cell r="A977" t="str">
            <v>D22</v>
          </cell>
          <cell r="I977" t="e">
            <v>#REF!</v>
          </cell>
        </row>
        <row r="996">
          <cell r="A996" t="str">
            <v>D23</v>
          </cell>
          <cell r="I996" t="e">
            <v>#REF!</v>
          </cell>
        </row>
        <row r="1015">
          <cell r="A1015" t="str">
            <v>D24</v>
          </cell>
          <cell r="I1015" t="e">
            <v>#REF!</v>
          </cell>
        </row>
        <row r="1021">
          <cell r="A1021" t="str">
            <v>D25</v>
          </cell>
          <cell r="I1021" t="e">
            <v>#REF!</v>
          </cell>
        </row>
        <row r="1022">
          <cell r="A1022" t="str">
            <v>D25a</v>
          </cell>
          <cell r="I1022" t="e">
            <v>#REF!</v>
          </cell>
        </row>
        <row r="1023">
          <cell r="A1023" t="str">
            <v>D25b</v>
          </cell>
          <cell r="I1023" t="e">
            <v>#REF!</v>
          </cell>
        </row>
        <row r="1024">
          <cell r="A1024" t="str">
            <v>D25c</v>
          </cell>
          <cell r="I1024" t="e">
            <v>#REF!</v>
          </cell>
        </row>
        <row r="1025">
          <cell r="A1025" t="str">
            <v>D25d</v>
          </cell>
          <cell r="I1025" t="e">
            <v>#REF!</v>
          </cell>
        </row>
        <row r="1026">
          <cell r="A1026" t="str">
            <v>D25e</v>
          </cell>
          <cell r="I1026" t="e">
            <v>#REF!</v>
          </cell>
        </row>
        <row r="1027">
          <cell r="A1027" t="str">
            <v>D25f</v>
          </cell>
          <cell r="I1027" t="e">
            <v>#REF!</v>
          </cell>
        </row>
        <row r="1028">
          <cell r="A1028" t="str">
            <v>D25g</v>
          </cell>
          <cell r="I1028" t="e">
            <v>#REF!</v>
          </cell>
        </row>
        <row r="1029">
          <cell r="A1029" t="str">
            <v>D25h</v>
          </cell>
          <cell r="I1029" t="e">
            <v>#REF!</v>
          </cell>
        </row>
        <row r="1030">
          <cell r="A1030" t="str">
            <v>D25i</v>
          </cell>
          <cell r="I1030" t="e">
            <v>#REF!</v>
          </cell>
        </row>
        <row r="1031">
          <cell r="A1031" t="str">
            <v>D25j</v>
          </cell>
          <cell r="I1031" t="e">
            <v>#REF!</v>
          </cell>
        </row>
        <row r="1032">
          <cell r="A1032" t="str">
            <v>D25k</v>
          </cell>
          <cell r="I1032" t="e">
            <v>#REF!</v>
          </cell>
        </row>
        <row r="1033">
          <cell r="A1033" t="str">
            <v>D25l</v>
          </cell>
          <cell r="I1033" t="e">
            <v>#REF!</v>
          </cell>
        </row>
        <row r="1034">
          <cell r="A1034" t="str">
            <v>D25m</v>
          </cell>
          <cell r="I1034" t="e">
            <v>#REF!</v>
          </cell>
        </row>
        <row r="1035">
          <cell r="A1035" t="str">
            <v>D25n</v>
          </cell>
          <cell r="I1035" t="e">
            <v>#REF!</v>
          </cell>
        </row>
        <row r="1036">
          <cell r="A1036" t="str">
            <v>D25o</v>
          </cell>
          <cell r="I1036" t="e">
            <v>#REF!</v>
          </cell>
        </row>
        <row r="1037">
          <cell r="A1037" t="str">
            <v>D25p</v>
          </cell>
          <cell r="I1037" t="e">
            <v>#REF!</v>
          </cell>
        </row>
        <row r="1038">
          <cell r="A1038" t="str">
            <v>D25q</v>
          </cell>
          <cell r="I1038" t="e">
            <v>#REF!</v>
          </cell>
        </row>
        <row r="1039">
          <cell r="A1039" t="str">
            <v>D25r</v>
          </cell>
          <cell r="I1039" t="e">
            <v>#REF!</v>
          </cell>
        </row>
        <row r="1060">
          <cell r="A1060" t="str">
            <v>D26</v>
          </cell>
          <cell r="I1060" t="e">
            <v>#REF!</v>
          </cell>
        </row>
        <row r="1079">
          <cell r="A1079" t="str">
            <v>D27</v>
          </cell>
          <cell r="I1079" t="e">
            <v>#REF!</v>
          </cell>
        </row>
        <row r="1085">
          <cell r="A1085" t="str">
            <v>D28</v>
          </cell>
          <cell r="I1085" t="e">
            <v>#REF!</v>
          </cell>
        </row>
        <row r="1086">
          <cell r="A1086" t="str">
            <v>D28a</v>
          </cell>
          <cell r="I1086" t="e">
            <v>#REF!</v>
          </cell>
        </row>
        <row r="1087">
          <cell r="A1087" t="str">
            <v>D28b</v>
          </cell>
          <cell r="I1087" t="e">
            <v>#REF!</v>
          </cell>
        </row>
        <row r="1088">
          <cell r="A1088" t="str">
            <v>D28c</v>
          </cell>
          <cell r="I1088" t="e">
            <v>#REF!</v>
          </cell>
        </row>
        <row r="1107">
          <cell r="A1107" t="str">
            <v>D29</v>
          </cell>
          <cell r="I1107" t="e">
            <v>#REF!</v>
          </cell>
        </row>
        <row r="1113">
          <cell r="A1113" t="str">
            <v>D30</v>
          </cell>
          <cell r="I1113" t="e">
            <v>#REF!</v>
          </cell>
        </row>
        <row r="1114">
          <cell r="A1114" t="str">
            <v>D30a</v>
          </cell>
          <cell r="I1114" t="e">
            <v>#REF!</v>
          </cell>
        </row>
        <row r="1115">
          <cell r="A1115" t="str">
            <v>D30b</v>
          </cell>
          <cell r="I1115" t="e">
            <v>#REF!</v>
          </cell>
        </row>
        <row r="1116">
          <cell r="A1116" t="str">
            <v>D30c</v>
          </cell>
          <cell r="I1116" t="e">
            <v>#REF!</v>
          </cell>
        </row>
        <row r="1117">
          <cell r="A1117" t="str">
            <v>D30d</v>
          </cell>
          <cell r="I1117" t="e">
            <v>#REF!</v>
          </cell>
        </row>
        <row r="1118">
          <cell r="A1118" t="str">
            <v>D30e</v>
          </cell>
          <cell r="I1118" t="e">
            <v>#REF!</v>
          </cell>
        </row>
        <row r="1119">
          <cell r="A1119" t="str">
            <v>D30f</v>
          </cell>
          <cell r="I1119" t="e">
            <v>#REF!</v>
          </cell>
        </row>
        <row r="1120">
          <cell r="A1120" t="str">
            <v>D30g</v>
          </cell>
          <cell r="I1120" t="e">
            <v>#REF!</v>
          </cell>
        </row>
        <row r="1121">
          <cell r="A1121" t="str">
            <v>D30h</v>
          </cell>
          <cell r="I1121" t="e">
            <v>#REF!</v>
          </cell>
        </row>
        <row r="1122">
          <cell r="A1122" t="str">
            <v>D30i</v>
          </cell>
          <cell r="I1122" t="e">
            <v>#REF!</v>
          </cell>
        </row>
        <row r="1123">
          <cell r="A1123" t="str">
            <v>D30j</v>
          </cell>
          <cell r="I1123" t="e">
            <v>#REF!</v>
          </cell>
        </row>
        <row r="1124">
          <cell r="A1124" t="str">
            <v>D30k</v>
          </cell>
          <cell r="I1124" t="e">
            <v>#REF!</v>
          </cell>
        </row>
        <row r="1145">
          <cell r="A1145" t="str">
            <v>D31</v>
          </cell>
          <cell r="I1145" t="e">
            <v>#REF!</v>
          </cell>
        </row>
        <row r="1151">
          <cell r="A1151" t="str">
            <v>D32</v>
          </cell>
          <cell r="I1151" t="e">
            <v>#REF!</v>
          </cell>
        </row>
        <row r="1152">
          <cell r="A1152" t="str">
            <v>D32a</v>
          </cell>
          <cell r="I1152" t="e">
            <v>#REF!</v>
          </cell>
        </row>
        <row r="1153">
          <cell r="A1153" t="str">
            <v>D32b</v>
          </cell>
          <cell r="I1153" t="e">
            <v>#REF!</v>
          </cell>
        </row>
        <row r="1154">
          <cell r="A1154" t="str">
            <v>D32c</v>
          </cell>
          <cell r="I1154" t="e">
            <v>#REF!</v>
          </cell>
        </row>
        <row r="1155">
          <cell r="A1155" t="str">
            <v>D32d</v>
          </cell>
          <cell r="I1155" t="e">
            <v>#REF!</v>
          </cell>
        </row>
        <row r="1156">
          <cell r="A1156" t="str">
            <v>D32e</v>
          </cell>
          <cell r="I1156" t="e">
            <v>#REF!</v>
          </cell>
        </row>
        <row r="1177">
          <cell r="A1177" t="str">
            <v>D33</v>
          </cell>
          <cell r="I1177" t="e">
            <v>#REF!</v>
          </cell>
        </row>
        <row r="1192">
          <cell r="A1192" t="str">
            <v>D34</v>
          </cell>
          <cell r="I1192" t="e">
            <v>#REF!</v>
          </cell>
        </row>
        <row r="1207">
          <cell r="A1207" t="str">
            <v>D35</v>
          </cell>
          <cell r="I1207" t="e">
            <v>#REF!</v>
          </cell>
        </row>
        <row r="1221">
          <cell r="A1221" t="str">
            <v>D36</v>
          </cell>
          <cell r="I1221" t="e">
            <v>#REF!</v>
          </cell>
        </row>
        <row r="1222">
          <cell r="B1222" t="str">
            <v>PEKERJAAN DINDING, PLESTERAN DAN ACIAN</v>
          </cell>
        </row>
        <row r="1232">
          <cell r="A1232" t="str">
            <v>E1</v>
          </cell>
          <cell r="I1232" t="e">
            <v>#REF!</v>
          </cell>
        </row>
        <row r="1241">
          <cell r="A1241" t="str">
            <v>E2</v>
          </cell>
          <cell r="I1241" t="e">
            <v>#REF!</v>
          </cell>
        </row>
        <row r="1250">
          <cell r="A1250" t="str">
            <v>E3</v>
          </cell>
          <cell r="I1250" t="e">
            <v>#REF!</v>
          </cell>
        </row>
        <row r="1260">
          <cell r="A1260" t="str">
            <v>E4</v>
          </cell>
          <cell r="I1260" t="e">
            <v>#REF!</v>
          </cell>
        </row>
        <row r="1270">
          <cell r="A1270" t="str">
            <v>E5</v>
          </cell>
          <cell r="I1270" t="e">
            <v>#REF!</v>
          </cell>
        </row>
        <row r="1279">
          <cell r="A1279" t="str">
            <v>E6</v>
          </cell>
          <cell r="I1279" t="e">
            <v>#REF!</v>
          </cell>
        </row>
        <row r="1288">
          <cell r="A1288" t="str">
            <v>E7</v>
          </cell>
          <cell r="I1288" t="e">
            <v>#REF!</v>
          </cell>
        </row>
        <row r="1298">
          <cell r="A1298" t="str">
            <v>E8</v>
          </cell>
          <cell r="I1298" t="e">
            <v>#REF!</v>
          </cell>
        </row>
        <row r="1307">
          <cell r="A1307" t="str">
            <v>E9</v>
          </cell>
          <cell r="I1307" t="e">
            <v>#REF!</v>
          </cell>
        </row>
        <row r="1314">
          <cell r="A1314" t="str">
            <v>E10</v>
          </cell>
          <cell r="I1314" t="e">
            <v>#REF!</v>
          </cell>
        </row>
        <row r="1322">
          <cell r="A1322" t="str">
            <v>E11</v>
          </cell>
          <cell r="I1322" t="e">
            <v>#REF!</v>
          </cell>
        </row>
        <row r="1330">
          <cell r="A1330" t="str">
            <v>E12</v>
          </cell>
          <cell r="I1330" t="e">
            <v>#REF!</v>
          </cell>
        </row>
        <row r="1338">
          <cell r="A1338" t="str">
            <v>E13</v>
          </cell>
          <cell r="I1338" t="e">
            <v>#REF!</v>
          </cell>
        </row>
        <row r="1346">
          <cell r="A1346" t="str">
            <v>E14</v>
          </cell>
          <cell r="I1346" t="e">
            <v>#REF!</v>
          </cell>
        </row>
        <row r="1354">
          <cell r="A1354" t="str">
            <v>E15</v>
          </cell>
          <cell r="I1354" t="e">
            <v>#REF!</v>
          </cell>
        </row>
        <row r="1361">
          <cell r="A1361" t="str">
            <v>E16</v>
          </cell>
          <cell r="I1361" t="e">
            <v>#REF!</v>
          </cell>
        </row>
        <row r="1368">
          <cell r="A1368" t="str">
            <v>E17</v>
          </cell>
          <cell r="I1368" t="e">
            <v>#REF!</v>
          </cell>
        </row>
        <row r="1375">
          <cell r="A1375" t="str">
            <v>E18</v>
          </cell>
          <cell r="I1375" t="e">
            <v>#REF!</v>
          </cell>
        </row>
        <row r="1383">
          <cell r="A1383" t="str">
            <v>E19</v>
          </cell>
          <cell r="I1383" t="e">
            <v>#REF!</v>
          </cell>
        </row>
        <row r="1394">
          <cell r="A1394" t="str">
            <v>F1</v>
          </cell>
          <cell r="I1394" t="e">
            <v>#REF!</v>
          </cell>
        </row>
        <row r="1402">
          <cell r="A1402" t="str">
            <v>F2</v>
          </cell>
          <cell r="I1402" t="e">
            <v>#REF!</v>
          </cell>
        </row>
        <row r="1410">
          <cell r="A1410" t="str">
            <v>F3</v>
          </cell>
          <cell r="I1410" t="e">
            <v>#REF!</v>
          </cell>
        </row>
        <row r="1420">
          <cell r="A1420" t="str">
            <v>F4</v>
          </cell>
          <cell r="I1420" t="e">
            <v>#REF!</v>
          </cell>
        </row>
        <row r="1429">
          <cell r="A1429" t="str">
            <v>F5</v>
          </cell>
          <cell r="I1429" t="e">
            <v>#REF!</v>
          </cell>
        </row>
        <row r="1436">
          <cell r="A1436" t="str">
            <v>F6</v>
          </cell>
          <cell r="I1436" t="e">
            <v>#REF!</v>
          </cell>
        </row>
        <row r="1443">
          <cell r="A1443" t="str">
            <v>F7</v>
          </cell>
          <cell r="I1443" t="e">
            <v>#REF!</v>
          </cell>
        </row>
        <row r="1450">
          <cell r="A1450" t="str">
            <v>F8</v>
          </cell>
          <cell r="I1450" t="e">
            <v>#REF!</v>
          </cell>
        </row>
        <row r="1460">
          <cell r="A1460" t="str">
            <v>F9</v>
          </cell>
          <cell r="I1460" t="e">
            <v>#REF!</v>
          </cell>
        </row>
        <row r="1471">
          <cell r="A1471" t="str">
            <v>F10</v>
          </cell>
          <cell r="I1471" t="e">
            <v>#REF!</v>
          </cell>
        </row>
        <row r="1479">
          <cell r="A1479" t="str">
            <v>F11</v>
          </cell>
          <cell r="I1479" t="e">
            <v>#REF!</v>
          </cell>
        </row>
        <row r="1486">
          <cell r="A1486" t="str">
            <v>F12</v>
          </cell>
          <cell r="I1486" t="e">
            <v>#REF!</v>
          </cell>
        </row>
        <row r="1497">
          <cell r="A1497" t="str">
            <v>G1</v>
          </cell>
          <cell r="G1497">
            <v>979000</v>
          </cell>
          <cell r="I1497" t="e">
            <v>#REF!</v>
          </cell>
        </row>
        <row r="1506">
          <cell r="A1506" t="str">
            <v>G2</v>
          </cell>
          <cell r="G1506">
            <v>979000</v>
          </cell>
          <cell r="I1506" t="e">
            <v>#REF!</v>
          </cell>
        </row>
        <row r="1515">
          <cell r="A1515" t="str">
            <v>G2a</v>
          </cell>
          <cell r="I1515" t="e">
            <v>#REF!</v>
          </cell>
        </row>
        <row r="1523">
          <cell r="A1523" t="str">
            <v>G3</v>
          </cell>
          <cell r="I1523" t="e">
            <v>#REF!</v>
          </cell>
        </row>
        <row r="1532">
          <cell r="A1532" t="str">
            <v>G4</v>
          </cell>
          <cell r="I1532" t="e">
            <v>#REF!</v>
          </cell>
        </row>
        <row r="1541">
          <cell r="A1541" t="str">
            <v>G5</v>
          </cell>
          <cell r="G1541">
            <v>11175</v>
          </cell>
          <cell r="I1541" t="e">
            <v>#REF!</v>
          </cell>
        </row>
        <row r="1549">
          <cell r="A1549" t="str">
            <v>G6</v>
          </cell>
          <cell r="I1549" t="e">
            <v>#REF!</v>
          </cell>
        </row>
        <row r="1557">
          <cell r="A1557" t="str">
            <v>G6a</v>
          </cell>
          <cell r="I1557" t="e">
            <v>#REF!</v>
          </cell>
        </row>
        <row r="1565">
          <cell r="A1565" t="str">
            <v>G7</v>
          </cell>
          <cell r="I1565" t="e">
            <v>#REF!</v>
          </cell>
        </row>
        <row r="1572">
          <cell r="A1572" t="str">
            <v>G8</v>
          </cell>
          <cell r="I1572" t="e">
            <v>#REF!</v>
          </cell>
        </row>
        <row r="1580">
          <cell r="A1580" t="str">
            <v>G9</v>
          </cell>
          <cell r="I1580" t="e">
            <v>#REF!</v>
          </cell>
        </row>
        <row r="1588">
          <cell r="A1588" t="str">
            <v>G10</v>
          </cell>
          <cell r="I1588" t="e">
            <v>#REF!</v>
          </cell>
        </row>
        <row r="1596">
          <cell r="A1596" t="str">
            <v>G10a</v>
          </cell>
          <cell r="I1596" t="e">
            <v>#REF!</v>
          </cell>
        </row>
        <row r="1604">
          <cell r="A1604" t="str">
            <v>G10b</v>
          </cell>
          <cell r="I1604" t="e">
            <v>#REF!</v>
          </cell>
        </row>
        <row r="1612">
          <cell r="A1612" t="str">
            <v>G11</v>
          </cell>
          <cell r="I1612" t="e">
            <v>#REF!</v>
          </cell>
        </row>
        <row r="1619">
          <cell r="A1619" t="str">
            <v>G12</v>
          </cell>
          <cell r="I1619" t="e">
            <v>#REF!</v>
          </cell>
        </row>
        <row r="1628">
          <cell r="A1628" t="str">
            <v>G13</v>
          </cell>
        </row>
        <row r="1635">
          <cell r="A1635" t="str">
            <v>G14</v>
          </cell>
          <cell r="I1635" t="e">
            <v>#REF!</v>
          </cell>
        </row>
        <row r="1644">
          <cell r="A1644" t="str">
            <v>G15</v>
          </cell>
          <cell r="I1644" t="e">
            <v>#REF!</v>
          </cell>
        </row>
        <row r="1652">
          <cell r="A1652" t="str">
            <v>G16</v>
          </cell>
          <cell r="G1652">
            <v>10990</v>
          </cell>
          <cell r="I1652" t="e">
            <v>#REF!</v>
          </cell>
        </row>
        <row r="1660">
          <cell r="A1660" t="str">
            <v>G17</v>
          </cell>
          <cell r="I1660" t="e">
            <v>#REF!</v>
          </cell>
        </row>
        <row r="1668">
          <cell r="A1668" t="str">
            <v>G18</v>
          </cell>
          <cell r="I1668" t="e">
            <v>#REF!</v>
          </cell>
        </row>
        <row r="1678">
          <cell r="A1678" t="str">
            <v>G19</v>
          </cell>
          <cell r="I1678" t="e">
            <v>#REF!</v>
          </cell>
        </row>
        <row r="1684">
          <cell r="A1684" t="str">
            <v>G20</v>
          </cell>
          <cell r="I1684" t="e">
            <v>#REF!</v>
          </cell>
        </row>
        <row r="1692">
          <cell r="A1692" t="str">
            <v>G21</v>
          </cell>
          <cell r="I1692" t="e">
            <v>#REF!</v>
          </cell>
        </row>
        <row r="1699">
          <cell r="A1699" t="str">
            <v>G22</v>
          </cell>
          <cell r="I1699" t="e">
            <v>#REF!</v>
          </cell>
        </row>
        <row r="1707">
          <cell r="A1707" t="str">
            <v>G23</v>
          </cell>
          <cell r="I1707" t="e">
            <v>#REF!</v>
          </cell>
        </row>
        <row r="1710">
          <cell r="A1710" t="str">
            <v>G24</v>
          </cell>
          <cell r="I1710" t="e">
            <v>#REF!</v>
          </cell>
        </row>
        <row r="1713">
          <cell r="A1713" t="str">
            <v>G25</v>
          </cell>
          <cell r="I1713" t="e">
            <v>#REF!</v>
          </cell>
        </row>
        <row r="1716">
          <cell r="A1716" t="str">
            <v>G26</v>
          </cell>
          <cell r="I1716" t="e">
            <v>#REF!</v>
          </cell>
        </row>
        <row r="1725">
          <cell r="A1725" t="str">
            <v>G27</v>
          </cell>
          <cell r="I1725" t="e">
            <v>#REF!</v>
          </cell>
        </row>
        <row r="1734">
          <cell r="A1734" t="str">
            <v>G28</v>
          </cell>
          <cell r="I1734" t="e">
            <v>#REF!</v>
          </cell>
        </row>
        <row r="1744">
          <cell r="A1744" t="str">
            <v>H1</v>
          </cell>
          <cell r="I1744" t="e">
            <v>#REF!</v>
          </cell>
        </row>
        <row r="1752">
          <cell r="A1752" t="str">
            <v>H2</v>
          </cell>
          <cell r="I1752" t="e">
            <v>#REF!</v>
          </cell>
        </row>
        <row r="1760">
          <cell r="A1760" t="str">
            <v>H3</v>
          </cell>
          <cell r="I1760" t="e">
            <v>#REF!</v>
          </cell>
        </row>
        <row r="1769">
          <cell r="A1769" t="str">
            <v>H3a</v>
          </cell>
          <cell r="I1769" t="e">
            <v>#REF!</v>
          </cell>
        </row>
        <row r="1779">
          <cell r="A1779" t="str">
            <v>H3b</v>
          </cell>
          <cell r="I1779" t="e">
            <v>#REF!</v>
          </cell>
        </row>
        <row r="1789">
          <cell r="A1789" t="str">
            <v>H3c</v>
          </cell>
        </row>
        <row r="1798">
          <cell r="A1798" t="str">
            <v>H4</v>
          </cell>
          <cell r="I1798" t="e">
            <v>#REF!</v>
          </cell>
        </row>
        <row r="1807">
          <cell r="A1807" t="str">
            <v>H4a</v>
          </cell>
          <cell r="I1807" t="e">
            <v>#REF!</v>
          </cell>
        </row>
        <row r="1817">
          <cell r="A1817" t="str">
            <v>H4b</v>
          </cell>
          <cell r="I1817" t="e">
            <v>#REF!</v>
          </cell>
        </row>
        <row r="1836">
          <cell r="A1836" t="str">
            <v>H5</v>
          </cell>
          <cell r="I1836" t="e">
            <v>#REF!</v>
          </cell>
        </row>
        <row r="1852">
          <cell r="A1852" t="str">
            <v>H6</v>
          </cell>
          <cell r="I1852" t="e">
            <v>#REF!</v>
          </cell>
        </row>
        <row r="1860">
          <cell r="A1860" t="str">
            <v>H7</v>
          </cell>
          <cell r="I1860" t="e">
            <v>#REF!</v>
          </cell>
        </row>
        <row r="1868">
          <cell r="A1868" t="str">
            <v>H8</v>
          </cell>
          <cell r="I1868" t="e">
            <v>#REF!</v>
          </cell>
        </row>
        <row r="1876">
          <cell r="A1876" t="str">
            <v>H8a</v>
          </cell>
          <cell r="I1876" t="e">
            <v>#REF!</v>
          </cell>
        </row>
        <row r="1884">
          <cell r="A1884" t="str">
            <v>H9</v>
          </cell>
          <cell r="I1884" t="e">
            <v>#REF!</v>
          </cell>
        </row>
        <row r="1892">
          <cell r="A1892" t="str">
            <v>H10</v>
          </cell>
          <cell r="I1892" t="e">
            <v>#REF!</v>
          </cell>
        </row>
        <row r="1900">
          <cell r="A1900" t="str">
            <v>H11</v>
          </cell>
          <cell r="I1900" t="e">
            <v>#REF!</v>
          </cell>
        </row>
        <row r="1908">
          <cell r="A1908" t="str">
            <v>H12</v>
          </cell>
          <cell r="I1908" t="e">
            <v>#REF!</v>
          </cell>
        </row>
        <row r="1916">
          <cell r="A1916" t="str">
            <v>H13</v>
          </cell>
          <cell r="I1916" t="e">
            <v>#REF!</v>
          </cell>
        </row>
        <row r="1925">
          <cell r="A1925" t="str">
            <v>H14</v>
          </cell>
          <cell r="I1925" t="e">
            <v>#REF!</v>
          </cell>
        </row>
        <row r="1933">
          <cell r="A1933" t="str">
            <v>H15</v>
          </cell>
          <cell r="I1933" t="e">
            <v>#REF!</v>
          </cell>
        </row>
        <row r="1944">
          <cell r="A1944" t="str">
            <v>I1</v>
          </cell>
          <cell r="I1944" t="e">
            <v>#REF!</v>
          </cell>
        </row>
        <row r="1954">
          <cell r="A1954" t="str">
            <v>I2</v>
          </cell>
          <cell r="I1954" t="e">
            <v>#REF!</v>
          </cell>
        </row>
        <row r="1963">
          <cell r="A1963" t="str">
            <v>I3</v>
          </cell>
          <cell r="I1963" t="e">
            <v>#REF!</v>
          </cell>
        </row>
        <row r="1973">
          <cell r="A1973" t="str">
            <v>I4</v>
          </cell>
          <cell r="I1973" t="e">
            <v>#REF!</v>
          </cell>
        </row>
        <row r="1983">
          <cell r="A1983" t="str">
            <v>I5</v>
          </cell>
          <cell r="I1983" t="e">
            <v>#REF!</v>
          </cell>
        </row>
        <row r="1993">
          <cell r="A1993" t="str">
            <v>I6</v>
          </cell>
          <cell r="I1993" t="e">
            <v>#REF!</v>
          </cell>
        </row>
        <row r="2003">
          <cell r="A2003" t="str">
            <v>I7</v>
          </cell>
        </row>
        <row r="2013">
          <cell r="A2013" t="str">
            <v>I8</v>
          </cell>
        </row>
        <row r="2023">
          <cell r="A2023" t="str">
            <v>I9</v>
          </cell>
        </row>
        <row r="2033">
          <cell r="A2033" t="str">
            <v>I10</v>
          </cell>
          <cell r="I2033" t="e">
            <v>#REF!</v>
          </cell>
        </row>
        <row r="2043">
          <cell r="A2043" t="str">
            <v>I11</v>
          </cell>
          <cell r="I2043" t="e">
            <v>#REF!</v>
          </cell>
        </row>
        <row r="2051">
          <cell r="A2051" t="str">
            <v>I12</v>
          </cell>
          <cell r="I2051" t="e">
            <v>#REF!</v>
          </cell>
        </row>
        <row r="2052">
          <cell r="A2052" t="str">
            <v>I12a</v>
          </cell>
        </row>
        <row r="2060">
          <cell r="A2060" t="str">
            <v>I13</v>
          </cell>
          <cell r="I2060" t="e">
            <v>#REF!</v>
          </cell>
        </row>
        <row r="2072">
          <cell r="A2072" t="str">
            <v>J1</v>
          </cell>
          <cell r="I2072" t="e">
            <v>#REF!</v>
          </cell>
        </row>
        <row r="2082">
          <cell r="A2082" t="str">
            <v>J2</v>
          </cell>
          <cell r="I2082" t="e">
            <v>#REF!</v>
          </cell>
        </row>
        <row r="2093">
          <cell r="A2093" t="str">
            <v>J3</v>
          </cell>
          <cell r="I2093" t="e">
            <v>#REF!</v>
          </cell>
        </row>
        <row r="2102">
          <cell r="A2102" t="str">
            <v>J4</v>
          </cell>
          <cell r="I2102" t="e">
            <v>#REF!</v>
          </cell>
        </row>
        <row r="2112">
          <cell r="A2112" t="str">
            <v>J5</v>
          </cell>
          <cell r="I2112" t="e">
            <v>#REF!</v>
          </cell>
        </row>
        <row r="2121">
          <cell r="A2121" t="str">
            <v>J6</v>
          </cell>
          <cell r="I2121" t="e">
            <v>#REF!</v>
          </cell>
        </row>
        <row r="2130">
          <cell r="A2130" t="str">
            <v>J7</v>
          </cell>
          <cell r="I2130" t="e">
            <v>#REF!</v>
          </cell>
        </row>
        <row r="2139">
          <cell r="A2139" t="str">
            <v>J8</v>
          </cell>
          <cell r="I2139" t="e">
            <v>#REF!</v>
          </cell>
        </row>
        <row r="2147">
          <cell r="A2147" t="str">
            <v>J9</v>
          </cell>
          <cell r="I2147" t="e">
            <v>#REF!</v>
          </cell>
        </row>
        <row r="2154">
          <cell r="A2154" t="str">
            <v>J10</v>
          </cell>
          <cell r="I2154" t="e">
            <v>#REF!</v>
          </cell>
        </row>
        <row r="2163">
          <cell r="A2163" t="str">
            <v>K1</v>
          </cell>
          <cell r="I2163" t="e">
            <v>#REF!</v>
          </cell>
        </row>
        <row r="2170">
          <cell r="A2170" t="str">
            <v>K2</v>
          </cell>
          <cell r="I2170" t="e">
            <v>#REF!</v>
          </cell>
        </row>
        <row r="2177">
          <cell r="A2177" t="str">
            <v>K3</v>
          </cell>
          <cell r="I2177" t="e">
            <v>#REF!</v>
          </cell>
        </row>
        <row r="2184">
          <cell r="A2184" t="str">
            <v>K4</v>
          </cell>
          <cell r="I2184" t="e">
            <v>#REF!</v>
          </cell>
        </row>
        <row r="2191">
          <cell r="A2191" t="str">
            <v>K5</v>
          </cell>
          <cell r="I2191" t="e">
            <v>#REF!</v>
          </cell>
        </row>
        <row r="2198">
          <cell r="A2198" t="str">
            <v>K6</v>
          </cell>
          <cell r="I2198" t="e">
            <v>#REF!</v>
          </cell>
        </row>
        <row r="2205">
          <cell r="A2205" t="str">
            <v>K7</v>
          </cell>
          <cell r="I2205" t="e">
            <v>#REF!</v>
          </cell>
        </row>
        <row r="2206">
          <cell r="B2206" t="str">
            <v>PEKERJAAN INSTALASI AIR ( SANITAIR ) DAN LISTRIK</v>
          </cell>
        </row>
        <row r="2215">
          <cell r="A2215" t="str">
            <v>L1</v>
          </cell>
        </row>
        <row r="2224">
          <cell r="A2224" t="str">
            <v>L2</v>
          </cell>
          <cell r="I2224" t="e">
            <v>#REF!</v>
          </cell>
        </row>
        <row r="2234">
          <cell r="A2234" t="str">
            <v>L3</v>
          </cell>
        </row>
        <row r="2244">
          <cell r="A2244" t="str">
            <v>L4</v>
          </cell>
        </row>
        <row r="2252">
          <cell r="A2252" t="str">
            <v>L5</v>
          </cell>
          <cell r="I2252" t="e">
            <v>#REF!</v>
          </cell>
        </row>
        <row r="2264">
          <cell r="A2264" t="str">
            <v>L6</v>
          </cell>
          <cell r="I2264" t="e">
            <v>#REF!</v>
          </cell>
        </row>
        <row r="2272">
          <cell r="A2272" t="str">
            <v>L7</v>
          </cell>
          <cell r="I2272" t="e">
            <v>#REF!</v>
          </cell>
        </row>
        <row r="2280">
          <cell r="A2280" t="str">
            <v>L8</v>
          </cell>
          <cell r="I2280" t="e">
            <v>#REF!</v>
          </cell>
        </row>
        <row r="2288">
          <cell r="A2288" t="str">
            <v>L9</v>
          </cell>
          <cell r="I2288" t="e">
            <v>#REF!</v>
          </cell>
        </row>
        <row r="2296">
          <cell r="A2296" t="str">
            <v>L10</v>
          </cell>
        </row>
        <row r="2304">
          <cell r="A2304" t="str">
            <v>L11</v>
          </cell>
        </row>
        <row r="2312">
          <cell r="A2312" t="str">
            <v>L12</v>
          </cell>
          <cell r="I2312" t="e">
            <v>#REF!</v>
          </cell>
        </row>
        <row r="2320">
          <cell r="A2320" t="str">
            <v>L13</v>
          </cell>
        </row>
        <row r="2327">
          <cell r="A2327" t="str">
            <v>L14</v>
          </cell>
          <cell r="I2327" t="e">
            <v>#REF!</v>
          </cell>
        </row>
        <row r="2345">
          <cell r="A2345" t="str">
            <v>L15</v>
          </cell>
          <cell r="I2345" t="e">
            <v>#REF!</v>
          </cell>
        </row>
        <row r="2363">
          <cell r="A2363" t="str">
            <v>L16</v>
          </cell>
          <cell r="I2363" t="e">
            <v>#REF!</v>
          </cell>
        </row>
        <row r="2366">
          <cell r="A2366" t="str">
            <v>L17</v>
          </cell>
        </row>
        <row r="2369">
          <cell r="A2369" t="str">
            <v>L18</v>
          </cell>
        </row>
        <row r="2372">
          <cell r="A2372" t="str">
            <v>L19</v>
          </cell>
        </row>
        <row r="2375">
          <cell r="A2375" t="str">
            <v>L20</v>
          </cell>
        </row>
        <row r="2378">
          <cell r="A2378" t="str">
            <v>L21</v>
          </cell>
        </row>
        <row r="2381">
          <cell r="A2381" t="str">
            <v>L22</v>
          </cell>
        </row>
        <row r="2384">
          <cell r="A2384" t="str">
            <v>L23</v>
          </cell>
        </row>
        <row r="2387">
          <cell r="A2387" t="str">
            <v>L24</v>
          </cell>
          <cell r="I2387" t="e">
            <v>#REF!</v>
          </cell>
        </row>
        <row r="2390">
          <cell r="A2390" t="str">
            <v>L25</v>
          </cell>
          <cell r="I2390" t="e">
            <v>#REF!</v>
          </cell>
        </row>
        <row r="2399">
          <cell r="A2399" t="str">
            <v>M1</v>
          </cell>
          <cell r="I2399" t="e">
            <v>#REF!</v>
          </cell>
        </row>
        <row r="2408">
          <cell r="A2408" t="str">
            <v>M2</v>
          </cell>
          <cell r="I2408" t="e">
            <v>#REF!</v>
          </cell>
        </row>
        <row r="2417">
          <cell r="A2417" t="str">
            <v>M3</v>
          </cell>
          <cell r="I2417" t="e">
            <v>#REF!</v>
          </cell>
        </row>
        <row r="2425">
          <cell r="A2425" t="str">
            <v>M4</v>
          </cell>
          <cell r="I2425" t="e">
            <v>#REF!</v>
          </cell>
        </row>
        <row r="2441">
          <cell r="A2441" t="str">
            <v>M6</v>
          </cell>
          <cell r="I2441" t="e">
            <v>#REF!</v>
          </cell>
        </row>
        <row r="2449">
          <cell r="I2449" t="e">
            <v>#REF!</v>
          </cell>
        </row>
        <row r="2456">
          <cell r="A2456" t="str">
            <v>M8</v>
          </cell>
          <cell r="I2456" t="e">
            <v>#REF!</v>
          </cell>
        </row>
        <row r="2466">
          <cell r="A2466" t="str">
            <v>N1</v>
          </cell>
          <cell r="I2466" t="e">
            <v>#REF!</v>
          </cell>
        </row>
        <row r="2475">
          <cell r="A2475" t="str">
            <v>N2</v>
          </cell>
          <cell r="I2475" t="e">
            <v>#REF!</v>
          </cell>
        </row>
        <row r="2491">
          <cell r="I2491" t="e">
            <v>#REF!</v>
          </cell>
        </row>
        <row r="2502">
          <cell r="A2502" t="str">
            <v>O2</v>
          </cell>
          <cell r="I2502" t="e">
            <v>#REF!</v>
          </cell>
        </row>
        <row r="2513">
          <cell r="A2513" t="str">
            <v>O3</v>
          </cell>
          <cell r="I2513" t="e">
            <v>#REF!</v>
          </cell>
        </row>
        <row r="2525">
          <cell r="A2525" t="str">
            <v>O4</v>
          </cell>
          <cell r="I2525" t="e">
            <v>#REF!</v>
          </cell>
        </row>
        <row r="2536">
          <cell r="A2536" t="str">
            <v>O5</v>
          </cell>
          <cell r="I2536" t="e">
            <v>#REF!</v>
          </cell>
        </row>
        <row r="2550">
          <cell r="A2550" t="str">
            <v>O6</v>
          </cell>
          <cell r="I2550" t="e">
            <v>#REF!</v>
          </cell>
        </row>
        <row r="2571">
          <cell r="A2571" t="str">
            <v>O8</v>
          </cell>
          <cell r="I2571" t="e">
            <v>#REF!</v>
          </cell>
        </row>
      </sheetData>
      <sheetData sheetId="11" refreshError="1"/>
      <sheetData sheetId="12" refreshError="1"/>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FIN"/>
      <sheetName val="Spek Kusen"/>
      <sheetName val="Sheet1"/>
      <sheetName val="Kusen"/>
      <sheetName val="AN-Prelim"/>
      <sheetName val="AN-M&amp;E"/>
      <sheetName val="Analisa"/>
      <sheetName val="BD"/>
      <sheetName val="Gross Area"/>
      <sheetName val="Vol-M&amp;E"/>
      <sheetName val="T-Sch"/>
      <sheetName val="Remark"/>
      <sheetName val="TOTAL"/>
      <sheetName val="PRELIM"/>
      <sheetName val="RUKAN"/>
      <sheetName val="Steel-Twr"/>
      <sheetName val="SAP"/>
      <sheetName val="B _ Norelec"/>
      <sheetName val="BoQ C4"/>
      <sheetName val="I-KAMAR"/>
      <sheetName val="DATA"/>
      <sheetName val="PPC"/>
      <sheetName val="STR"/>
      <sheetName val="RAP"/>
      <sheetName val="LOADDAT"/>
      <sheetName val="kode rekening"/>
      <sheetName val="B - Norelec"/>
      <sheetName val="Rate"/>
      <sheetName val="harsat"/>
      <sheetName val="anal"/>
      <sheetName val="HS_TRG"/>
      <sheetName val="Kuantitas &amp; Harga"/>
      <sheetName val="BOQ Permata Senayan 09 Juni 200"/>
      <sheetName val="A"/>
      <sheetName val="Currency Rate"/>
      <sheetName val="Rekapitulasi Harga Satuan"/>
      <sheetName val="Daftar Harga Material"/>
      <sheetName val="Ahs.2"/>
      <sheetName val="Ahs.1"/>
      <sheetName val="STRUKTUR"/>
      <sheetName val="BQ"/>
      <sheetName val="Spek_Kusen"/>
      <sheetName val="Gross_Area"/>
      <sheetName val="B___Norelec"/>
      <sheetName val="BoQ_C4"/>
      <sheetName val="Isolasi Luar Dalam"/>
      <sheetName val="Isolasi Luar"/>
      <sheetName val="Peralatan"/>
      <sheetName val="Material"/>
      <sheetName val="CH"/>
      <sheetName val="HSD Alat"/>
      <sheetName val="HSD Bahan"/>
      <sheetName val="ANA"/>
      <sheetName val="REK"/>
      <sheetName val="HSD Upah"/>
      <sheetName val="HB"/>
      <sheetName val="HRG BHN"/>
      <sheetName val="INPUT"/>
      <sheetName val="bahan"/>
      <sheetName val="arab"/>
      <sheetName val="Jembatan I"/>
      <sheetName val="Koef"/>
      <sheetName val="UMUM"/>
      <sheetName val="struktur tdk dipakai"/>
      <sheetName val="Cash Flow bulanan"/>
      <sheetName val="DAF_2"/>
      <sheetName val="Personnel"/>
      <sheetName val="jobhist"/>
      <sheetName val="name"/>
      <sheetName val="HB "/>
      <sheetName val="SAT UPAH RAPI"/>
      <sheetName val="BQ &amp; Harga"/>
      <sheetName val="major tems"/>
      <sheetName val="sub_total_bag_7"/>
      <sheetName val="5-ALAT(1)"/>
      <sheetName val="Cover"/>
      <sheetName val="Rekap Direct Cost"/>
      <sheetName val="Analisa Harga Satuan"/>
      <sheetName val="BAHAN "/>
      <sheetName val="UPAH"/>
      <sheetName val="ESCON"/>
      <sheetName val="Kolam"/>
      <sheetName val="DAF-1"/>
      <sheetName val="Dashboard"/>
      <sheetName val="DAF-4"/>
      <sheetName val="iTEM hARSAT"/>
      <sheetName val="harga"/>
      <sheetName val="RAB"/>
      <sheetName val="StanE"/>
      <sheetName val="SAT-BHN"/>
      <sheetName val="Q'ty"/>
      <sheetName val="railing"/>
      <sheetName val="Antek"/>
      <sheetName val="plumbing"/>
      <sheetName val="G_SUMMARY"/>
      <sheetName val="Spek_Kusen1"/>
      <sheetName val="Gross_Area1"/>
      <sheetName val="Daf 1"/>
      <sheetName val="rab me (by owner) "/>
      <sheetName val="BQ (by owner)"/>
      <sheetName val="rab me (fisik)"/>
      <sheetName val="SUB-KON"/>
      <sheetName val="STAF"/>
      <sheetName val="ALAT"/>
      <sheetName val="Metode"/>
      <sheetName val="hrg-dsr"/>
      <sheetName val="Urai _Resap pengikat"/>
      <sheetName val="Bide-bq-int"/>
      <sheetName val="KODE"/>
      <sheetName val="A1"/>
      <sheetName val="Kuantitas"/>
      <sheetName val="B___Norelec1"/>
      <sheetName val="BoQ_C41"/>
      <sheetName val="B_-_Norelec"/>
      <sheetName val="kode_rekening"/>
      <sheetName val="Currency_Rate"/>
      <sheetName val="LKVL-CK-HT-GD1"/>
      <sheetName val="BO alat"/>
      <sheetName val="Analisa Quarry"/>
      <sheetName val="Informasi"/>
      <sheetName val="JSiar"/>
      <sheetName val=""/>
      <sheetName val="Rekap"/>
      <sheetName val="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ITULASI"/>
      <sheetName val="VOLUME"/>
      <sheetName val="Rekap Analisa"/>
      <sheetName val="RAB"/>
      <sheetName val="Analisa"/>
      <sheetName val="Daftar Harga"/>
      <sheetName val="Daftar Upah"/>
    </sheetNames>
    <sheetDataSet>
      <sheetData sheetId="0" refreshError="1"/>
      <sheetData sheetId="1" refreshError="1"/>
      <sheetData sheetId="2">
        <row r="22">
          <cell r="E22">
            <v>21393</v>
          </cell>
        </row>
        <row r="25">
          <cell r="E25">
            <v>11500</v>
          </cell>
        </row>
      </sheetData>
      <sheetData sheetId="3" refreshError="1"/>
      <sheetData sheetId="4" refreshError="1"/>
      <sheetData sheetId="5">
        <row r="10">
          <cell r="G10">
            <v>160000</v>
          </cell>
        </row>
        <row r="13">
          <cell r="G13">
            <v>100000</v>
          </cell>
        </row>
        <row r="14">
          <cell r="G14">
            <v>148000</v>
          </cell>
        </row>
        <row r="15">
          <cell r="G15">
            <v>148000</v>
          </cell>
        </row>
        <row r="16">
          <cell r="G16">
            <v>148000</v>
          </cell>
        </row>
        <row r="17">
          <cell r="G17">
            <v>148000</v>
          </cell>
        </row>
        <row r="18">
          <cell r="G18">
            <v>148000</v>
          </cell>
        </row>
        <row r="22">
          <cell r="G22">
            <v>40000</v>
          </cell>
        </row>
        <row r="26">
          <cell r="G26">
            <v>2600</v>
          </cell>
        </row>
        <row r="27">
          <cell r="G27">
            <v>1100</v>
          </cell>
        </row>
        <row r="29">
          <cell r="G29">
            <v>6250</v>
          </cell>
        </row>
        <row r="32">
          <cell r="G32">
            <v>52000</v>
          </cell>
        </row>
        <row r="42">
          <cell r="G42">
            <v>33606</v>
          </cell>
        </row>
        <row r="43">
          <cell r="G43">
            <v>36195</v>
          </cell>
        </row>
        <row r="44">
          <cell r="G44">
            <v>33606</v>
          </cell>
        </row>
        <row r="45">
          <cell r="G45">
            <v>33606</v>
          </cell>
        </row>
        <row r="47">
          <cell r="G47">
            <v>35000</v>
          </cell>
        </row>
        <row r="48">
          <cell r="G48">
            <v>90000</v>
          </cell>
        </row>
        <row r="49">
          <cell r="G49">
            <v>30000</v>
          </cell>
        </row>
        <row r="50">
          <cell r="G50">
            <v>26000</v>
          </cell>
        </row>
        <row r="58">
          <cell r="G58">
            <v>16200</v>
          </cell>
        </row>
        <row r="59">
          <cell r="G59">
            <v>18600</v>
          </cell>
        </row>
        <row r="60">
          <cell r="G60">
            <v>6600</v>
          </cell>
        </row>
        <row r="62">
          <cell r="G62">
            <v>45000</v>
          </cell>
        </row>
        <row r="63">
          <cell r="G63">
            <v>12500</v>
          </cell>
        </row>
        <row r="64">
          <cell r="G64">
            <v>9000</v>
          </cell>
        </row>
        <row r="69">
          <cell r="G69">
            <v>7500</v>
          </cell>
        </row>
        <row r="70">
          <cell r="G70">
            <v>2500</v>
          </cell>
        </row>
        <row r="73">
          <cell r="G73">
            <v>25000</v>
          </cell>
        </row>
        <row r="75">
          <cell r="G75">
            <v>11000</v>
          </cell>
        </row>
        <row r="78">
          <cell r="G78">
            <v>7500</v>
          </cell>
        </row>
        <row r="88">
          <cell r="G88">
            <v>9000</v>
          </cell>
        </row>
        <row r="89">
          <cell r="G89">
            <v>1100000</v>
          </cell>
        </row>
        <row r="95">
          <cell r="G95">
            <v>46153846.153846152</v>
          </cell>
        </row>
        <row r="96">
          <cell r="G96">
            <v>9600000</v>
          </cell>
        </row>
        <row r="100">
          <cell r="G100">
            <v>2800000</v>
          </cell>
        </row>
        <row r="101">
          <cell r="G101">
            <v>3200000</v>
          </cell>
        </row>
        <row r="102">
          <cell r="G102">
            <v>1400000</v>
          </cell>
        </row>
        <row r="103">
          <cell r="G103">
            <v>2400000</v>
          </cell>
        </row>
        <row r="104">
          <cell r="G104">
            <v>5000000</v>
          </cell>
        </row>
        <row r="107">
          <cell r="G107">
            <v>1100000</v>
          </cell>
        </row>
        <row r="110">
          <cell r="G110">
            <v>37500</v>
          </cell>
        </row>
        <row r="118">
          <cell r="G118">
            <v>115000</v>
          </cell>
        </row>
        <row r="122">
          <cell r="G122">
            <v>50000</v>
          </cell>
        </row>
        <row r="123">
          <cell r="G123">
            <v>18500</v>
          </cell>
        </row>
        <row r="125">
          <cell r="G125">
            <v>55000</v>
          </cell>
        </row>
        <row r="126">
          <cell r="G126">
            <v>70000</v>
          </cell>
        </row>
        <row r="128">
          <cell r="G128">
            <v>12500</v>
          </cell>
        </row>
        <row r="132">
          <cell r="G132">
            <v>3000</v>
          </cell>
        </row>
        <row r="164">
          <cell r="G164">
            <v>57500</v>
          </cell>
        </row>
        <row r="165">
          <cell r="G165">
            <v>57500</v>
          </cell>
        </row>
        <row r="178">
          <cell r="G178">
            <v>49500.000000000007</v>
          </cell>
        </row>
        <row r="183">
          <cell r="G183">
            <v>44000</v>
          </cell>
        </row>
        <row r="186">
          <cell r="G186">
            <v>71500</v>
          </cell>
        </row>
        <row r="190">
          <cell r="G190">
            <v>104500.00000000001</v>
          </cell>
        </row>
        <row r="192">
          <cell r="G192">
            <v>121000.00000000001</v>
          </cell>
        </row>
        <row r="193">
          <cell r="G193">
            <v>44000</v>
          </cell>
        </row>
        <row r="195">
          <cell r="G195">
            <v>38500</v>
          </cell>
        </row>
        <row r="196">
          <cell r="G196">
            <v>27500.000000000004</v>
          </cell>
        </row>
        <row r="207">
          <cell r="G207">
            <v>70000</v>
          </cell>
        </row>
        <row r="208">
          <cell r="G208">
            <v>50000</v>
          </cell>
        </row>
        <row r="212">
          <cell r="G212">
            <v>600000</v>
          </cell>
        </row>
        <row r="220">
          <cell r="G220">
            <v>45000</v>
          </cell>
        </row>
        <row r="227">
          <cell r="G227">
            <v>6750</v>
          </cell>
        </row>
        <row r="230">
          <cell r="G230">
            <v>30000</v>
          </cell>
        </row>
        <row r="232">
          <cell r="G232">
            <v>16000</v>
          </cell>
        </row>
        <row r="233">
          <cell r="G233">
            <v>20000</v>
          </cell>
        </row>
        <row r="234">
          <cell r="G234">
            <v>900</v>
          </cell>
        </row>
        <row r="238">
          <cell r="G238">
            <v>25</v>
          </cell>
        </row>
        <row r="239">
          <cell r="G239">
            <v>60000</v>
          </cell>
        </row>
        <row r="287">
          <cell r="G287">
            <v>65000</v>
          </cell>
        </row>
        <row r="288">
          <cell r="G288">
            <v>80000</v>
          </cell>
        </row>
        <row r="289">
          <cell r="G289">
            <v>270000</v>
          </cell>
        </row>
        <row r="290">
          <cell r="G290">
            <v>0</v>
          </cell>
        </row>
        <row r="291">
          <cell r="G291">
            <v>0</v>
          </cell>
        </row>
        <row r="292">
          <cell r="G292">
            <v>6500</v>
          </cell>
        </row>
        <row r="293">
          <cell r="G293">
            <v>16000</v>
          </cell>
        </row>
        <row r="294">
          <cell r="G294">
            <v>19000</v>
          </cell>
        </row>
        <row r="296">
          <cell r="G296">
            <v>70000</v>
          </cell>
        </row>
        <row r="298">
          <cell r="G298">
            <v>215000</v>
          </cell>
        </row>
        <row r="307">
          <cell r="G307">
            <v>5000</v>
          </cell>
        </row>
        <row r="309">
          <cell r="G309">
            <v>2000</v>
          </cell>
        </row>
        <row r="310">
          <cell r="G310">
            <v>15000</v>
          </cell>
        </row>
        <row r="311">
          <cell r="G311">
            <v>0</v>
          </cell>
        </row>
        <row r="312">
          <cell r="G312">
            <v>0</v>
          </cell>
        </row>
        <row r="313">
          <cell r="G313">
            <v>0</v>
          </cell>
        </row>
        <row r="314">
          <cell r="G314">
            <v>0</v>
          </cell>
        </row>
        <row r="315">
          <cell r="G315">
            <v>0</v>
          </cell>
        </row>
        <row r="316">
          <cell r="G316">
            <v>90000</v>
          </cell>
        </row>
        <row r="337">
          <cell r="G337">
            <v>203000</v>
          </cell>
        </row>
        <row r="338">
          <cell r="G338">
            <v>105000</v>
          </cell>
        </row>
        <row r="363">
          <cell r="G363">
            <v>418000</v>
          </cell>
        </row>
        <row r="364">
          <cell r="G364">
            <v>293000</v>
          </cell>
        </row>
        <row r="365">
          <cell r="G365">
            <v>29000</v>
          </cell>
        </row>
        <row r="366">
          <cell r="G366">
            <v>160000</v>
          </cell>
        </row>
        <row r="368">
          <cell r="G368">
            <v>31000</v>
          </cell>
        </row>
        <row r="369">
          <cell r="G369">
            <v>24000</v>
          </cell>
        </row>
        <row r="370">
          <cell r="G370">
            <v>24000</v>
          </cell>
        </row>
        <row r="371">
          <cell r="G371">
            <v>1000</v>
          </cell>
        </row>
        <row r="372">
          <cell r="G372">
            <v>5000</v>
          </cell>
        </row>
        <row r="375">
          <cell r="G375">
            <v>6000</v>
          </cell>
        </row>
        <row r="376">
          <cell r="G376">
            <v>9000</v>
          </cell>
        </row>
        <row r="380">
          <cell r="G380">
            <v>4000</v>
          </cell>
        </row>
        <row r="382">
          <cell r="G382">
            <v>1000</v>
          </cell>
        </row>
        <row r="383">
          <cell r="G383">
            <v>340000</v>
          </cell>
        </row>
        <row r="384">
          <cell r="G384">
            <v>600000</v>
          </cell>
        </row>
        <row r="385">
          <cell r="G385">
            <v>25000</v>
          </cell>
        </row>
        <row r="388">
          <cell r="G388">
            <v>35000</v>
          </cell>
        </row>
        <row r="393">
          <cell r="G393">
            <v>9000</v>
          </cell>
        </row>
        <row r="394">
          <cell r="G394">
            <v>11000</v>
          </cell>
        </row>
        <row r="396">
          <cell r="G396">
            <v>12000</v>
          </cell>
        </row>
        <row r="397">
          <cell r="G397">
            <v>15000</v>
          </cell>
        </row>
        <row r="398">
          <cell r="G398">
            <v>23000</v>
          </cell>
        </row>
        <row r="399">
          <cell r="G399">
            <v>27500</v>
          </cell>
        </row>
        <row r="416">
          <cell r="G416">
            <v>262500</v>
          </cell>
        </row>
        <row r="423">
          <cell r="G423">
            <v>50000</v>
          </cell>
        </row>
        <row r="424">
          <cell r="G424">
            <v>175000</v>
          </cell>
        </row>
        <row r="425">
          <cell r="G425">
            <v>3000</v>
          </cell>
        </row>
        <row r="426">
          <cell r="G426">
            <v>125000</v>
          </cell>
        </row>
        <row r="427">
          <cell r="G427">
            <v>125000</v>
          </cell>
        </row>
        <row r="428">
          <cell r="G428">
            <v>30000</v>
          </cell>
        </row>
        <row r="429">
          <cell r="G429">
            <v>2500</v>
          </cell>
        </row>
        <row r="430">
          <cell r="G430">
            <v>2500</v>
          </cell>
        </row>
        <row r="431">
          <cell r="G431">
            <v>3000</v>
          </cell>
        </row>
        <row r="432">
          <cell r="G432">
            <v>30000</v>
          </cell>
        </row>
        <row r="433">
          <cell r="G433">
            <v>40000</v>
          </cell>
        </row>
        <row r="434">
          <cell r="G434">
            <v>25000</v>
          </cell>
        </row>
        <row r="435">
          <cell r="G435">
            <v>3000</v>
          </cell>
        </row>
        <row r="436">
          <cell r="G436">
            <v>30000</v>
          </cell>
        </row>
        <row r="437">
          <cell r="G437">
            <v>5000</v>
          </cell>
        </row>
        <row r="438">
          <cell r="G438">
            <v>10000</v>
          </cell>
        </row>
        <row r="453">
          <cell r="G453">
            <v>300000</v>
          </cell>
        </row>
        <row r="454">
          <cell r="G454">
            <v>300000</v>
          </cell>
        </row>
      </sheetData>
      <sheetData sheetId="6">
        <row r="13">
          <cell r="D13">
            <v>35000</v>
          </cell>
        </row>
        <row r="19">
          <cell r="D19">
            <v>45000</v>
          </cell>
        </row>
        <row r="24">
          <cell r="D24">
            <v>50000</v>
          </cell>
        </row>
        <row r="25">
          <cell r="D25">
            <v>50000</v>
          </cell>
        </row>
        <row r="26">
          <cell r="D26">
            <v>55000</v>
          </cell>
        </row>
        <row r="27">
          <cell r="D27">
            <v>60000</v>
          </cell>
        </row>
        <row r="30">
          <cell r="D30">
            <v>0</v>
          </cell>
        </row>
        <row r="32">
          <cell r="D32">
            <v>75000</v>
          </cell>
        </row>
        <row r="33">
          <cell r="D33">
            <v>0</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baikan Jalan"/>
      <sheetName val="Schedule"/>
      <sheetName val="RAB "/>
      <sheetName val="RAB Pek. treatment"/>
      <sheetName val="RAB Pek. Inlet"/>
      <sheetName val="Volume Drainage"/>
      <sheetName val="Rekapitulasi Pek. Tambah"/>
      <sheetName val="RAB Pek. Tambah"/>
      <sheetName val="Rekapitulasi Harga Satuan Tamba"/>
      <sheetName val="Analisa Harga Satuan Tambah"/>
      <sheetName val="Rekapitulasi"/>
      <sheetName val="Rekapitulasi "/>
      <sheetName val="RAB  kontrak"/>
      <sheetName val="RAB  "/>
      <sheetName val="Rekapitulasi Harga Satuan"/>
      <sheetName val="Analisa Harga Satuan"/>
      <sheetName val="Daftar Harga Material"/>
      <sheetName val="Daftar Harga Upah"/>
      <sheetName val="Analisa Volume"/>
      <sheetName val="Volume Kirmi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7">
          <cell r="G27">
            <v>11800</v>
          </cell>
        </row>
        <row r="29">
          <cell r="G29">
            <v>6000</v>
          </cell>
        </row>
      </sheetData>
      <sheetData sheetId="15" refreshError="1"/>
      <sheetData sheetId="16" refreshError="1">
        <row r="55">
          <cell r="G55">
            <v>1380750</v>
          </cell>
        </row>
        <row r="85">
          <cell r="G85">
            <v>17500</v>
          </cell>
        </row>
        <row r="86">
          <cell r="G86">
            <v>17500</v>
          </cell>
        </row>
        <row r="88">
          <cell r="G88">
            <v>75000</v>
          </cell>
        </row>
        <row r="94">
          <cell r="G94">
            <v>110000.00000000001</v>
          </cell>
        </row>
      </sheetData>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KAMAR"/>
      <sheetName val="Coll-KAMAR"/>
      <sheetName val="II.MAIN-LOB"/>
      <sheetName val="III.FASADE"/>
      <sheetName val="IV. POOL DECK"/>
      <sheetName val="V.BALLROOM"/>
      <sheetName val="VI.CANOPY"/>
      <sheetName val="VII.CAR &amp; LIFT"/>
      <sheetName val="IX.ATRIUM"/>
      <sheetName val="X.LANDSCAPE"/>
      <sheetName val="Cover"/>
      <sheetName val="Summary "/>
      <sheetName val="Cover-OP"/>
      <sheetName val="Summary-op"/>
      <sheetName val="Rb"/>
      <sheetName val="I_KAMAR"/>
      <sheetName val="REKAP"/>
      <sheetName val="GTS I PS"/>
      <sheetName val="escon"/>
      <sheetName val="PPC"/>
      <sheetName val="Analisa"/>
      <sheetName val="D3.1"/>
      <sheetName val="Summary"/>
      <sheetName val="3.1"/>
      <sheetName val="3.2"/>
      <sheetName val="3.3"/>
      <sheetName val="3.4"/>
      <sheetName val="Sum"/>
      <sheetName val="B4-TC "/>
      <sheetName val="FinSum"/>
      <sheetName val="Instalasi"/>
      <sheetName val="Instalasi EAP"/>
      <sheetName val="Round Duct IMP"/>
      <sheetName val="Air Reg"/>
      <sheetName val="Cable power"/>
      <sheetName val="Pasang AC Split "/>
      <sheetName val="Panel Intimuara 22 Sept 10"/>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ill.1.VAC-Supply-A"/>
      <sheetName val="SUM 200"/>
      <sheetName val="Plat"/>
      <sheetName val="Penjumlahan"/>
      <sheetName val="daffin"/>
      <sheetName val="daftar harsat"/>
      <sheetName val="G_SUMMARY"/>
      <sheetName val="SEX"/>
      <sheetName val="II_MAIN-LOB"/>
      <sheetName val="III_FASADE"/>
      <sheetName val="IV__POOL_DECK"/>
      <sheetName val="V_BALLROOM"/>
      <sheetName val="VI_CANOPY"/>
      <sheetName val="VII_CAR_&amp;_LIFT"/>
      <sheetName val="IX_ATRIUM"/>
      <sheetName val="X_LANDSCAPE"/>
      <sheetName val="Summary_"/>
      <sheetName val="D3_1"/>
      <sheetName val="GTS_I_PS"/>
      <sheetName val="fas"/>
      <sheetName val="typ 10_25"/>
      <sheetName val="ph26"/>
      <sheetName val="ph27"/>
      <sheetName val="kor_un"/>
      <sheetName val="kor"/>
      <sheetName val="I. Prelim"/>
      <sheetName val="CBD"/>
      <sheetName val="VAC-1"/>
      <sheetName val="BAG_2"/>
      <sheetName val="r.tank"/>
      <sheetName val="prelim"/>
      <sheetName val="daily (12)"/>
      <sheetName val="SUB ME"/>
      <sheetName val="mechanical asrama"/>
      <sheetName val="electrical asrama"/>
      <sheetName val="ME. Kelas"/>
      <sheetName val="umum"/>
      <sheetName val="analisa alat"/>
      <sheetName val="alat"/>
      <sheetName val="bahan"/>
      <sheetName val="upah"/>
      <sheetName val="SUB LAIN2"/>
      <sheetName val="SUB KUSEN"/>
      <sheetName val="analisa pekerjaan"/>
      <sheetName val="ars asrama "/>
      <sheetName val="str asrama"/>
      <sheetName val="ars kelas"/>
      <sheetName val="str kelas"/>
      <sheetName val="REKAP MERAH"/>
      <sheetName val="Statprod gab"/>
      <sheetName val="A"/>
      <sheetName val="Bag_9"/>
      <sheetName val="Evaluasi"/>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ill_1_VAC-Supply-A"/>
      <sheetName val="3_1"/>
      <sheetName val="3_2"/>
      <sheetName val="3_3"/>
      <sheetName val="3_4"/>
      <sheetName val="B4-TC_"/>
      <sheetName val="Instalasi_EAP"/>
      <sheetName val="Round_Duct_IMP"/>
      <sheetName val="Air_Reg"/>
      <sheetName val="Cable_power"/>
      <sheetName val="Pasang_AC_Split_"/>
      <sheetName val="Panel_Intimuara_22_Sept_10"/>
      <sheetName val="SUM_200"/>
      <sheetName val="HB "/>
      <sheetName val="5.1-5.4(1)-5.4(2)"/>
      <sheetName val="BAG-2"/>
      <sheetName val="304_06"/>
      <sheetName val="4"/>
      <sheetName val="iTEM hARSAT"/>
      <sheetName val="main summary"/>
      <sheetName val="Pek.Luar"/>
      <sheetName val="jobhist"/>
      <sheetName val="Hrg.Sat"/>
      <sheetName val="AHAS1"/>
      <sheetName val="Elektrikal"/>
      <sheetName val="DETAIL LT11-13"/>
      <sheetName val="Fill this out first___"/>
      <sheetName val="DAF_2"/>
      <sheetName val="RINC FIN T4  _3_"/>
      <sheetName val="RINC FIN T4  _2_"/>
      <sheetName val="Harga ME "/>
      <sheetName val="harga"/>
      <sheetName val="Bill_1_VAC_Supply_A"/>
      <sheetName val="bill 3.9"/>
      <sheetName val="Har-mat"/>
      <sheetName val="REKAP TOTAL (1)"/>
      <sheetName val="Coll_KAMAR"/>
      <sheetName val="PL"/>
      <sheetName val="PK"/>
      <sheetName val="Pembongkaran"/>
      <sheetName val="DAF-4"/>
      <sheetName val="TOTAL"/>
      <sheetName val="Cash Flow bulanan"/>
      <sheetName val="Fire Fighting"/>
      <sheetName val="Plumbing"/>
      <sheetName val="HARGA ALAT"/>
      <sheetName val="BASIC"/>
      <sheetName val="ubah"/>
      <sheetName val="SPK"/>
      <sheetName val="Kolom UT"/>
      <sheetName val="TU"/>
      <sheetName val="Vibro_Roller"/>
      <sheetName val="HSP"/>
      <sheetName val="KH-Q1,Q2,01"/>
      <sheetName val="INDEX"/>
      <sheetName val="Analisa ARS"/>
      <sheetName val="STR"/>
      <sheetName val="Anal"/>
      <sheetName val="RAB-NEGO"/>
      <sheetName val="Harsat"/>
      <sheetName val="OHD"/>
      <sheetName val="PROTECTION "/>
      <sheetName val="luar"/>
      <sheetName val="RINC hotel"/>
      <sheetName val="RINC FIN T4 "/>
      <sheetName val="NAMES"/>
      <sheetName val="TOWN"/>
      <sheetName val="ALL"/>
      <sheetName val="Bill rekap"/>
      <sheetName val="Bill of Qty"/>
      <sheetName val="cargo"/>
      <sheetName val="PLB-Basement 2.8.2-R1"/>
      <sheetName val="Resume"/>
      <sheetName val="Kuantitas &amp; Harga"/>
      <sheetName val="Analisa &amp; Upah"/>
      <sheetName val="Analisa _ Upah"/>
      <sheetName val="Analisa Harga"/>
      <sheetName val="hst  LAMP_1 _2_"/>
      <sheetName val="Daf 1"/>
      <sheetName val="HARGA DASAR"/>
      <sheetName val="DIV.8"/>
      <sheetName val="DIV.9"/>
      <sheetName val="LBK"/>
      <sheetName val="EST-1CV"/>
      <sheetName val="3.a LBK"/>
      <sheetName val="Cover Daf-2"/>
      <sheetName val="Kode Bahan"/>
      <sheetName val="STR _A_"/>
      <sheetName val="boq"/>
      <sheetName val="struktur tdk dipakai"/>
      <sheetName val="Harga Satuan"/>
      <sheetName val="BQ"/>
      <sheetName val="HARGA MATERIAL"/>
      <sheetName val="NET?"/>
      <sheetName val="BQ?"/>
      <sheetName val="III_FA_x0000_u_x0012__x0003_"/>
      <sheetName val="_x0000_~X3_x0000__x0000__x0000__x0000__x0000__x0000__x0000__x0000__x0000_HV3_x0000_`²/~X3_x0000_~V3_x0000_._x0000_"/>
      <sheetName val="!_x0004__x0000__x0000_"/>
      <sheetName val="_x0000_"/>
      <sheetName val=""/>
      <sheetName val="AHS"/>
      <sheetName val="Junior PTI"/>
      <sheetName val="SMP"/>
      <sheetName val="3_x0000_`²/~X3_x0000_~V3_x0000_._x0000__x0000__x0000_._x0000__x0000__x0000__x0001__x0000__x0000__x0000_tÏ 0!"/>
      <sheetName val="_x0000_~X3_x0000__x0000__x0000__x0000__x0000__x0000__x0000__x0000__x0000_HV3_x0000_�`�/~X3_x0000_~V3_x0000_._x0000_"/>
      <sheetName val="Urai _Resap pengikat"/>
      <sheetName val="1+580"/>
      <sheetName val="III_FA?u_x0012__x0003_"/>
      <sheetName val="?~X3?????????HV3?`²/~X3?~V3?.?"/>
      <sheetName val="!_x0004_??"/>
      <sheetName val="?"/>
      <sheetName val="?~X3?????????HV3?�`�/~X3?~V3?.?"/>
      <sheetName val="harga bahan"/>
      <sheetName val="LISTRIK"/>
      <sheetName val="RAB"/>
      <sheetName val="III_FA"/>
      <sheetName val="!_x0004_"/>
      <sheetName val="NET_"/>
      <sheetName val="BQ_"/>
      <sheetName val="BQ ARS"/>
      <sheetName val="304-06"/>
      <sheetName val="DAF-7"/>
      <sheetName val="III_FA_u_x0012__x0003_"/>
      <sheetName val="_~X3_________HV3_`²_~X3_~V3_._"/>
      <sheetName val="!_x0004___"/>
      <sheetName val="_"/>
      <sheetName val="_~X3_________HV3_�`�_~X3_~V3_._"/>
      <sheetName val="MK"/>
      <sheetName val="3?`²/~X3?~V3?.???.???_x0001_???tÏ 0!"/>
      <sheetName val="_x0000__x0019_E_x0005_"/>
      <sheetName val="_x0000_R2&lt;_x0000__x0000__x0000__x0000__x0000__x0000__x0000__x0000__x0000__x001c_0&lt;_x0000_;be/R2&lt;_x0000_R0&lt;_x0000_._x0000_"/>
      <sheetName val="LAMP-A"/>
      <sheetName val="Hargamat"/>
      <sheetName val="概総括1"/>
      <sheetName val="RAB_DK"/>
      <sheetName val="Perm. Test"/>
      <sheetName val="II_MAIN-LOB1"/>
      <sheetName val="III_FASADE1"/>
      <sheetName val="IV__POOL_DECK1"/>
      <sheetName val="V_BALLROOM1"/>
      <sheetName val="VI_CANOPY1"/>
      <sheetName val="VII_CAR_&amp;_LIFT1"/>
      <sheetName val="IX_ATRIUM1"/>
      <sheetName val="X_LANDSCAPE1"/>
      <sheetName val="Summary_1"/>
      <sheetName val="GTS_I_PS1"/>
      <sheetName val="D3_11"/>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Bill_1_VAC-Supply-A1"/>
      <sheetName val="3_11"/>
      <sheetName val="3_21"/>
      <sheetName val="3_31"/>
      <sheetName val="3_41"/>
      <sheetName val="B4-TC_1"/>
      <sheetName val="Instalasi_EAP1"/>
      <sheetName val="Round_Duct_IMP1"/>
      <sheetName val="Air_Reg1"/>
      <sheetName val="Cable_power1"/>
      <sheetName val="Pasang_AC_Split_1"/>
      <sheetName val="Panel_Intimuara_22_Sept_101"/>
      <sheetName val="SUM_2001"/>
      <sheetName val="daftar_harsat"/>
      <sheetName val="typ_10_25"/>
      <sheetName val="I__Prelim"/>
      <sheetName val="daily_(12)"/>
      <sheetName val="SUB_ME"/>
      <sheetName val="mechanical_asrama"/>
      <sheetName val="electrical_asrama"/>
      <sheetName val="ME__Kelas"/>
      <sheetName val="analisa_alat"/>
      <sheetName val="SUB_LAIN2"/>
      <sheetName val="SUB_KUSEN"/>
      <sheetName val="analisa_pekerjaan"/>
      <sheetName val="ars_asrama_"/>
      <sheetName val="str_asrama"/>
      <sheetName val="ars_kelas"/>
      <sheetName val="str_kelas"/>
      <sheetName val="REKAP_MERAH"/>
      <sheetName val="HB_"/>
      <sheetName val="Statprod_gab"/>
      <sheetName val="5_1-5_4(1)-5_4(2)"/>
      <sheetName val="main_summary"/>
      <sheetName val="Pek_Luar"/>
      <sheetName val="r_tank"/>
      <sheetName val="iTEM_hARSAT"/>
      <sheetName val="Hrg_Sat"/>
      <sheetName val="DETAIL_LT11-13"/>
      <sheetName val="Harga_ME_"/>
      <sheetName val="Fill_this_out_first___"/>
      <sheetName val="RINC_FIN_T4___3_"/>
      <sheetName val="RINC_FIN_T4___2_"/>
      <sheetName val="bill_3_9"/>
      <sheetName val="STRUKTUR"/>
      <sheetName val="TE TS FA LAN MATV"/>
      <sheetName val="_x0000_~X3_x0000__x0000__x0000__x0000__x0000__x0000__x0000__x0000__x0000_HV3_x0000_?`?/~X3_x0000_~V3_x0000_._x0000_"/>
      <sheetName val="3_x0000_?`?/~X3_x0000_~V3_x0000_._x0000__x0000__x0000_._x0000__x0000__x0000__x0001__x0000__x0000__x0000_t??0!"/>
      <sheetName val="3??`?/~X3?~V3?.???.???_x0001_???t??0!"/>
      <sheetName val="?~X3?????????HV3??`?/~X3?~V3?.?"/>
      <sheetName val="Bill No.1"/>
      <sheetName val="BASEMENT"/>
      <sheetName val="Anls"/>
      <sheetName val="3"/>
      <sheetName val="3_`²_~X3_~V3_.___.____x0001____tÏ 0!"/>
      <sheetName val="3__`__~X3_~V3_.___.____x0001____t__0!"/>
      <sheetName val="_~X3_________HV3__`__~X3_~V3_._"/>
      <sheetName val="?_x0019_E_x0005_"/>
      <sheetName val="?R2&lt;?????????_x001c_0&lt;?;be/R2&lt;?R0&lt;?.?"/>
      <sheetName val="Rincian "/>
      <sheetName val="revisiSTR-pondasi"/>
      <sheetName val="harga "/>
      <sheetName val="__x0019_E_x0005_"/>
      <sheetName val="_R2&lt;__________x001c_0&lt;_;be_R2&lt;_R0&lt;_._"/>
      <sheetName val="DAF-2"/>
      <sheetName val="SAP"/>
      <sheetName val="???1"/>
      <sheetName val="_~X3_________HV3_?`?_~X3_~V3_._"/>
      <sheetName val="Valve"/>
      <sheetName val="Unit ahu-fcu"/>
      <sheetName val="Pipa"/>
      <sheetName val="Grille"/>
      <sheetName val="Duct"/>
      <sheetName val="PU"/>
      <sheetName val="Material"/>
      <sheetName val="Roman"/>
      <sheetName val="Str Green lake"/>
      <sheetName val="baja"/>
      <sheetName val="TH Vÿÿÿÿÿÿÿÿÿÿÿÿÿÿÿÿÿÿîîü3"/>
      <sheetName val="List_Berat"/>
      <sheetName val="Mat_Tower1"/>
      <sheetName val="Mat_Tower"/>
      <sheetName val="Internal_Summary"/>
      <sheetName val="BS_pricing"/>
      <sheetName val="NMS_Configuration"/>
      <sheetName val="63_Swap"/>
      <sheetName val="Antenna"/>
      <sheetName val="Parameter"/>
      <sheetName val="bobot"/>
      <sheetName val="Harga_Baut"/>
      <sheetName val="Pipe"/>
      <sheetName val="BOM"/>
      <sheetName val="Project_Summary"/>
      <sheetName val="DATA-BASE"/>
      <sheetName val="Factors"/>
      <sheetName val="Assumptions"/>
      <sheetName val="Rekapsub-total-ME"/>
      <sheetName val="lookup"/>
      <sheetName val="Factor"/>
      <sheetName val="margin"/>
      <sheetName val="X-file"/>
      <sheetName val="KURS"/>
      <sheetName val="Data"/>
      <sheetName val="GLP-DISCOUNT"/>
      <sheetName val="GLP_s_changed_from_previous"/>
      <sheetName val="CONV_TAB"/>
      <sheetName val="GLP_2001"/>
      <sheetName val="Cap_Mah"/>
      <sheetName val="MU&amp;MB"/>
      <sheetName val="Ladder"/>
      <sheetName val="Material_Mounting1"/>
      <sheetName val="Lampiran_MTO1"/>
      <sheetName val="Rekap-ME"/>
      <sheetName val="Calc__Overview"/>
      <sheetName val="Sheet2"/>
      <sheetName val="PriceList"/>
      <sheetName val="SALES_ITEMS"/>
      <sheetName val="General"/>
      <sheetName val="PSPC_LE_Pnext_Current"/>
      <sheetName val="Input_Log__Set-up"/>
      <sheetName val="Sch-5"/>
      <sheetName val="AM-MARGIN"/>
      <sheetName val="Material_List_T_55_M_"/>
      <sheetName val="GLP's_and_PSPC's"/>
      <sheetName val="US_indoor_vs_macro_outdoor"/>
      <sheetName val="koef"/>
      <sheetName val="BQ Elektrikal"/>
      <sheetName val="ES_PARK"/>
      <sheetName val="RAB AR&amp;STR"/>
      <sheetName val="D_6"/>
      <sheetName val="D_7"/>
      <sheetName val="Sheet1"/>
      <sheetName val="ARS "/>
      <sheetName val="p_luar"/>
      <sheetName val="fin SB"/>
      <sheetName val="FIN PARKIR"/>
      <sheetName val="Bill No 6 Koord &amp; Attendance"/>
      <sheetName val="AC_C"/>
      <sheetName val="Bill_2_ PL_6_ FF _ SUPPLY A"/>
      <sheetName val="PL_FF_SUPPLY A final"/>
      <sheetName val="List PO"/>
      <sheetName val="DAF-1"/>
      <sheetName val="ahs_utama"/>
      <sheetName val="PERALATAN UTAMA AC"/>
      <sheetName val="PERLATAN UTAMA PL"/>
      <sheetName val="PEMIPAAN PL"/>
      <sheetName val="PANEL TR"/>
      <sheetName val="STRUKTUR ATAS"/>
      <sheetName val="&lt;_x0000_;be/R2&lt;_x0000_R0&lt;_x0000_._x0000__x0000__x0000_._x0000__x0000__x0000__x0001__x0000__x0000__x0000_/Z0!"/>
      <sheetName val="PROGRESS"/>
      <sheetName val="FISIK"/>
      <sheetName val="PLB-Basement_2_8_2-R1"/>
      <sheetName val="Kuantitas_&amp;_Harga"/>
      <sheetName val="Estimate"/>
      <sheetName val="BAHAN STRUKTUR"/>
      <sheetName val="Panel"/>
      <sheetName val="_x0000_~X3_x0000__x0000__x0000__x0000__x0000__x0000__x0000__x0000__x0000_HV3_x0000_ˆ`²/~X3_x0000_~V3_x0000_._x0000_"/>
      <sheetName val="_~X3_________HV3_ˆ`²_~X3_~V3_._"/>
      <sheetName val="?~X3?????????HV3?ˆ`²/~X3?~V3?.?"/>
      <sheetName val="sipil"/>
      <sheetName val="BANGUNAN PENUNJANG"/>
      <sheetName val="SAT-BHN"/>
      <sheetName val="schtng"/>
      <sheetName val="schbhn"/>
      <sheetName val="schalt"/>
      <sheetName val="UPAH BAHAN"/>
      <sheetName val="___1"/>
      <sheetName val="BOQ-E"/>
      <sheetName val="Pt"/>
      <sheetName val="QTO-11P"/>
      <sheetName val="HARGA_DASAR"/>
      <sheetName val="DIV_8"/>
      <sheetName val="DIV_9"/>
      <sheetName val="Concrete"/>
      <sheetName val="Bahan "/>
      <sheetName val="Pekerjaan "/>
      <sheetName val="Basic Price"/>
      <sheetName val="Kurva S"/>
      <sheetName val="scedul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 Poltekes "/>
      <sheetName val="Rinc. Poltekes "/>
      <sheetName val="Ric.Jalan,Parkir"/>
      <sheetName val="Analisa Harga Sat"/>
      <sheetName val="Harga Sat."/>
      <sheetName val="Rekap ME dlm Gedung"/>
      <sheetName val="Petir"/>
      <sheetName val="Penerangan"/>
      <sheetName val="telepon"/>
      <sheetName val="Alarm"/>
      <sheetName val="Panel"/>
      <sheetName val="Gas"/>
      <sheetName val="Plumbing"/>
      <sheetName val="Rekap ME Luar GD"/>
      <sheetName val="Power House Luar"/>
      <sheetName val="Inst.Panel Luar"/>
      <sheetName val="Hidrant Luar"/>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DIV2"/>
      <sheetName val="3_DIV2"/>
    </sheetNames>
    <sheetDataSet>
      <sheetData sheetId="0" refreshError="1">
        <row r="1">
          <cell r="A1" t="str">
            <v>ITEM PEMBAYARAN NO.</v>
          </cell>
          <cell r="D1" t="str">
            <v>:  2.1</v>
          </cell>
          <cell r="E1" t="str">
            <v>oke</v>
          </cell>
          <cell r="J1" t="str">
            <v xml:space="preserve">Analisa EI-21 </v>
          </cell>
          <cell r="T1" t="str">
            <v xml:space="preserve">Analisa EI-21 </v>
          </cell>
        </row>
        <row r="2">
          <cell r="A2" t="str">
            <v>JENIS PEKERJAAN</v>
          </cell>
          <cell r="D2" t="str">
            <v>:  Galian Utk Drainase, Saluran dan Saluran Air</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2.1</v>
          </cell>
          <cell r="R12" t="str">
            <v>PERKIRAAN VOL. PEK.</v>
          </cell>
          <cell r="T12" t="str">
            <v>:</v>
          </cell>
          <cell r="U12">
            <v>1</v>
          </cell>
        </row>
        <row r="13">
          <cell r="A13">
            <v>4</v>
          </cell>
          <cell r="C13" t="str">
            <v>Jam kerja efektif per-hari</v>
          </cell>
          <cell r="G13" t="str">
            <v>Tk</v>
          </cell>
          <cell r="H13">
            <v>7</v>
          </cell>
          <cell r="I13" t="str">
            <v>jam</v>
          </cell>
          <cell r="L13" t="str">
            <v>JENIS PEKERJAAN</v>
          </cell>
          <cell r="O13" t="str">
            <v>:  Galian Utk Drainase, Saluran dan Saluran Air</v>
          </cell>
          <cell r="R13" t="str">
            <v>TOTAL HARGA (Rp.)</v>
          </cell>
          <cell r="T13" t="str">
            <v>:</v>
          </cell>
          <cell r="U13">
            <v>32339.52</v>
          </cell>
        </row>
        <row r="14">
          <cell r="A14">
            <v>5</v>
          </cell>
          <cell r="C14" t="str">
            <v>Faktor pengembangan bahan</v>
          </cell>
          <cell r="G14" t="str">
            <v>Fk</v>
          </cell>
          <cell r="H14">
            <v>1.2</v>
          </cell>
          <cell r="I14" t="str">
            <v>-</v>
          </cell>
          <cell r="L14" t="str">
            <v>SATUAN PEMBAYARAN</v>
          </cell>
          <cell r="O14" t="str">
            <v>:  M3</v>
          </cell>
          <cell r="Q14">
            <v>0</v>
          </cell>
          <cell r="R14" t="str">
            <v>% THD. BIAYA PROYEK</v>
          </cell>
          <cell r="T14" t="str">
            <v>:</v>
          </cell>
          <cell r="U14">
            <v>7.6954069998812278E-4</v>
          </cell>
        </row>
        <row r="17">
          <cell r="A17" t="str">
            <v>II.</v>
          </cell>
          <cell r="C17" t="str">
            <v>URUTAN  KERJA</v>
          </cell>
          <cell r="Q17" t="str">
            <v>PERKIRAAN</v>
          </cell>
          <cell r="R17" t="str">
            <v>HARGA</v>
          </cell>
          <cell r="S17" t="str">
            <v>JUMLAH</v>
          </cell>
        </row>
        <row r="18">
          <cell r="A18">
            <v>1</v>
          </cell>
          <cell r="C18" t="str">
            <v>Penggalian dilakukan dengan menggunakan Excavator</v>
          </cell>
          <cell r="L18" t="str">
            <v>NO.</v>
          </cell>
          <cell r="N18" t="str">
            <v>KOMPONEN</v>
          </cell>
          <cell r="P18" t="str">
            <v>SATUAN</v>
          </cell>
          <cell r="Q18" t="str">
            <v>KUANTITAS</v>
          </cell>
          <cell r="R18" t="str">
            <v>SATUAN</v>
          </cell>
          <cell r="S18" t="str">
            <v>HARGA</v>
          </cell>
        </row>
        <row r="19">
          <cell r="A19">
            <v>2</v>
          </cell>
          <cell r="C19" t="str">
            <v>Selanjutnya Excavator menuangkan material hasil</v>
          </cell>
          <cell r="R19" t="str">
            <v>(Rp.)</v>
          </cell>
          <cell r="S19" t="str">
            <v>(Rp.)</v>
          </cell>
        </row>
        <row r="20">
          <cell r="C20" t="str">
            <v>galian kedalam Dump Truck</v>
          </cell>
        </row>
        <row r="21">
          <cell r="A21">
            <v>3</v>
          </cell>
          <cell r="C21" t="str">
            <v>Dump Truck membuang material hasil galian keluar</v>
          </cell>
        </row>
        <row r="22">
          <cell r="C22" t="str">
            <v>lokasi jalan sejauh</v>
          </cell>
          <cell r="G22" t="str">
            <v>L</v>
          </cell>
          <cell r="H22">
            <v>5</v>
          </cell>
          <cell r="I22" t="str">
            <v>Km</v>
          </cell>
          <cell r="L22" t="str">
            <v>A.</v>
          </cell>
          <cell r="N22" t="str">
            <v>TENAGA</v>
          </cell>
        </row>
        <row r="23">
          <cell r="A23">
            <v>4</v>
          </cell>
          <cell r="C23" t="str">
            <v>Sekelompok pekerja akan merapikan hasil galian</v>
          </cell>
        </row>
        <row r="24">
          <cell r="L24" t="str">
            <v>1.</v>
          </cell>
          <cell r="N24" t="str">
            <v>Pekerja</v>
          </cell>
          <cell r="O24" t="str">
            <v>(L01)</v>
          </cell>
          <cell r="P24" t="str">
            <v>jam</v>
          </cell>
          <cell r="Q24">
            <v>3.6504440701875605E-2</v>
          </cell>
          <cell r="R24">
            <v>2857.14</v>
          </cell>
          <cell r="U24">
            <v>104.29829770695686</v>
          </cell>
        </row>
        <row r="25">
          <cell r="L25" t="str">
            <v>2.</v>
          </cell>
          <cell r="N25" t="str">
            <v>Mandor</v>
          </cell>
          <cell r="O25" t="str">
            <v>(L03)</v>
          </cell>
          <cell r="P25" t="str">
            <v>jam</v>
          </cell>
          <cell r="Q25">
            <v>9.1261101754689013E-3</v>
          </cell>
          <cell r="R25">
            <v>3214.29</v>
          </cell>
          <cell r="U25">
            <v>29.333964675907936</v>
          </cell>
        </row>
        <row r="26">
          <cell r="A26" t="str">
            <v>III.</v>
          </cell>
          <cell r="C26" t="str">
            <v>PEMAKAIAN BAHAN, ALAT DAN TENAGA</v>
          </cell>
        </row>
        <row r="28">
          <cell r="A28" t="str">
            <v xml:space="preserve">   1.</v>
          </cell>
          <cell r="C28" t="str">
            <v>BAHAN</v>
          </cell>
          <cell r="R28" t="str">
            <v xml:space="preserve">JUMLAH HARGA TENAGA   </v>
          </cell>
          <cell r="U28">
            <v>133.63226238286478</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7">
          <cell r="C37" t="str">
            <v>Faktor Konversi</v>
          </cell>
          <cell r="G37" t="str">
            <v>Fv</v>
          </cell>
          <cell r="H37">
            <v>0.9</v>
          </cell>
        </row>
        <row r="39">
          <cell r="C39" t="str">
            <v>Waktu siklus</v>
          </cell>
          <cell r="G39" t="str">
            <v>Ts1</v>
          </cell>
          <cell r="R39" t="str">
            <v xml:space="preserve">JUMLAH HARGA BAHAN   </v>
          </cell>
          <cell r="U39">
            <v>0</v>
          </cell>
        </row>
        <row r="40">
          <cell r="C40" t="str">
            <v>- Menggali,  memuat dan berputar</v>
          </cell>
          <cell r="G40" t="str">
            <v>T1</v>
          </cell>
          <cell r="H40">
            <v>0.317</v>
          </cell>
          <cell r="I40" t="str">
            <v>menit</v>
          </cell>
        </row>
        <row r="41">
          <cell r="C41" t="str">
            <v>- Lain-lain</v>
          </cell>
          <cell r="G41" t="str">
            <v>T2</v>
          </cell>
          <cell r="I41" t="str">
            <v>menit</v>
          </cell>
          <cell r="L41" t="str">
            <v>C.</v>
          </cell>
          <cell r="N41" t="str">
            <v>PERALATAN</v>
          </cell>
        </row>
        <row r="42">
          <cell r="G42" t="str">
            <v>Ts1</v>
          </cell>
          <cell r="H42">
            <v>0.317</v>
          </cell>
          <cell r="I42" t="str">
            <v>menit</v>
          </cell>
        </row>
        <row r="43">
          <cell r="L43" t="str">
            <v>1.</v>
          </cell>
          <cell r="N43" t="str">
            <v>Excavator</v>
          </cell>
          <cell r="O43" t="str">
            <v>(E10)</v>
          </cell>
          <cell r="P43" t="str">
            <v>jam</v>
          </cell>
          <cell r="Q43">
            <v>9.1261101754689013E-3</v>
          </cell>
          <cell r="R43">
            <v>238185.05650827778</v>
          </cell>
          <cell r="U43">
            <v>2173.7030678448291</v>
          </cell>
        </row>
        <row r="44">
          <cell r="C44" t="str">
            <v>Kap. Prod. / jam =</v>
          </cell>
          <cell r="D44" t="str">
            <v>V  x Fb x Fa x Fv x  60</v>
          </cell>
          <cell r="G44" t="str">
            <v>Q1</v>
          </cell>
          <cell r="H44">
            <v>109.5757097791798</v>
          </cell>
          <cell r="I44" t="str">
            <v xml:space="preserve">M3  </v>
          </cell>
          <cell r="L44" t="str">
            <v>2.</v>
          </cell>
          <cell r="N44" t="str">
            <v>Dump Truck</v>
          </cell>
          <cell r="O44" t="str">
            <v>(E08)</v>
          </cell>
          <cell r="P44" t="str">
            <v>jam</v>
          </cell>
          <cell r="Q44">
            <v>0.16982088218140085</v>
          </cell>
          <cell r="R44">
            <v>153645.58193291764</v>
          </cell>
          <cell r="U44">
            <v>26092.228267122777</v>
          </cell>
        </row>
        <row r="45">
          <cell r="D45" t="str">
            <v>Ts1 x Fk</v>
          </cell>
          <cell r="L45" t="str">
            <v>3.</v>
          </cell>
          <cell r="N45" t="str">
            <v>Alat Bantu</v>
          </cell>
          <cell r="P45" t="str">
            <v>Ls</v>
          </cell>
          <cell r="Q45">
            <v>1</v>
          </cell>
          <cell r="R45">
            <v>1000</v>
          </cell>
          <cell r="U45">
            <v>1000</v>
          </cell>
        </row>
        <row r="47">
          <cell r="C47" t="str">
            <v>Koefisien Alat / M3</v>
          </cell>
          <cell r="D47" t="str">
            <v xml:space="preserve"> =  1  :  Q1</v>
          </cell>
          <cell r="G47" t="str">
            <v>-</v>
          </cell>
          <cell r="H47">
            <v>9.1261101754689013E-3</v>
          </cell>
          <cell r="I47" t="str">
            <v>Jam</v>
          </cell>
        </row>
        <row r="50">
          <cell r="R50" t="str">
            <v xml:space="preserve">JUMLAH HARGA PERALATAN   </v>
          </cell>
          <cell r="U50">
            <v>29265.931334967605</v>
          </cell>
        </row>
        <row r="51">
          <cell r="A51" t="str">
            <v xml:space="preserve">   2.b.</v>
          </cell>
          <cell r="C51" t="str">
            <v>DUMP TRUCK</v>
          </cell>
          <cell r="G51" t="str">
            <v>(E08)</v>
          </cell>
        </row>
        <row r="52">
          <cell r="C52" t="str">
            <v>Kaasitas bak</v>
          </cell>
          <cell r="G52" t="str">
            <v>V</v>
          </cell>
          <cell r="H52">
            <v>4</v>
          </cell>
          <cell r="I52" t="str">
            <v>M3</v>
          </cell>
          <cell r="L52" t="str">
            <v>D.</v>
          </cell>
          <cell r="N52" t="str">
            <v>JUMLAH HARGA TENAGA, BAHAN DAN PERALATAN  ( A + B + C )</v>
          </cell>
          <cell r="U52">
            <v>29399.563597350469</v>
          </cell>
        </row>
        <row r="53">
          <cell r="C53" t="str">
            <v>Faktor  efisiensi alat</v>
          </cell>
          <cell r="G53" t="str">
            <v>Fa</v>
          </cell>
          <cell r="H53">
            <v>0.83</v>
          </cell>
          <cell r="I53" t="str">
            <v>-</v>
          </cell>
          <cell r="L53" t="str">
            <v>E.</v>
          </cell>
          <cell r="N53" t="str">
            <v>OVERHEAD &amp; PROFIT</v>
          </cell>
          <cell r="P53">
            <v>10</v>
          </cell>
          <cell r="Q53" t="str">
            <v>%  x  D</v>
          </cell>
          <cell r="U53">
            <v>2939.956359735047</v>
          </cell>
        </row>
        <row r="54">
          <cell r="C54" t="str">
            <v>Kecepatan rata-rata bermuatan</v>
          </cell>
          <cell r="G54" t="str">
            <v>v1</v>
          </cell>
          <cell r="H54">
            <v>20</v>
          </cell>
          <cell r="I54" t="str">
            <v>Km/Jam</v>
          </cell>
          <cell r="L54" t="str">
            <v>F.</v>
          </cell>
          <cell r="N54" t="str">
            <v>HARGA SATUAN PEKERJAAN  ( D + E )</v>
          </cell>
          <cell r="U54">
            <v>32339.519957085515</v>
          </cell>
        </row>
        <row r="55">
          <cell r="C55" t="str">
            <v>Kecepatan rata-rata kosong</v>
          </cell>
          <cell r="G55" t="str">
            <v>v2</v>
          </cell>
          <cell r="H55">
            <v>30</v>
          </cell>
          <cell r="I55" t="str">
            <v>Km/Jam</v>
          </cell>
          <cell r="L55" t="str">
            <v>Note: 1</v>
          </cell>
          <cell r="N55" t="str">
            <v>SATUAN dapat berdasarkan atas jam operasi untuk Tenaga Kerja dan Peralatan, volume dan/atau ukuran</v>
          </cell>
        </row>
        <row r="56">
          <cell r="C56" t="str">
            <v>Waktu  siklus  :</v>
          </cell>
          <cell r="G56" t="str">
            <v>Ts2</v>
          </cell>
          <cell r="N56" t="str">
            <v>berat untuk bahan-bahan.</v>
          </cell>
        </row>
        <row r="57">
          <cell r="C57" t="str">
            <v>- Waktu tempuh isi</v>
          </cell>
          <cell r="E57" t="str">
            <v>=   (L  :  v1)  x  60</v>
          </cell>
          <cell r="G57" t="str">
            <v>T1</v>
          </cell>
          <cell r="H57">
            <v>15</v>
          </cell>
          <cell r="I57" t="str">
            <v>menit</v>
          </cell>
          <cell r="L57">
            <v>2</v>
          </cell>
          <cell r="N57" t="str">
            <v>Kuantitas satuan adalah kuantitas setiap komponen untuk menyelesaikan satu satuan pekerjaan dari nomor</v>
          </cell>
        </row>
        <row r="58">
          <cell r="C58" t="str">
            <v>- Waktu tempuh kosong</v>
          </cell>
          <cell r="E58" t="str">
            <v>=   (L  :  v2)  x  60</v>
          </cell>
          <cell r="G58" t="str">
            <v>T2</v>
          </cell>
          <cell r="H58">
            <v>10</v>
          </cell>
          <cell r="I58" t="str">
            <v>menit</v>
          </cell>
          <cell r="N58" t="str">
            <v>mata pembayaran.</v>
          </cell>
        </row>
        <row r="59">
          <cell r="C59" t="str">
            <v>- Muat</v>
          </cell>
          <cell r="E59" t="str">
            <v>=   (V  :  Q1) x 60</v>
          </cell>
          <cell r="G59" t="str">
            <v>T3</v>
          </cell>
          <cell r="H59">
            <v>2.1902664421125362</v>
          </cell>
          <cell r="I59" t="str">
            <v>menit</v>
          </cell>
          <cell r="L59">
            <v>3</v>
          </cell>
          <cell r="N59" t="str">
            <v>Biaya satuan untuk peralatan sudah termasuk bahan bakar, bahan habis dipakai dan operator.</v>
          </cell>
        </row>
        <row r="60">
          <cell r="C60" t="str">
            <v>- Lain-lain</v>
          </cell>
          <cell r="G60" t="str">
            <v>T4</v>
          </cell>
          <cell r="H60">
            <v>1</v>
          </cell>
          <cell r="I60" t="str">
            <v>menit</v>
          </cell>
          <cell r="L60">
            <v>4</v>
          </cell>
          <cell r="N60" t="str">
            <v>Biaya satuan sudah termasuk pengeluaran untuk seluruh pajak yang berkaitan (tetapi tidak termasuk PPN</v>
          </cell>
        </row>
        <row r="61">
          <cell r="G61" t="str">
            <v>Ts2</v>
          </cell>
          <cell r="H61">
            <v>28.190266442112538</v>
          </cell>
          <cell r="I61" t="str">
            <v>menit</v>
          </cell>
          <cell r="N61" t="str">
            <v>yang dibayar dari kontrak) dan biaya-biaya lainnya.</v>
          </cell>
        </row>
        <row r="62">
          <cell r="J62" t="str">
            <v>Berlanjut ke halaman berikut</v>
          </cell>
        </row>
        <row r="63">
          <cell r="A63" t="str">
            <v>ITEM PEMBAYARAN NO.</v>
          </cell>
          <cell r="D63" t="str">
            <v>:  2.1</v>
          </cell>
          <cell r="J63" t="str">
            <v xml:space="preserve">Analisa EI-21 </v>
          </cell>
        </row>
        <row r="64">
          <cell r="A64" t="str">
            <v>JENIS PEKERJAAN</v>
          </cell>
          <cell r="D64" t="str">
            <v>:  Galian Utk Drainase, Saluran dan Saluran Air</v>
          </cell>
        </row>
        <row r="65">
          <cell r="A65" t="str">
            <v>SATUAN PEMBAYARAN</v>
          </cell>
          <cell r="D65" t="str">
            <v>:  M3</v>
          </cell>
          <cell r="J65" t="str">
            <v xml:space="preserve">         URAIAN ANALISA HARGA SATUAN</v>
          </cell>
        </row>
        <row r="66">
          <cell r="J66" t="str">
            <v>Lanjutan</v>
          </cell>
        </row>
        <row r="68">
          <cell r="A68" t="str">
            <v>No.</v>
          </cell>
          <cell r="C68" t="str">
            <v>U R A I A N</v>
          </cell>
          <cell r="G68" t="str">
            <v>KODE</v>
          </cell>
          <cell r="H68" t="str">
            <v>KOEF.</v>
          </cell>
          <cell r="I68" t="str">
            <v>SATUAN</v>
          </cell>
          <cell r="J68" t="str">
            <v>KETERANGAN</v>
          </cell>
        </row>
        <row r="71">
          <cell r="C71" t="str">
            <v>Kapasitas Produksi / Jam   =</v>
          </cell>
          <cell r="E71" t="str">
            <v>V x Fa x 60</v>
          </cell>
          <cell r="G71" t="str">
            <v>Q2</v>
          </cell>
          <cell r="H71">
            <v>5.888557326723876</v>
          </cell>
          <cell r="I71" t="str">
            <v>M3</v>
          </cell>
        </row>
        <row r="72">
          <cell r="E72" t="str">
            <v xml:space="preserve">    Fk x Ts2</v>
          </cell>
        </row>
        <row r="75">
          <cell r="C75" t="str">
            <v>Koefisien Alat / M3</v>
          </cell>
          <cell r="D75" t="str">
            <v xml:space="preserve"> =  1  :  Q2</v>
          </cell>
          <cell r="G75" t="str">
            <v>-</v>
          </cell>
          <cell r="H75">
            <v>0.16982088218140085</v>
          </cell>
          <cell r="I75" t="str">
            <v>Jam</v>
          </cell>
        </row>
        <row r="78">
          <cell r="A78" t="str">
            <v>2.d.</v>
          </cell>
          <cell r="C78" t="str">
            <v>ALAT  BANTU</v>
          </cell>
        </row>
        <row r="79">
          <cell r="C79" t="str">
            <v>Diperlukan alat-alat bantu kecil</v>
          </cell>
          <cell r="J79" t="str">
            <v>Lump Sump</v>
          </cell>
        </row>
        <row r="80">
          <cell r="C80" t="str">
            <v>- Sekop</v>
          </cell>
        </row>
        <row r="81">
          <cell r="C81" t="str">
            <v>- Keranjang + Sapu</v>
          </cell>
        </row>
        <row r="83">
          <cell r="A83" t="str">
            <v xml:space="preserve">   3.</v>
          </cell>
          <cell r="C83" t="str">
            <v>TENAGA</v>
          </cell>
        </row>
        <row r="84">
          <cell r="C84" t="str">
            <v>Produksi menentukan : EXCAVATOR</v>
          </cell>
          <cell r="G84" t="str">
            <v>Q1</v>
          </cell>
          <cell r="H84">
            <v>109.5757097791798</v>
          </cell>
          <cell r="I84" t="str">
            <v>M3/Jam</v>
          </cell>
        </row>
        <row r="85">
          <cell r="C85" t="str">
            <v>Produksi Galian / hari  =  Tk x Q1</v>
          </cell>
          <cell r="G85" t="str">
            <v>Qt</v>
          </cell>
          <cell r="H85">
            <v>767.02996845425866</v>
          </cell>
          <cell r="I85" t="str">
            <v>M3</v>
          </cell>
        </row>
        <row r="86">
          <cell r="C86" t="str">
            <v>Kebutuhan tenaga :</v>
          </cell>
        </row>
        <row r="87">
          <cell r="D87" t="str">
            <v>- Pekerja</v>
          </cell>
          <cell r="G87" t="str">
            <v>P</v>
          </cell>
          <cell r="H87">
            <v>4</v>
          </cell>
          <cell r="I87" t="str">
            <v>orang</v>
          </cell>
        </row>
        <row r="88">
          <cell r="D88" t="str">
            <v>- Mandor</v>
          </cell>
          <cell r="G88" t="str">
            <v>M</v>
          </cell>
          <cell r="H88">
            <v>1</v>
          </cell>
          <cell r="I88" t="str">
            <v>orang</v>
          </cell>
        </row>
        <row r="90">
          <cell r="C90" t="str">
            <v>Koefisien tenaga / M3   :</v>
          </cell>
        </row>
        <row r="91">
          <cell r="D91" t="str">
            <v>- Pekerja</v>
          </cell>
          <cell r="E91" t="str">
            <v>= (Tk x P) : Qt</v>
          </cell>
          <cell r="G91" t="str">
            <v>(L01)</v>
          </cell>
          <cell r="H91">
            <v>3.6504440701875605E-2</v>
          </cell>
          <cell r="I91" t="str">
            <v>Jam</v>
          </cell>
        </row>
        <row r="92">
          <cell r="D92" t="str">
            <v>- Mandor</v>
          </cell>
          <cell r="E92" t="str">
            <v>= (Tk x M) : Qt</v>
          </cell>
          <cell r="G92" t="str">
            <v>(L03)</v>
          </cell>
          <cell r="H92">
            <v>9.1261101754689013E-3</v>
          </cell>
          <cell r="I92" t="str">
            <v>Jam</v>
          </cell>
        </row>
        <row r="94">
          <cell r="A94" t="str">
            <v>4.</v>
          </cell>
          <cell r="C94" t="str">
            <v>HARGA DASAR SATUAN UPAH, BAHAN DAN ALAT</v>
          </cell>
        </row>
        <row r="95">
          <cell r="C95" t="str">
            <v>Lihat lampiran.</v>
          </cell>
        </row>
        <row r="97">
          <cell r="A97" t="str">
            <v>5.</v>
          </cell>
          <cell r="C97" t="str">
            <v>ANALISA HARGA SATUAN PEKERJAAN</v>
          </cell>
        </row>
        <row r="98">
          <cell r="C98" t="str">
            <v>Lihat perhitungan dalam FORMULIR STANDAR UNTUK</v>
          </cell>
        </row>
        <row r="99">
          <cell r="C99" t="str">
            <v>PEREKEMAN ANALISA MASING-MASING HARGA</v>
          </cell>
        </row>
        <row r="100">
          <cell r="C100" t="str">
            <v>SATUAN.</v>
          </cell>
        </row>
        <row r="101">
          <cell r="C101" t="str">
            <v>Didapat Harga Satuan Pekerjaan :</v>
          </cell>
        </row>
        <row r="103">
          <cell r="C103" t="str">
            <v xml:space="preserve">Rp.  </v>
          </cell>
          <cell r="D103">
            <v>32339.519957085515</v>
          </cell>
          <cell r="E103" t="str">
            <v xml:space="preserve"> / M3</v>
          </cell>
        </row>
        <row r="106">
          <cell r="A106" t="str">
            <v>6.</v>
          </cell>
          <cell r="C106" t="str">
            <v>WAKTU PELAKSANAAN YANG DIPERLUKAN</v>
          </cell>
        </row>
        <row r="107">
          <cell r="C107" t="str">
            <v>Masa Pelaksanaan :</v>
          </cell>
          <cell r="D107" t="str">
            <v>. . . . . . . . . . . .</v>
          </cell>
          <cell r="E107" t="str">
            <v>bulan</v>
          </cell>
        </row>
        <row r="109">
          <cell r="A109" t="str">
            <v>7.</v>
          </cell>
          <cell r="C109" t="str">
            <v>VOLUME PEKERJAAN YANG DIPERLUKAN</v>
          </cell>
        </row>
        <row r="110">
          <cell r="C110" t="str">
            <v>Volume pekerjaan  :</v>
          </cell>
          <cell r="D110">
            <v>1</v>
          </cell>
          <cell r="E110" t="str">
            <v>M3</v>
          </cell>
        </row>
        <row r="121">
          <cell r="T121" t="str">
            <v xml:space="preserve">Analisa LI-22 </v>
          </cell>
        </row>
        <row r="122">
          <cell r="T122" t="str">
            <v xml:space="preserve">Analisa EI-22 </v>
          </cell>
        </row>
        <row r="123">
          <cell r="A123" t="str">
            <v>ITEM PEMBAYARAN NO.</v>
          </cell>
          <cell r="D123" t="str">
            <v>:  2.2</v>
          </cell>
          <cell r="E123" t="str">
            <v>oke</v>
          </cell>
          <cell r="J123" t="str">
            <v xml:space="preserve">Analisa EI-22 </v>
          </cell>
        </row>
        <row r="124">
          <cell r="A124" t="str">
            <v>JENIS PEKERJAAN</v>
          </cell>
          <cell r="D124" t="str">
            <v>:  Pasangan Batu Dengan Mortar untuk Saluran</v>
          </cell>
          <cell r="L124" t="str">
            <v>FORMULIR STANDAR UNTUK</v>
          </cell>
        </row>
        <row r="125">
          <cell r="A125" t="str">
            <v>SATUAN PEMBAYARAN</v>
          </cell>
          <cell r="D125" t="str">
            <v>:  M3</v>
          </cell>
          <cell r="J125" t="str">
            <v xml:space="preserve">         URAIAN ANALISA HARGA SATUAN</v>
          </cell>
          <cell r="L125" t="str">
            <v>PEREKAMAN ANALISA MASING-MASING HARGA SATUAN</v>
          </cell>
        </row>
        <row r="126">
          <cell r="L126" t="str">
            <v xml:space="preserve">                                                                                                            </v>
          </cell>
        </row>
        <row r="128">
          <cell r="A128" t="str">
            <v>No.</v>
          </cell>
          <cell r="C128" t="str">
            <v>U R A I A N</v>
          </cell>
          <cell r="G128" t="str">
            <v>KODE</v>
          </cell>
          <cell r="H128" t="str">
            <v>KOEF.</v>
          </cell>
          <cell r="I128" t="str">
            <v>SATUAN</v>
          </cell>
          <cell r="J128" t="str">
            <v>KETERANGAN</v>
          </cell>
        </row>
        <row r="129">
          <cell r="L129" t="str">
            <v>PROYEK</v>
          </cell>
          <cell r="O129" t="str">
            <v>:</v>
          </cell>
        </row>
        <row r="130">
          <cell r="L130" t="str">
            <v>No. PAKET KONTRAK</v>
          </cell>
          <cell r="O130" t="str">
            <v>:</v>
          </cell>
        </row>
        <row r="131">
          <cell r="A131" t="str">
            <v>I.</v>
          </cell>
          <cell r="C131" t="str">
            <v>ASUMSI</v>
          </cell>
          <cell r="L131" t="str">
            <v>NAMA PAKET</v>
          </cell>
          <cell r="O131" t="str">
            <v>:</v>
          </cell>
        </row>
        <row r="132">
          <cell r="A132">
            <v>1</v>
          </cell>
          <cell r="C132" t="str">
            <v>Menggunakan alat (cara mekanik)</v>
          </cell>
          <cell r="L132" t="str">
            <v>PROP / KAB / KODYA</v>
          </cell>
          <cell r="O132" t="str">
            <v>:</v>
          </cell>
        </row>
        <row r="133">
          <cell r="A133">
            <v>2</v>
          </cell>
          <cell r="C133" t="str">
            <v>Lokasi pekerjaan : sepanjang jalan</v>
          </cell>
          <cell r="L133" t="str">
            <v>ITEM PEMBAYARAN NO.</v>
          </cell>
          <cell r="O133" t="str">
            <v>:  2.2</v>
          </cell>
          <cell r="R133" t="str">
            <v>PERKIRAAN VOL. PEK.</v>
          </cell>
          <cell r="T133" t="str">
            <v>:</v>
          </cell>
          <cell r="U133">
            <v>1</v>
          </cell>
        </row>
        <row r="134">
          <cell r="A134">
            <v>3</v>
          </cell>
          <cell r="C134" t="str">
            <v>Bahan dasar (batu, pasir dan semen) diterima</v>
          </cell>
          <cell r="L134" t="str">
            <v>JENIS PEKERJAAN</v>
          </cell>
          <cell r="O134" t="str">
            <v>:  Pasangan Batu Dengan Mortar untuk Saluran</v>
          </cell>
          <cell r="R134" t="str">
            <v>TOTAL HARGA (Rp.)</v>
          </cell>
          <cell r="T134" t="str">
            <v>:</v>
          </cell>
          <cell r="U134">
            <v>32339.52</v>
          </cell>
        </row>
        <row r="135">
          <cell r="C135" t="str">
            <v>seluruhnya di lokasi pekerjaan</v>
          </cell>
          <cell r="L135" t="str">
            <v>SATUAN PEMBAYARAN</v>
          </cell>
          <cell r="O135" t="str">
            <v>:  M3</v>
          </cell>
          <cell r="R135" t="str">
            <v>% THD. BIAYA PROYEK</v>
          </cell>
          <cell r="T135" t="str">
            <v>:</v>
          </cell>
          <cell r="U135" t="e">
            <v>#DIV/0!</v>
          </cell>
        </row>
        <row r="136">
          <cell r="A136">
            <v>4</v>
          </cell>
          <cell r="C136" t="str">
            <v>Jarak rata-rata Base camp ke lokasi pekerjaan</v>
          </cell>
          <cell r="G136" t="str">
            <v>L</v>
          </cell>
          <cell r="H136">
            <v>8.7249999999999996</v>
          </cell>
          <cell r="I136" t="str">
            <v>KM</v>
          </cell>
        </row>
        <row r="137">
          <cell r="A137">
            <v>5</v>
          </cell>
          <cell r="C137" t="str">
            <v>Jam kerja efektif per-hari</v>
          </cell>
          <cell r="G137" t="str">
            <v>Tk</v>
          </cell>
          <cell r="H137">
            <v>7</v>
          </cell>
          <cell r="I137" t="str">
            <v>jam</v>
          </cell>
        </row>
        <row r="138">
          <cell r="A138">
            <v>6</v>
          </cell>
          <cell r="C138" t="str">
            <v>Perbandingan Pasir &amp; Semen</v>
          </cell>
          <cell r="E138" t="str">
            <v>: - Volume Semen</v>
          </cell>
          <cell r="G138" t="str">
            <v>Sm</v>
          </cell>
          <cell r="H138">
            <v>20</v>
          </cell>
          <cell r="I138" t="str">
            <v>%</v>
          </cell>
          <cell r="J138" t="str">
            <v xml:space="preserve"> Kuat Tekan min.</v>
          </cell>
          <cell r="Q138" t="str">
            <v>PERKIRAAN</v>
          </cell>
          <cell r="R138" t="str">
            <v>HARGA</v>
          </cell>
          <cell r="S138" t="str">
            <v>JUMLAH</v>
          </cell>
        </row>
        <row r="139">
          <cell r="E139" t="str">
            <v>: - Volume Pasir</v>
          </cell>
          <cell r="G139" t="str">
            <v>Ps</v>
          </cell>
          <cell r="H139">
            <v>80</v>
          </cell>
          <cell r="I139" t="str">
            <v>%</v>
          </cell>
          <cell r="J139" t="str">
            <v xml:space="preserve"> 50 kg/cm2</v>
          </cell>
          <cell r="L139" t="str">
            <v>NO.</v>
          </cell>
          <cell r="N139" t="str">
            <v>KOMPONEN</v>
          </cell>
          <cell r="P139" t="str">
            <v>SATUAN</v>
          </cell>
          <cell r="Q139" t="str">
            <v>KUANTITAS</v>
          </cell>
          <cell r="R139" t="str">
            <v>SATUAN</v>
          </cell>
          <cell r="S139" t="str">
            <v>HARGA</v>
          </cell>
        </row>
        <row r="140">
          <cell r="A140">
            <v>7</v>
          </cell>
          <cell r="C140" t="str">
            <v>Perbandingan Batu &amp; Mortar  :</v>
          </cell>
          <cell r="R140" t="str">
            <v>(Rp.)</v>
          </cell>
          <cell r="S140" t="str">
            <v>(Rp.)</v>
          </cell>
        </row>
        <row r="141">
          <cell r="C141" t="str">
            <v>- Batu</v>
          </cell>
          <cell r="G141" t="str">
            <v>Bt</v>
          </cell>
          <cell r="H141">
            <v>60</v>
          </cell>
          <cell r="I141" t="str">
            <v>%</v>
          </cell>
        </row>
        <row r="142">
          <cell r="C142" t="str">
            <v>- Mortar (campuran semen &amp; pasir)</v>
          </cell>
          <cell r="G142" t="str">
            <v>Mr</v>
          </cell>
          <cell r="H142">
            <v>40</v>
          </cell>
          <cell r="I142" t="str">
            <v>%</v>
          </cell>
        </row>
        <row r="143">
          <cell r="A143">
            <v>8</v>
          </cell>
          <cell r="C143" t="str">
            <v>Berat Jenis Bahan  :</v>
          </cell>
          <cell r="L143" t="str">
            <v>A.</v>
          </cell>
          <cell r="N143" t="str">
            <v>TENAGA</v>
          </cell>
        </row>
        <row r="144">
          <cell r="C144" t="str">
            <v>- Pasangan Batu Dengan Mortar</v>
          </cell>
          <cell r="G144" t="str">
            <v>D1</v>
          </cell>
          <cell r="H144">
            <v>2.4</v>
          </cell>
          <cell r="I144" t="str">
            <v>ton/M3</v>
          </cell>
        </row>
        <row r="145">
          <cell r="C145" t="str">
            <v>- Batu</v>
          </cell>
          <cell r="G145" t="str">
            <v>D2</v>
          </cell>
          <cell r="H145">
            <v>1.6</v>
          </cell>
          <cell r="I145" t="str">
            <v>ton/M3</v>
          </cell>
          <cell r="L145" t="str">
            <v>1.</v>
          </cell>
          <cell r="N145" t="str">
            <v>Pekerja</v>
          </cell>
          <cell r="O145" t="str">
            <v>(L01)</v>
          </cell>
          <cell r="P145" t="str">
            <v>jam</v>
          </cell>
          <cell r="Q145">
            <v>5.2208835341365463</v>
          </cell>
          <cell r="R145">
            <v>2857.14</v>
          </cell>
          <cell r="U145">
            <v>14916.795180722891</v>
          </cell>
        </row>
        <row r="146">
          <cell r="C146" t="str">
            <v>- Adukan (mortar)</v>
          </cell>
          <cell r="G146" t="str">
            <v>D3</v>
          </cell>
          <cell r="H146">
            <v>1.8</v>
          </cell>
          <cell r="I146" t="str">
            <v>ton/M3</v>
          </cell>
          <cell r="L146" t="str">
            <v>2.</v>
          </cell>
          <cell r="N146" t="str">
            <v>Tukang Batu</v>
          </cell>
          <cell r="O146" t="str">
            <v>(L02)</v>
          </cell>
          <cell r="P146" t="str">
            <v>jam</v>
          </cell>
          <cell r="Q146">
            <v>1.5662650602409638</v>
          </cell>
          <cell r="R146">
            <v>4285.71</v>
          </cell>
          <cell r="U146">
            <v>6712.5578313253009</v>
          </cell>
        </row>
        <row r="147">
          <cell r="C147" t="str">
            <v>- Pasir</v>
          </cell>
          <cell r="G147" t="str">
            <v>D4</v>
          </cell>
          <cell r="H147">
            <v>1.67</v>
          </cell>
          <cell r="I147" t="str">
            <v>ton/M3</v>
          </cell>
          <cell r="L147" t="str">
            <v>3.</v>
          </cell>
          <cell r="N147" t="str">
            <v>Mandor</v>
          </cell>
          <cell r="O147" t="str">
            <v>(L03)</v>
          </cell>
          <cell r="P147" t="str">
            <v>jam</v>
          </cell>
          <cell r="Q147">
            <v>0.52208835341365456</v>
          </cell>
          <cell r="R147">
            <v>3214.29</v>
          </cell>
          <cell r="U147">
            <v>1678.1433734939758</v>
          </cell>
        </row>
        <row r="148">
          <cell r="C148" t="str">
            <v>- Semen Portland</v>
          </cell>
          <cell r="G148" t="str">
            <v>D5</v>
          </cell>
          <cell r="H148">
            <v>1.44</v>
          </cell>
          <cell r="I148" t="str">
            <v>ton/M3</v>
          </cell>
        </row>
        <row r="149">
          <cell r="Q149" t="str">
            <v xml:space="preserve">JUMLAH HARGA TENAGA   </v>
          </cell>
          <cell r="U149">
            <v>23307.496385542167</v>
          </cell>
        </row>
        <row r="150">
          <cell r="A150" t="str">
            <v>II.</v>
          </cell>
          <cell r="C150" t="str">
            <v>URUTAN KERJA</v>
          </cell>
        </row>
        <row r="151">
          <cell r="A151">
            <v>1</v>
          </cell>
          <cell r="C151" t="str">
            <v>Semen, pasir dan air dicampur dan diaduk menjadi</v>
          </cell>
          <cell r="L151" t="str">
            <v>B.</v>
          </cell>
          <cell r="N151" t="str">
            <v>BAHAN</v>
          </cell>
        </row>
        <row r="152">
          <cell r="C152" t="str">
            <v>mortar dengan menggunakan alat bantu</v>
          </cell>
        </row>
        <row r="153">
          <cell r="A153">
            <v>2</v>
          </cell>
          <cell r="C153" t="str">
            <v>Batu dibersihkan dan dibasahi seluruh permukaannya</v>
          </cell>
          <cell r="L153" t="str">
            <v>1.</v>
          </cell>
          <cell r="N153" t="str">
            <v>Batu</v>
          </cell>
          <cell r="O153" t="str">
            <v>(M02)</v>
          </cell>
          <cell r="P153" t="str">
            <v>M3</v>
          </cell>
          <cell r="Q153">
            <v>1.08</v>
          </cell>
          <cell r="R153">
            <v>166100</v>
          </cell>
          <cell r="U153">
            <v>179388</v>
          </cell>
        </row>
        <row r="154">
          <cell r="C154" t="str">
            <v>sebelum dipasang</v>
          </cell>
          <cell r="L154" t="str">
            <v>2.</v>
          </cell>
          <cell r="N154" t="str">
            <v>Semen (PC)</v>
          </cell>
          <cell r="O154" t="str">
            <v>(M12)</v>
          </cell>
          <cell r="P154" t="str">
            <v>zak</v>
          </cell>
          <cell r="Q154">
            <v>161</v>
          </cell>
          <cell r="R154">
            <v>688.65625</v>
          </cell>
          <cell r="U154">
            <v>110873.65625</v>
          </cell>
        </row>
        <row r="155">
          <cell r="A155">
            <v>3</v>
          </cell>
          <cell r="C155" t="str">
            <v>Penyelesaian dan perapihan setelah pemasangan</v>
          </cell>
          <cell r="L155" t="str">
            <v>3.</v>
          </cell>
          <cell r="N155" t="str">
            <v>Pasir</v>
          </cell>
          <cell r="O155" t="str">
            <v>(M01)</v>
          </cell>
          <cell r="P155" t="str">
            <v>M3</v>
          </cell>
          <cell r="Q155">
            <v>0.48287425149700602</v>
          </cell>
          <cell r="R155">
            <v>54300</v>
          </cell>
          <cell r="U155">
            <v>26220.071856287428</v>
          </cell>
        </row>
        <row r="157">
          <cell r="A157" t="str">
            <v>III.</v>
          </cell>
          <cell r="C157" t="str">
            <v>PEMAKAIAN BAHAN, ALAT DAN TENAGA</v>
          </cell>
        </row>
        <row r="159">
          <cell r="A159" t="str">
            <v xml:space="preserve">   1.</v>
          </cell>
          <cell r="C159" t="str">
            <v>BAHAN</v>
          </cell>
        </row>
        <row r="160">
          <cell r="A160" t="str">
            <v>1.a.</v>
          </cell>
          <cell r="C160" t="str">
            <v>Batu     -----&gt;</v>
          </cell>
          <cell r="D160" t="str">
            <v>{(Bt x D1 x 1 M3) : D2} x 1.20</v>
          </cell>
          <cell r="G160" t="str">
            <v>(M02)</v>
          </cell>
          <cell r="H160">
            <v>1.08</v>
          </cell>
          <cell r="I160" t="str">
            <v>M3</v>
          </cell>
          <cell r="J160" t="str">
            <v xml:space="preserve"> Lepas</v>
          </cell>
          <cell r="Q160" t="str">
            <v xml:space="preserve">JUMLAH HARGA BAHAN   </v>
          </cell>
          <cell r="U160">
            <v>316481.72810628742</v>
          </cell>
        </row>
        <row r="161">
          <cell r="A161" t="str">
            <v>1.b.</v>
          </cell>
          <cell r="C161" t="str">
            <v>Semen    ----&gt;</v>
          </cell>
          <cell r="D161" t="str">
            <v>Sm x {(Mr x D1 x 1 M3} : D3} x 1.05</v>
          </cell>
          <cell r="H161">
            <v>0.11200000000000002</v>
          </cell>
          <cell r="I161" t="str">
            <v>M3</v>
          </cell>
        </row>
        <row r="162">
          <cell r="D162" t="str">
            <v>x {D5 x (1000)}</v>
          </cell>
          <cell r="G162" t="str">
            <v>(M12)</v>
          </cell>
          <cell r="H162">
            <v>161</v>
          </cell>
          <cell r="I162" t="str">
            <v>Kg</v>
          </cell>
          <cell r="L162" t="str">
            <v>C.</v>
          </cell>
          <cell r="N162" t="str">
            <v>PERALATAN</v>
          </cell>
        </row>
        <row r="163">
          <cell r="A163" t="str">
            <v>1.c.</v>
          </cell>
          <cell r="C163" t="str">
            <v>Pasir    -----&gt;</v>
          </cell>
          <cell r="D163" t="str">
            <v>Ps x {(Mr x D1 x 1 M3) : D4} x 1.05</v>
          </cell>
          <cell r="G163" t="str">
            <v>(M01)</v>
          </cell>
          <cell r="H163">
            <v>0.48287425149700602</v>
          </cell>
          <cell r="I163" t="str">
            <v>M3</v>
          </cell>
        </row>
        <row r="164">
          <cell r="L164" t="str">
            <v>1.</v>
          </cell>
          <cell r="N164" t="str">
            <v>Conc. Mixer</v>
          </cell>
          <cell r="O164" t="str">
            <v>(E06)</v>
          </cell>
          <cell r="P164" t="str">
            <v>jam</v>
          </cell>
          <cell r="Q164">
            <v>0.52208835341365456</v>
          </cell>
          <cell r="R164">
            <v>47472.058636363639</v>
          </cell>
          <cell r="U164">
            <v>24784.60892661555</v>
          </cell>
        </row>
        <row r="165">
          <cell r="A165" t="str">
            <v>2.</v>
          </cell>
          <cell r="C165" t="str">
            <v>ALAT</v>
          </cell>
          <cell r="L165" t="str">
            <v>2.</v>
          </cell>
          <cell r="N165" t="str">
            <v>Alat Bantu</v>
          </cell>
          <cell r="P165" t="str">
            <v>Ls</v>
          </cell>
          <cell r="Q165">
            <v>1</v>
          </cell>
          <cell r="R165">
            <v>900</v>
          </cell>
          <cell r="U165">
            <v>900</v>
          </cell>
        </row>
        <row r="166">
          <cell r="A166" t="str">
            <v>2.a.</v>
          </cell>
          <cell r="C166" t="str">
            <v>CONCRETE MIXER</v>
          </cell>
          <cell r="G166" t="str">
            <v>(E06)</v>
          </cell>
        </row>
        <row r="167">
          <cell r="C167" t="str">
            <v>Kapasitas Alat</v>
          </cell>
          <cell r="G167" t="str">
            <v>V</v>
          </cell>
          <cell r="H167">
            <v>500</v>
          </cell>
          <cell r="I167" t="str">
            <v>Liter</v>
          </cell>
        </row>
        <row r="168">
          <cell r="C168" t="str">
            <v>Faktor Efisiensi Alat</v>
          </cell>
          <cell r="G168" t="str">
            <v>Fa</v>
          </cell>
          <cell r="H168">
            <v>0.83</v>
          </cell>
          <cell r="I168" t="str">
            <v>-</v>
          </cell>
        </row>
        <row r="169">
          <cell r="C169" t="str">
            <v>Waktu siklus   :</v>
          </cell>
          <cell r="D169" t="str">
            <v>(T1 + T2 + T3 + T4)</v>
          </cell>
        </row>
        <row r="170">
          <cell r="C170" t="str">
            <v>-  Memuat</v>
          </cell>
          <cell r="G170" t="str">
            <v>T1</v>
          </cell>
          <cell r="H170">
            <v>5</v>
          </cell>
          <cell r="I170" t="str">
            <v>menit</v>
          </cell>
        </row>
        <row r="171">
          <cell r="C171" t="str">
            <v>-  Mengaduk</v>
          </cell>
          <cell r="G171" t="str">
            <v>T2</v>
          </cell>
          <cell r="H171">
            <v>3.5</v>
          </cell>
          <cell r="I171" t="str">
            <v>menit</v>
          </cell>
          <cell r="Q171" t="str">
            <v xml:space="preserve">JUMLAH HARGA PERALATAN   </v>
          </cell>
          <cell r="U171">
            <v>25684.60892661555</v>
          </cell>
        </row>
        <row r="172">
          <cell r="C172" t="str">
            <v>-  Menuang</v>
          </cell>
          <cell r="G172" t="str">
            <v>T3</v>
          </cell>
          <cell r="H172">
            <v>3</v>
          </cell>
          <cell r="I172" t="str">
            <v>menit</v>
          </cell>
        </row>
        <row r="173">
          <cell r="C173" t="str">
            <v>-  Menunggu, dll.</v>
          </cell>
          <cell r="G173" t="str">
            <v>T4</v>
          </cell>
          <cell r="H173">
            <v>1.5</v>
          </cell>
          <cell r="I173" t="str">
            <v>menit</v>
          </cell>
          <cell r="L173" t="str">
            <v>D.</v>
          </cell>
          <cell r="N173" t="str">
            <v>JUMLAH HARGA TENAGA, BAHAN DAN PERALATAN  ( A + B + C )</v>
          </cell>
          <cell r="U173">
            <v>365473.83341844514</v>
          </cell>
        </row>
        <row r="174">
          <cell r="G174" t="str">
            <v>Ts1</v>
          </cell>
          <cell r="H174">
            <v>13</v>
          </cell>
          <cell r="I174" t="str">
            <v>menit</v>
          </cell>
          <cell r="L174" t="str">
            <v>E.</v>
          </cell>
          <cell r="N174" t="str">
            <v>OVERHEAD &amp; PROFIT</v>
          </cell>
          <cell r="P174">
            <v>10</v>
          </cell>
          <cell r="Q174" t="str">
            <v>%  x  D</v>
          </cell>
          <cell r="U174">
            <v>36547.383341844514</v>
          </cell>
        </row>
        <row r="175">
          <cell r="L175" t="str">
            <v>F.</v>
          </cell>
          <cell r="N175" t="str">
            <v>HARGA SATUAN PEKERJAAN  ( D + E )</v>
          </cell>
          <cell r="U175">
            <v>402021.21676028962</v>
          </cell>
        </row>
        <row r="176">
          <cell r="C176" t="str">
            <v>Kap. Prod. / jam  =</v>
          </cell>
          <cell r="D176" t="str">
            <v>V x Fa x 60</v>
          </cell>
          <cell r="G176" t="str">
            <v>Q1</v>
          </cell>
          <cell r="H176">
            <v>1.9153846153846155</v>
          </cell>
          <cell r="I176" t="str">
            <v>M3</v>
          </cell>
          <cell r="L176" t="str">
            <v>Note: 1</v>
          </cell>
          <cell r="N176" t="str">
            <v>SATUAN dapat berdasarkan atas jam operasi untuk Tenaga Kerja dan Peralatan, volume dan/atau ukuran</v>
          </cell>
        </row>
        <row r="177">
          <cell r="D177" t="str">
            <v>1000 x Ts1</v>
          </cell>
          <cell r="N177" t="str">
            <v>berat untuk bahan-bahan.</v>
          </cell>
        </row>
        <row r="178">
          <cell r="L178">
            <v>2</v>
          </cell>
          <cell r="N178" t="str">
            <v>Kuantitas satuan adalah kuantitas setiap komponen untuk menyelesaikan satu satuan pekerjaan dari nomor</v>
          </cell>
        </row>
        <row r="179">
          <cell r="C179" t="str">
            <v>Koefisien Alat / M3</v>
          </cell>
          <cell r="D179" t="str">
            <v xml:space="preserve">  =   1  :  Q1</v>
          </cell>
          <cell r="G179" t="str">
            <v>(E06)</v>
          </cell>
          <cell r="H179">
            <v>0.52208835341365456</v>
          </cell>
          <cell r="I179" t="str">
            <v>jam</v>
          </cell>
          <cell r="N179" t="str">
            <v>mata pembayaran.</v>
          </cell>
        </row>
        <row r="180">
          <cell r="L180">
            <v>3</v>
          </cell>
          <cell r="N180" t="str">
            <v>Biaya satuan untuk peralatan sudah termasuk bahan bakar, bahan habis dipakai dan operator.</v>
          </cell>
        </row>
        <row r="181">
          <cell r="L181">
            <v>4</v>
          </cell>
          <cell r="N181" t="str">
            <v>Biaya satuan sudah termasuk pengeluaran untuk seluruh pajak yang berkaitan (tetapi tidak termasuk PPN</v>
          </cell>
        </row>
        <row r="182">
          <cell r="N182" t="str">
            <v>yang dibayar dari kontrak) dan biaya-biaya lainnya.</v>
          </cell>
        </row>
        <row r="183">
          <cell r="J183" t="str">
            <v>Berlanjut ke halaman berikut</v>
          </cell>
        </row>
        <row r="184">
          <cell r="A184" t="str">
            <v>ITEM PEMBAYARAN NO.</v>
          </cell>
          <cell r="D184" t="str">
            <v>:  2.2</v>
          </cell>
          <cell r="J184" t="str">
            <v xml:space="preserve">Analisa EI-22 </v>
          </cell>
        </row>
        <row r="185">
          <cell r="A185" t="str">
            <v>JENIS PEKERJAAN</v>
          </cell>
          <cell r="D185" t="str">
            <v>:  Pasangan Batu Dengan Mortar untuk Saluran</v>
          </cell>
        </row>
        <row r="186">
          <cell r="A186" t="str">
            <v>SATUAN PEMBAYARAN</v>
          </cell>
          <cell r="D186" t="str">
            <v>:  M3</v>
          </cell>
          <cell r="J186" t="str">
            <v xml:space="preserve">         URAIAN ANALISA HARGA SATUAN</v>
          </cell>
        </row>
        <row r="187">
          <cell r="J187" t="str">
            <v>Lanjutan</v>
          </cell>
        </row>
        <row r="189">
          <cell r="A189" t="str">
            <v>No.</v>
          </cell>
          <cell r="C189" t="str">
            <v>U R A I A N</v>
          </cell>
          <cell r="G189" t="str">
            <v>KODE</v>
          </cell>
          <cell r="H189" t="str">
            <v>KOEF.</v>
          </cell>
          <cell r="I189" t="str">
            <v>SATUAN</v>
          </cell>
          <cell r="J189" t="str">
            <v>KETERANGAN</v>
          </cell>
        </row>
        <row r="193">
          <cell r="A193" t="str">
            <v>2.a.</v>
          </cell>
          <cell r="C193" t="str">
            <v>ALAT BANTU</v>
          </cell>
          <cell r="I193" t="str">
            <v>Lump Sum</v>
          </cell>
        </row>
        <row r="194">
          <cell r="C194" t="str">
            <v>Diperlukan  :</v>
          </cell>
        </row>
        <row r="195">
          <cell r="C195" t="str">
            <v>- Sekop</v>
          </cell>
          <cell r="D195" t="str">
            <v>=  4  buah</v>
          </cell>
        </row>
        <row r="196">
          <cell r="C196" t="str">
            <v>- Pacul</v>
          </cell>
          <cell r="D196" t="str">
            <v>=  4  buah</v>
          </cell>
        </row>
        <row r="197">
          <cell r="C197" t="str">
            <v>- Sendok Semen</v>
          </cell>
          <cell r="D197" t="str">
            <v>=  4  buah</v>
          </cell>
        </row>
        <row r="198">
          <cell r="C198" t="str">
            <v>- Ember Cor</v>
          </cell>
          <cell r="D198" t="str">
            <v>=  8  buah</v>
          </cell>
        </row>
        <row r="199">
          <cell r="C199" t="str">
            <v>- Gerobak Dorong</v>
          </cell>
          <cell r="D199" t="str">
            <v>=  3  buah</v>
          </cell>
        </row>
        <row r="203">
          <cell r="A203" t="str">
            <v>3.</v>
          </cell>
          <cell r="C203" t="str">
            <v>TENAGA</v>
          </cell>
        </row>
        <row r="204">
          <cell r="C204" t="str">
            <v>Produksi Pas. Batu yang menentukan</v>
          </cell>
          <cell r="E204" t="str">
            <v>( Prod. C. Mixer )</v>
          </cell>
          <cell r="G204" t="str">
            <v>Q1</v>
          </cell>
          <cell r="H204">
            <v>1.9153846153846155</v>
          </cell>
          <cell r="I204" t="str">
            <v>M3/Jam</v>
          </cell>
        </row>
        <row r="205">
          <cell r="C205" t="str">
            <v>Produksi Pasangan Batu dalam 1 hari  =  Tk x Q1</v>
          </cell>
          <cell r="G205" t="str">
            <v>Qt</v>
          </cell>
          <cell r="H205">
            <v>13.407692307692308</v>
          </cell>
          <cell r="I205" t="str">
            <v>M3</v>
          </cell>
        </row>
        <row r="207">
          <cell r="C207" t="str">
            <v>Kebutuhan tenaga :</v>
          </cell>
          <cell r="D207" t="str">
            <v>- Mandor</v>
          </cell>
          <cell r="G207" t="str">
            <v>M</v>
          </cell>
          <cell r="H207">
            <v>1</v>
          </cell>
          <cell r="I207" t="str">
            <v>orang</v>
          </cell>
        </row>
        <row r="208">
          <cell r="D208" t="str">
            <v>- Tukang Batu</v>
          </cell>
          <cell r="G208" t="str">
            <v>Tb</v>
          </cell>
          <cell r="H208">
            <v>3</v>
          </cell>
          <cell r="I208" t="str">
            <v>orang</v>
          </cell>
        </row>
        <row r="209">
          <cell r="D209" t="str">
            <v>- Pekerja</v>
          </cell>
          <cell r="G209" t="str">
            <v>P</v>
          </cell>
          <cell r="H209">
            <v>10</v>
          </cell>
          <cell r="I209" t="str">
            <v>orang</v>
          </cell>
        </row>
        <row r="211">
          <cell r="C211" t="str">
            <v>Koefisien Tenaga / M3   :</v>
          </cell>
        </row>
        <row r="212">
          <cell r="D212" t="str">
            <v>-  Mandor</v>
          </cell>
          <cell r="E212" t="str">
            <v>= (Tk x M) : Qt</v>
          </cell>
          <cell r="G212" t="str">
            <v>(L03)</v>
          </cell>
          <cell r="H212">
            <v>0.52208835341365456</v>
          </cell>
          <cell r="I212" t="str">
            <v>jam</v>
          </cell>
        </row>
        <row r="213">
          <cell r="D213" t="str">
            <v>-  Tukang</v>
          </cell>
          <cell r="E213" t="str">
            <v>= (Tk x Tb) : Qt</v>
          </cell>
          <cell r="G213" t="str">
            <v>(L02)</v>
          </cell>
          <cell r="H213">
            <v>1.5662650602409638</v>
          </cell>
          <cell r="I213" t="str">
            <v>jam</v>
          </cell>
        </row>
        <row r="214">
          <cell r="D214" t="str">
            <v>-  Pekerja</v>
          </cell>
          <cell r="E214" t="str">
            <v>= (Tk x P) : Qt</v>
          </cell>
          <cell r="G214" t="str">
            <v>(L01)</v>
          </cell>
          <cell r="H214">
            <v>5.2208835341365463</v>
          </cell>
          <cell r="I214" t="str">
            <v>jam</v>
          </cell>
        </row>
        <row r="216">
          <cell r="A216" t="str">
            <v>4.</v>
          </cell>
          <cell r="C216" t="str">
            <v>HARGA DASAR SATUAN UPAH, BAHAN DAN ALAT</v>
          </cell>
        </row>
        <row r="217">
          <cell r="C217" t="str">
            <v>Lihat lampiran.</v>
          </cell>
        </row>
        <row r="219">
          <cell r="A219" t="str">
            <v>5.</v>
          </cell>
          <cell r="C219" t="str">
            <v>ANALISA HARGA SATUAN PEKERJAAN</v>
          </cell>
        </row>
        <row r="220">
          <cell r="C220" t="str">
            <v>Lihat perhitungan dalam FORMULIR STANDAR UNTUK</v>
          </cell>
        </row>
        <row r="221">
          <cell r="C221" t="str">
            <v>PEREKEMAN ANALISA MASING-MASING HARGA</v>
          </cell>
        </row>
        <row r="222">
          <cell r="C222" t="str">
            <v>SATUAN.</v>
          </cell>
        </row>
        <row r="223">
          <cell r="C223" t="str">
            <v>Didapat Harga Satuan Pekerjaan :</v>
          </cell>
        </row>
        <row r="225">
          <cell r="C225" t="str">
            <v xml:space="preserve">Rp.  </v>
          </cell>
          <cell r="D225">
            <v>402021.21676028962</v>
          </cell>
          <cell r="E225" t="str">
            <v xml:space="preserve"> / M3</v>
          </cell>
        </row>
        <row r="228">
          <cell r="A228" t="str">
            <v>6.</v>
          </cell>
          <cell r="C228" t="str">
            <v>WAKTU PELAKSANAAN YANG DIPERLUKAN</v>
          </cell>
        </row>
        <row r="229">
          <cell r="C229" t="str">
            <v>Masa Pelaksanaan :</v>
          </cell>
          <cell r="D229" t="str">
            <v>. . . . . . . . . . . .</v>
          </cell>
          <cell r="E229" t="str">
            <v>bulan</v>
          </cell>
        </row>
        <row r="231">
          <cell r="A231" t="str">
            <v>7.</v>
          </cell>
          <cell r="C231" t="str">
            <v>VOLUME PEKERJAAN YANG DIPERLUKAN</v>
          </cell>
        </row>
        <row r="232">
          <cell r="C232" t="str">
            <v>Volume pekerjaan  :</v>
          </cell>
          <cell r="D232">
            <v>1</v>
          </cell>
          <cell r="E232" t="str">
            <v>M3</v>
          </cell>
        </row>
        <row r="242">
          <cell r="T242" t="str">
            <v xml:space="preserve">Analisa EI-231 </v>
          </cell>
        </row>
        <row r="243">
          <cell r="A243" t="str">
            <v>ITEM PEMBAYARAN NO.</v>
          </cell>
          <cell r="D243" t="str">
            <v>:  2.3 (1)</v>
          </cell>
          <cell r="J243" t="str">
            <v xml:space="preserve">Analisa EI-231 </v>
          </cell>
        </row>
        <row r="244">
          <cell r="A244" t="str">
            <v>JENIS PEKERJAAN</v>
          </cell>
          <cell r="D244" t="str">
            <v>:  Gorong2 Pipa Beton Bertulang Diameter &lt; 500 mm</v>
          </cell>
          <cell r="L244" t="str">
            <v>FORMULIR STANDAR UNTUK</v>
          </cell>
        </row>
        <row r="245">
          <cell r="A245" t="str">
            <v>SATUAN PEMBAYARAN</v>
          </cell>
          <cell r="D245" t="str">
            <v>:  M1</v>
          </cell>
          <cell r="J245" t="str">
            <v xml:space="preserve">         URAIAN ANALISA HARGA SATUAN</v>
          </cell>
          <cell r="L245" t="str">
            <v>PEREKAMAN ANALISA MASING-MASING HARGA SATUAN</v>
          </cell>
        </row>
        <row r="246">
          <cell r="L246" t="str">
            <v xml:space="preserve">                                                                                                            </v>
          </cell>
        </row>
        <row r="248">
          <cell r="A248" t="str">
            <v>No.</v>
          </cell>
          <cell r="C248" t="str">
            <v>U R A I A N</v>
          </cell>
          <cell r="G248" t="str">
            <v>KODE</v>
          </cell>
          <cell r="H248" t="str">
            <v>KOEF.</v>
          </cell>
          <cell r="I248" t="str">
            <v>SATUAN</v>
          </cell>
          <cell r="J248" t="str">
            <v>KETERANGAN</v>
          </cell>
        </row>
        <row r="249">
          <cell r="L249" t="str">
            <v>PROYEK</v>
          </cell>
          <cell r="O249" t="str">
            <v>:</v>
          </cell>
        </row>
        <row r="250">
          <cell r="L250" t="str">
            <v>No. PAKET KONTRAK</v>
          </cell>
          <cell r="O250" t="str">
            <v>:</v>
          </cell>
        </row>
        <row r="251">
          <cell r="A251" t="str">
            <v>I.</v>
          </cell>
          <cell r="C251" t="str">
            <v>ASUMSI</v>
          </cell>
          <cell r="L251" t="str">
            <v>NAMA PAKET</v>
          </cell>
          <cell r="O251" t="str">
            <v>:</v>
          </cell>
        </row>
        <row r="252">
          <cell r="A252">
            <v>1</v>
          </cell>
          <cell r="C252" t="str">
            <v>Pekerjaan dilakukan secara mekanik/manual</v>
          </cell>
          <cell r="L252" t="str">
            <v>PROP / KAB / KODYA</v>
          </cell>
          <cell r="O252" t="str">
            <v>:</v>
          </cell>
        </row>
        <row r="253">
          <cell r="A253">
            <v>2</v>
          </cell>
          <cell r="C253" t="str">
            <v>Lokasi pekerjaan : sepanjang jalan</v>
          </cell>
          <cell r="L253" t="str">
            <v>ITEM PEMBAYARAN NO.</v>
          </cell>
          <cell r="O253" t="str">
            <v>:  2.3 (1)</v>
          </cell>
          <cell r="R253" t="str">
            <v>PERKIRAAN VOL. PEK.</v>
          </cell>
          <cell r="T253" t="str">
            <v>:</v>
          </cell>
          <cell r="U253">
            <v>1</v>
          </cell>
        </row>
        <row r="254">
          <cell r="A254">
            <v>3</v>
          </cell>
          <cell r="C254" t="str">
            <v>Diameter bagian dalam gorong-gorong</v>
          </cell>
          <cell r="G254" t="str">
            <v>d</v>
          </cell>
          <cell r="H254">
            <v>0.5</v>
          </cell>
          <cell r="I254" t="str">
            <v>m</v>
          </cell>
          <cell r="L254" t="str">
            <v>JENIS PEKERJAAN</v>
          </cell>
          <cell r="O254" t="str">
            <v>:  Gorong2 Pipa Beton Bertulang Diameter &lt; 500 mm</v>
          </cell>
          <cell r="R254" t="str">
            <v>TOTAL HARGA (Rp.)</v>
          </cell>
          <cell r="T254" t="str">
            <v>:</v>
          </cell>
          <cell r="U254">
            <v>218715.29344341051</v>
          </cell>
        </row>
        <row r="255">
          <cell r="A255">
            <v>4</v>
          </cell>
          <cell r="C255" t="str">
            <v>Jarak rata-rata Base Camp ke lokasi pekerjaan</v>
          </cell>
          <cell r="G255" t="str">
            <v>L</v>
          </cell>
          <cell r="H255">
            <v>8.7249999999999996</v>
          </cell>
          <cell r="I255" t="str">
            <v>Km</v>
          </cell>
          <cell r="L255" t="str">
            <v>SATUAN PEMBAYARAN</v>
          </cell>
          <cell r="O255" t="str">
            <v>:  M1</v>
          </cell>
          <cell r="Q255">
            <v>0</v>
          </cell>
          <cell r="R255" t="str">
            <v>% THD. BIAYA PROYEK</v>
          </cell>
          <cell r="T255" t="str">
            <v>:</v>
          </cell>
          <cell r="U255" t="e">
            <v>#DIV/0!</v>
          </cell>
        </row>
        <row r="256">
          <cell r="A256">
            <v>5</v>
          </cell>
          <cell r="C256" t="str">
            <v>Jam kerja efektif per-hari</v>
          </cell>
          <cell r="G256" t="str">
            <v>Tk</v>
          </cell>
          <cell r="H256">
            <v>7</v>
          </cell>
          <cell r="I256" t="str">
            <v>jam</v>
          </cell>
        </row>
        <row r="257">
          <cell r="A257">
            <v>6</v>
          </cell>
          <cell r="C257" t="str">
            <v>Tebal gorong-gorong</v>
          </cell>
          <cell r="G257" t="str">
            <v>tg</v>
          </cell>
          <cell r="H257">
            <v>6.5</v>
          </cell>
          <cell r="I257" t="str">
            <v>Cm</v>
          </cell>
        </row>
        <row r="258">
          <cell r="Q258" t="str">
            <v>PERKIRAAN</v>
          </cell>
          <cell r="R258" t="str">
            <v>HARGA</v>
          </cell>
          <cell r="S258" t="str">
            <v>JUMLAH</v>
          </cell>
        </row>
        <row r="259">
          <cell r="A259" t="str">
            <v>II.</v>
          </cell>
          <cell r="C259" t="str">
            <v>URUTAN KERJA</v>
          </cell>
          <cell r="L259" t="str">
            <v>NO.</v>
          </cell>
          <cell r="N259" t="str">
            <v>KOMPONEN</v>
          </cell>
          <cell r="P259" t="str">
            <v>SATUAN</v>
          </cell>
          <cell r="Q259" t="str">
            <v>KUANTITAS</v>
          </cell>
          <cell r="R259" t="str">
            <v>SATUAN</v>
          </cell>
          <cell r="S259" t="str">
            <v>HARGA</v>
          </cell>
        </row>
        <row r="260">
          <cell r="A260">
            <v>1</v>
          </cell>
          <cell r="C260" t="str">
            <v>Gorong-gorong dicetak di Base Camp</v>
          </cell>
          <cell r="R260" t="str">
            <v>(Rp.)</v>
          </cell>
          <cell r="S260" t="str">
            <v>(Rp.)</v>
          </cell>
        </row>
        <row r="261">
          <cell r="A261">
            <v>2</v>
          </cell>
          <cell r="C261" t="str">
            <v>Dump Truck mengangkut gorong-gorong jadi</v>
          </cell>
        </row>
        <row r="262">
          <cell r="C262" t="str">
            <v>ke lapangan</v>
          </cell>
        </row>
        <row r="263">
          <cell r="A263">
            <v>3</v>
          </cell>
          <cell r="C263" t="str">
            <v>Dasar gorong-gorong digali sesuai kebutuhan dan ma-</v>
          </cell>
          <cell r="L263" t="str">
            <v>A.</v>
          </cell>
          <cell r="N263" t="str">
            <v>TENAGA</v>
          </cell>
        </row>
        <row r="264">
          <cell r="C264" t="str">
            <v>terial backfill dipadatkan dengan Tamper</v>
          </cell>
        </row>
        <row r="265">
          <cell r="A265">
            <v>4</v>
          </cell>
          <cell r="C265" t="str">
            <v>Tebal lapis porus pada dasar gorong-gorong pipa</v>
          </cell>
          <cell r="G265" t="str">
            <v>tp</v>
          </cell>
          <cell r="H265">
            <v>0.1</v>
          </cell>
          <cell r="I265" t="str">
            <v>M</v>
          </cell>
          <cell r="J265" t="str">
            <v xml:space="preserve"> Sand bedding</v>
          </cell>
          <cell r="L265" t="str">
            <v>1.</v>
          </cell>
          <cell r="N265" t="str">
            <v>Pekerja</v>
          </cell>
          <cell r="O265" t="str">
            <v>(L01)</v>
          </cell>
          <cell r="P265" t="str">
            <v>jam</v>
          </cell>
          <cell r="Q265">
            <v>2.3333333333333335</v>
          </cell>
          <cell r="R265">
            <v>2857.14</v>
          </cell>
          <cell r="U265">
            <v>6666.66</v>
          </cell>
        </row>
        <row r="266">
          <cell r="A266">
            <v>5</v>
          </cell>
          <cell r="C266" t="str">
            <v>Material pilihan untuk penimbunan kembali (padat)</v>
          </cell>
          <cell r="L266" t="str">
            <v>2.</v>
          </cell>
          <cell r="N266" t="str">
            <v>Tukang</v>
          </cell>
          <cell r="O266" t="str">
            <v>(L02)</v>
          </cell>
          <cell r="P266" t="str">
            <v>jam</v>
          </cell>
          <cell r="Q266">
            <v>0.93333333333333335</v>
          </cell>
          <cell r="R266">
            <v>4285.71</v>
          </cell>
          <cell r="U266">
            <v>3999.9960000000001</v>
          </cell>
        </row>
        <row r="267">
          <cell r="A267">
            <v>6</v>
          </cell>
          <cell r="C267" t="str">
            <v>Sekelompok pekerja akan melaksanakan pekerjaan</v>
          </cell>
          <cell r="L267" t="str">
            <v>3.</v>
          </cell>
          <cell r="N267" t="str">
            <v>Mandor</v>
          </cell>
          <cell r="O267" t="str">
            <v>(L03)</v>
          </cell>
          <cell r="P267" t="str">
            <v>jam</v>
          </cell>
          <cell r="Q267">
            <v>0.46666666666666667</v>
          </cell>
          <cell r="R267">
            <v>3214.29</v>
          </cell>
          <cell r="U267">
            <v>1500.002</v>
          </cell>
        </row>
        <row r="268">
          <cell r="C268" t="str">
            <v>dengan cara manual dengan menggunakan alat bantu</v>
          </cell>
        </row>
        <row r="269">
          <cell r="Q269" t="str">
            <v xml:space="preserve">JUMLAH HARGA TENAGA   </v>
          </cell>
          <cell r="U269">
            <v>12166.657999999999</v>
          </cell>
        </row>
        <row r="271">
          <cell r="A271" t="str">
            <v>III.</v>
          </cell>
          <cell r="C271" t="str">
            <v>PEMAKAIAN BAHAN, ALAT DAN TENAGA</v>
          </cell>
          <cell r="L271" t="str">
            <v>B.</v>
          </cell>
          <cell r="N271" t="str">
            <v>BAHAN</v>
          </cell>
        </row>
        <row r="272">
          <cell r="A272" t="str">
            <v xml:space="preserve">   1.</v>
          </cell>
          <cell r="C272" t="str">
            <v>BAHAN</v>
          </cell>
        </row>
        <row r="273">
          <cell r="C273" t="str">
            <v>Untuk mendapatkan 1 M' gorong-gorong diperlukan</v>
          </cell>
          <cell r="L273" t="str">
            <v>1.</v>
          </cell>
          <cell r="N273" t="str">
            <v>Beton K-300</v>
          </cell>
          <cell r="O273" t="str">
            <v>(EI-714)</v>
          </cell>
          <cell r="P273" t="str">
            <v>M3</v>
          </cell>
          <cell r="Q273">
            <v>0.11537499020308517</v>
          </cell>
          <cell r="R273">
            <v>652902.54982502444</v>
          </cell>
          <cell r="U273">
            <v>75328.625289631527</v>
          </cell>
        </row>
        <row r="274">
          <cell r="C274" t="str">
            <v>- Beton K-300 = (22/7*((2*tg/100+d)/2)^2)-(22/7*(d/2)^2))*1</v>
          </cell>
          <cell r="G274" t="str">
            <v>(EI-714)</v>
          </cell>
          <cell r="H274">
            <v>0.11537499020308517</v>
          </cell>
          <cell r="I274" t="str">
            <v>M3</v>
          </cell>
          <cell r="L274" t="str">
            <v>2.</v>
          </cell>
          <cell r="N274" t="str">
            <v>Baja Tulangan</v>
          </cell>
          <cell r="O274" t="str">
            <v>(M39)</v>
          </cell>
          <cell r="P274" t="str">
            <v>Kg</v>
          </cell>
          <cell r="Q274">
            <v>12.691248922339369</v>
          </cell>
          <cell r="R274">
            <v>4000</v>
          </cell>
          <cell r="U274">
            <v>50764.995689357478</v>
          </cell>
        </row>
        <row r="275">
          <cell r="C275" t="str">
            <v>- Baja Tulangan (asumsi 100kg/m3)</v>
          </cell>
          <cell r="G275" t="str">
            <v>(M39)</v>
          </cell>
          <cell r="H275">
            <v>12.691248922339369</v>
          </cell>
          <cell r="I275" t="str">
            <v>Kg</v>
          </cell>
          <cell r="L275" t="str">
            <v>3.</v>
          </cell>
          <cell r="N275" t="str">
            <v>Urugan Porus</v>
          </cell>
          <cell r="O275" t="str">
            <v>(EI-241)</v>
          </cell>
          <cell r="P275" t="str">
            <v>M3</v>
          </cell>
          <cell r="Q275">
            <v>0.12915000000000001</v>
          </cell>
          <cell r="R275">
            <v>186901.40625406182</v>
          </cell>
          <cell r="U275">
            <v>24138.316617712087</v>
          </cell>
        </row>
        <row r="276">
          <cell r="C276" t="str">
            <v>- Timbunan Porus      = {(tp*(0.3+2*tg/100+d+0.3)*1)*1.05}</v>
          </cell>
          <cell r="G276" t="str">
            <v>(EI-241)</v>
          </cell>
          <cell r="H276">
            <v>0.12915000000000001</v>
          </cell>
          <cell r="I276" t="str">
            <v>M3</v>
          </cell>
          <cell r="L276" t="str">
            <v>4.</v>
          </cell>
          <cell r="N276" t="str">
            <v>Mat. Pilihan</v>
          </cell>
          <cell r="O276" t="str">
            <v>(M09)</v>
          </cell>
          <cell r="P276" t="str">
            <v>M3</v>
          </cell>
          <cell r="Q276">
            <v>0.87365249999999994</v>
          </cell>
          <cell r="R276">
            <v>25000</v>
          </cell>
          <cell r="U276">
            <v>21841.3125</v>
          </cell>
        </row>
        <row r="277">
          <cell r="C277" t="str">
            <v>- Material Pilihan</v>
          </cell>
          <cell r="D277" t="str">
            <v>= ((2*tg/100+d+0.3)*(0.3+2*tg/100+d+0.3)</v>
          </cell>
          <cell r="G277" t="str">
            <v>(M09)</v>
          </cell>
          <cell r="H277">
            <v>0.87365249999999994</v>
          </cell>
          <cell r="I277" t="str">
            <v>M3</v>
          </cell>
          <cell r="J277" t="str">
            <v xml:space="preserve"> = Vp</v>
          </cell>
        </row>
        <row r="278">
          <cell r="D278" t="str">
            <v xml:space="preserve">   -(22/7*(0.5*(2*tg/100+d))^2))*1*1.05</v>
          </cell>
        </row>
        <row r="279">
          <cell r="A279" t="str">
            <v xml:space="preserve">   2.</v>
          </cell>
          <cell r="C279" t="str">
            <v>ALAT</v>
          </cell>
          <cell r="Q279" t="str">
            <v xml:space="preserve">JUMLAH HARGA BAHAN   </v>
          </cell>
          <cell r="U279">
            <v>172073.25009670109</v>
          </cell>
        </row>
        <row r="280">
          <cell r="A280" t="str">
            <v>2.a.</v>
          </cell>
          <cell r="C280" t="str">
            <v>TAMPER</v>
          </cell>
          <cell r="G280" t="str">
            <v>(E25)</v>
          </cell>
        </row>
        <row r="281">
          <cell r="C281" t="str">
            <v>Kecepatan</v>
          </cell>
          <cell r="G281" t="str">
            <v>v</v>
          </cell>
          <cell r="H281">
            <v>0.5</v>
          </cell>
          <cell r="I281" t="str">
            <v>Km / Jam</v>
          </cell>
          <cell r="L281" t="str">
            <v>C.</v>
          </cell>
          <cell r="N281" t="str">
            <v>PERALATAN</v>
          </cell>
        </row>
        <row r="282">
          <cell r="C282" t="str">
            <v>Efisiensi alat</v>
          </cell>
          <cell r="G282" t="str">
            <v>Fa</v>
          </cell>
          <cell r="H282">
            <v>0.83</v>
          </cell>
          <cell r="I282" t="str">
            <v>-</v>
          </cell>
        </row>
        <row r="283">
          <cell r="C283" t="str">
            <v>Lebar pemadatan</v>
          </cell>
          <cell r="G283" t="str">
            <v>Lb</v>
          </cell>
          <cell r="H283">
            <v>0.4</v>
          </cell>
          <cell r="I283" t="str">
            <v>M</v>
          </cell>
          <cell r="L283" t="str">
            <v>1.</v>
          </cell>
          <cell r="N283" t="str">
            <v>Tamper</v>
          </cell>
          <cell r="O283" t="str">
            <v>(E25)</v>
          </cell>
          <cell r="P283" t="str">
            <v>jam</v>
          </cell>
          <cell r="Q283">
            <v>0.26314834337349391</v>
          </cell>
          <cell r="R283">
            <v>18672.16854694486</v>
          </cell>
          <cell r="U283">
            <v>4913.5502203191991</v>
          </cell>
        </row>
        <row r="284">
          <cell r="C284" t="str">
            <v>Banyak lintasan</v>
          </cell>
          <cell r="G284" t="str">
            <v>n</v>
          </cell>
          <cell r="H284">
            <v>10</v>
          </cell>
          <cell r="I284" t="str">
            <v>lintasan</v>
          </cell>
          <cell r="L284" t="str">
            <v>2.</v>
          </cell>
          <cell r="N284" t="str">
            <v>Dump Truck</v>
          </cell>
          <cell r="O284" t="str">
            <v>(E08)</v>
          </cell>
          <cell r="P284" t="str">
            <v>jam</v>
          </cell>
          <cell r="Q284">
            <v>5.9738955823293166E-2</v>
          </cell>
          <cell r="R284">
            <v>153645.58193291764</v>
          </cell>
          <cell r="U284">
            <v>9178.6266315347384</v>
          </cell>
        </row>
        <row r="285">
          <cell r="C285" t="str">
            <v>Tebal lapis hamparan</v>
          </cell>
          <cell r="G285" t="str">
            <v>tp</v>
          </cell>
          <cell r="H285">
            <v>0.2</v>
          </cell>
          <cell r="I285" t="str">
            <v>M</v>
          </cell>
          <cell r="L285" t="str">
            <v>3.</v>
          </cell>
          <cell r="N285" t="str">
            <v>Alat  Bantu</v>
          </cell>
          <cell r="P285" t="str">
            <v>Ls</v>
          </cell>
          <cell r="Q285">
            <v>1</v>
          </cell>
          <cell r="R285">
            <v>500</v>
          </cell>
          <cell r="U285">
            <v>500</v>
          </cell>
        </row>
        <row r="288">
          <cell r="C288" t="str">
            <v>Kap. Prod. / Jam   =</v>
          </cell>
          <cell r="D288" t="str">
            <v>v x 1000 x Fa x Lb x 60</v>
          </cell>
          <cell r="G288" t="str">
            <v>Q1</v>
          </cell>
          <cell r="H288">
            <v>3.3200000000000003</v>
          </cell>
          <cell r="I288" t="str">
            <v xml:space="preserve">M3 / Jam </v>
          </cell>
        </row>
        <row r="289">
          <cell r="D289" t="str">
            <v xml:space="preserve">    n x tp</v>
          </cell>
        </row>
        <row r="291">
          <cell r="C291" t="str">
            <v>Koefisien Alat / m'</v>
          </cell>
          <cell r="D291" t="str">
            <v xml:space="preserve"> =  1  :  Q1 x Vp</v>
          </cell>
          <cell r="G291" t="str">
            <v>(E25)</v>
          </cell>
          <cell r="H291">
            <v>0.26314834337349391</v>
          </cell>
          <cell r="I291" t="str">
            <v>jam</v>
          </cell>
          <cell r="Q291" t="str">
            <v xml:space="preserve">JUMLAH HARGA PERALATAN   </v>
          </cell>
          <cell r="U291">
            <v>14592.176851853937</v>
          </cell>
        </row>
        <row r="293">
          <cell r="A293" t="str">
            <v>2.b.</v>
          </cell>
          <cell r="C293" t="str">
            <v>DUMP TRUCK</v>
          </cell>
          <cell r="G293" t="str">
            <v>(E08)</v>
          </cell>
          <cell r="L293" t="str">
            <v>D.</v>
          </cell>
          <cell r="N293" t="str">
            <v>JUMLAH HARGA TENAGA, BAHAN DAN PERALATAN  ( A + B + C )</v>
          </cell>
          <cell r="U293">
            <v>198832.08494855501</v>
          </cell>
        </row>
        <row r="294">
          <cell r="C294" t="str">
            <v>Kapasitas bak sekali muat</v>
          </cell>
          <cell r="G294" t="str">
            <v>V</v>
          </cell>
          <cell r="H294">
            <v>15</v>
          </cell>
          <cell r="I294" t="str">
            <v>Buah/M'</v>
          </cell>
          <cell r="L294" t="str">
            <v>E.</v>
          </cell>
          <cell r="N294" t="str">
            <v>OVERHEAD &amp; PROFIT</v>
          </cell>
          <cell r="P294">
            <v>10</v>
          </cell>
          <cell r="Q294" t="str">
            <v>%  x  D</v>
          </cell>
          <cell r="U294">
            <v>19883.208494855502</v>
          </cell>
        </row>
        <row r="295">
          <cell r="C295" t="str">
            <v>Faktor efisiensi alat</v>
          </cell>
          <cell r="G295" t="str">
            <v>Fa</v>
          </cell>
          <cell r="H295">
            <v>0.83</v>
          </cell>
          <cell r="L295" t="str">
            <v>F.</v>
          </cell>
          <cell r="N295" t="str">
            <v>HARGA SATUAN PEKERJAAN  ( D + E )</v>
          </cell>
          <cell r="U295">
            <v>218715.29344341051</v>
          </cell>
        </row>
        <row r="296">
          <cell r="C296" t="str">
            <v>Kecepatanrata-rata bermuatan</v>
          </cell>
          <cell r="G296" t="str">
            <v>v1</v>
          </cell>
          <cell r="H296">
            <v>20</v>
          </cell>
          <cell r="I296" t="str">
            <v>Km/Jam</v>
          </cell>
          <cell r="L296" t="str">
            <v>Note: 1</v>
          </cell>
          <cell r="N296" t="str">
            <v>SATUAN dapat berdasarkan atas jam operasi untuk Tenaga Kerja dan Peralatan, volume dan/atau ukuran</v>
          </cell>
        </row>
        <row r="297">
          <cell r="C297" t="str">
            <v>Kecepatan rata-rata kosong</v>
          </cell>
          <cell r="G297" t="str">
            <v>v2</v>
          </cell>
          <cell r="H297">
            <v>30</v>
          </cell>
          <cell r="I297" t="str">
            <v>Km/Jam</v>
          </cell>
          <cell r="N297" t="str">
            <v>berat untuk bahan-bahan.</v>
          </cell>
        </row>
        <row r="298">
          <cell r="C298" t="str">
            <v>Waktu siklus    :</v>
          </cell>
          <cell r="G298" t="str">
            <v>Ts1</v>
          </cell>
          <cell r="L298">
            <v>2</v>
          </cell>
          <cell r="N298" t="str">
            <v>Kuantitas satuan adalah kuantitas setiap komponen untuk menyelesaikan satu satuan pekerjaan dari nomor</v>
          </cell>
        </row>
        <row r="299">
          <cell r="C299" t="str">
            <v>- Waktu  tempuh in  si  = (L : v1 ) x 60</v>
          </cell>
          <cell r="G299" t="str">
            <v>T1</v>
          </cell>
          <cell r="H299">
            <v>26.174999999999997</v>
          </cell>
          <cell r="I299" t="str">
            <v>menit</v>
          </cell>
          <cell r="N299" t="str">
            <v>mata pembayaran.</v>
          </cell>
        </row>
        <row r="300">
          <cell r="C300" t="str">
            <v>-  Waktutempuh kosong  = (L : v2)  x  60</v>
          </cell>
          <cell r="G300" t="str">
            <v>T2</v>
          </cell>
          <cell r="H300">
            <v>17.45</v>
          </cell>
          <cell r="I300" t="str">
            <v>menit</v>
          </cell>
          <cell r="L300">
            <v>3</v>
          </cell>
          <cell r="N300" t="str">
            <v>Biaya satuan untuk peralatan sudah termasuk bahan bakar, bahan habis dipakai dan operator.</v>
          </cell>
        </row>
        <row r="301">
          <cell r="C301" t="str">
            <v>-  Muat, bongkar dan lain-lain</v>
          </cell>
          <cell r="G301" t="str">
            <v>T3</v>
          </cell>
          <cell r="H301">
            <v>1</v>
          </cell>
          <cell r="I301" t="str">
            <v>menit</v>
          </cell>
          <cell r="L301">
            <v>4</v>
          </cell>
          <cell r="N301" t="str">
            <v>Biaya satuan sudah termasuk pengeluaran untuk seluruh pajak yang berkaitan (tetapi tidak termasuk PPN</v>
          </cell>
        </row>
        <row r="302">
          <cell r="G302" t="str">
            <v>Ts1</v>
          </cell>
          <cell r="H302">
            <v>44.625</v>
          </cell>
          <cell r="I302" t="str">
            <v>menit</v>
          </cell>
          <cell r="N302" t="str">
            <v>yang dibayar dari kontrak) dan biaya-biaya lainnya.</v>
          </cell>
        </row>
        <row r="303">
          <cell r="J303" t="str">
            <v>Berlanjut ke halaman berikut</v>
          </cell>
        </row>
        <row r="304">
          <cell r="A304" t="str">
            <v>ITEM PEMBAYARAN NO.</v>
          </cell>
          <cell r="D304" t="str">
            <v>:  2.3 (1)</v>
          </cell>
          <cell r="J304" t="str">
            <v xml:space="preserve">Analisa EI-231 </v>
          </cell>
        </row>
        <row r="305">
          <cell r="A305" t="str">
            <v>JENIS PEKERJAAN</v>
          </cell>
          <cell r="D305" t="str">
            <v>:  Gorong2 Pipa Beton Bertulang Diameter &lt; 500 mm</v>
          </cell>
        </row>
        <row r="306">
          <cell r="A306" t="str">
            <v>SATUAN PEMBAYARAN</v>
          </cell>
          <cell r="D306" t="str">
            <v>:  M1</v>
          </cell>
          <cell r="J306" t="str">
            <v xml:space="preserve">         URAIAN ANALISA HARGA SATUAN</v>
          </cell>
        </row>
        <row r="307">
          <cell r="J307" t="str">
            <v>Lanjutan</v>
          </cell>
        </row>
        <row r="309">
          <cell r="A309" t="str">
            <v>No.</v>
          </cell>
          <cell r="C309" t="str">
            <v>U R A I A N</v>
          </cell>
          <cell r="G309" t="str">
            <v>KODE</v>
          </cell>
          <cell r="H309" t="str">
            <v>KOEF.</v>
          </cell>
          <cell r="I309" t="str">
            <v>SATUAN</v>
          </cell>
          <cell r="J309" t="str">
            <v>KETERANGAN</v>
          </cell>
        </row>
        <row r="312">
          <cell r="C312" t="str">
            <v>Kapasitas Produksi / Jam   =</v>
          </cell>
          <cell r="E312" t="str">
            <v>V x Fa x 60</v>
          </cell>
          <cell r="G312" t="str">
            <v>Q2</v>
          </cell>
          <cell r="H312">
            <v>16.739495798319329</v>
          </cell>
          <cell r="I312" t="str">
            <v xml:space="preserve">M' / Jam </v>
          </cell>
        </row>
        <row r="313">
          <cell r="E313" t="str">
            <v>Ts1</v>
          </cell>
        </row>
        <row r="315">
          <cell r="C315" t="str">
            <v>Koefisien Alat / m'</v>
          </cell>
          <cell r="D315" t="str">
            <v xml:space="preserve"> =  1  :  Q2</v>
          </cell>
          <cell r="G315" t="str">
            <v>(E08)</v>
          </cell>
          <cell r="H315">
            <v>5.9738955823293166E-2</v>
          </cell>
          <cell r="I315" t="str">
            <v>jam</v>
          </cell>
        </row>
        <row r="318">
          <cell r="A318" t="str">
            <v>2.c.</v>
          </cell>
          <cell r="C318" t="str">
            <v>ALAT  BANTU</v>
          </cell>
        </row>
        <row r="319">
          <cell r="C319" t="str">
            <v>Diperlukan alat-alat bantu kecil</v>
          </cell>
          <cell r="J319" t="str">
            <v>Lump Sump</v>
          </cell>
        </row>
        <row r="320">
          <cell r="C320" t="str">
            <v>- Sekop    =         3   buah</v>
          </cell>
        </row>
        <row r="321">
          <cell r="C321" t="str">
            <v>- Pacul     =         3   buah</v>
          </cell>
        </row>
        <row r="322">
          <cell r="C322" t="str">
            <v>- Alat-alat kecil lain</v>
          </cell>
        </row>
        <row r="324">
          <cell r="A324" t="str">
            <v xml:space="preserve">   3.</v>
          </cell>
          <cell r="C324" t="str">
            <v>TENAGA</v>
          </cell>
        </row>
        <row r="325">
          <cell r="C325" t="str">
            <v>Produksi Gorong-gorong / hari</v>
          </cell>
          <cell r="G325" t="str">
            <v>Qt</v>
          </cell>
          <cell r="H325">
            <v>15</v>
          </cell>
          <cell r="I325" t="str">
            <v>M'</v>
          </cell>
        </row>
        <row r="326">
          <cell r="C326" t="str">
            <v>Kebutuhan tenaga :</v>
          </cell>
        </row>
        <row r="327">
          <cell r="D327" t="str">
            <v>- Pekerja</v>
          </cell>
          <cell r="G327" t="str">
            <v>P</v>
          </cell>
          <cell r="H327">
            <v>5</v>
          </cell>
          <cell r="I327" t="str">
            <v>orang</v>
          </cell>
        </row>
        <row r="328">
          <cell r="D328" t="str">
            <v>- Tukang</v>
          </cell>
          <cell r="G328" t="str">
            <v>T</v>
          </cell>
          <cell r="H328">
            <v>2</v>
          </cell>
          <cell r="I328" t="str">
            <v>orang</v>
          </cell>
        </row>
        <row r="329">
          <cell r="D329" t="str">
            <v>- Mandor</v>
          </cell>
          <cell r="G329" t="str">
            <v>M</v>
          </cell>
          <cell r="H329">
            <v>1</v>
          </cell>
          <cell r="I329" t="str">
            <v>orang</v>
          </cell>
        </row>
        <row r="331">
          <cell r="C331" t="str">
            <v>Koefisien tenaga / M1   :</v>
          </cell>
        </row>
        <row r="332">
          <cell r="D332" t="str">
            <v>- Pekerja</v>
          </cell>
          <cell r="E332" t="str">
            <v>= (Tk x P) : Qt</v>
          </cell>
          <cell r="G332" t="str">
            <v>(L01)</v>
          </cell>
          <cell r="H332">
            <v>2.3333333333333335</v>
          </cell>
          <cell r="I332" t="str">
            <v>Jam</v>
          </cell>
        </row>
        <row r="333">
          <cell r="D333" t="str">
            <v>- Tukang</v>
          </cell>
          <cell r="E333" t="str">
            <v>= (Tk x T) : Qt</v>
          </cell>
          <cell r="G333" t="str">
            <v>(L02)</v>
          </cell>
          <cell r="H333">
            <v>0.93333333333333335</v>
          </cell>
          <cell r="I333" t="str">
            <v>Jam</v>
          </cell>
        </row>
        <row r="334">
          <cell r="D334" t="str">
            <v>- Mandor</v>
          </cell>
          <cell r="E334" t="str">
            <v>= (Tk x M) : Qt</v>
          </cell>
          <cell r="G334" t="str">
            <v>(L03)</v>
          </cell>
          <cell r="H334">
            <v>0.46666666666666667</v>
          </cell>
          <cell r="I334" t="str">
            <v>Jam</v>
          </cell>
        </row>
        <row r="336">
          <cell r="A336" t="str">
            <v>4.</v>
          </cell>
          <cell r="C336" t="str">
            <v>HARGA DASAR SATUAN UPAH, BAHAN DAN ALAT</v>
          </cell>
        </row>
        <row r="337">
          <cell r="C337" t="str">
            <v>Lihat lampiran.</v>
          </cell>
        </row>
        <row r="340">
          <cell r="A340" t="str">
            <v>5.</v>
          </cell>
          <cell r="C340" t="str">
            <v>ANALISA HARGA SATUAN PEKERJAAN</v>
          </cell>
        </row>
        <row r="341">
          <cell r="C341" t="str">
            <v>Lihat perhitungan dalam FORMULIR STANDAR UNTUK</v>
          </cell>
        </row>
        <row r="342">
          <cell r="C342" t="str">
            <v>PEREKEMAN ANALISA MASING-MASING HARGA</v>
          </cell>
        </row>
        <row r="343">
          <cell r="C343" t="str">
            <v>SATUAN.</v>
          </cell>
        </row>
        <row r="344">
          <cell r="C344" t="str">
            <v>Didapat Harga Satuan Pekerjaan :</v>
          </cell>
        </row>
        <row r="346">
          <cell r="C346" t="str">
            <v xml:space="preserve">Rp.  </v>
          </cell>
          <cell r="D346">
            <v>218715.29344341051</v>
          </cell>
          <cell r="E346" t="str">
            <v xml:space="preserve"> / M'</v>
          </cell>
        </row>
        <row r="349">
          <cell r="A349" t="str">
            <v>6.</v>
          </cell>
          <cell r="C349" t="str">
            <v>WAKTU PELAKSANAAN YANG DIPERLUKAN</v>
          </cell>
        </row>
        <row r="350">
          <cell r="C350" t="str">
            <v>Masa Pelaksanaan :</v>
          </cell>
          <cell r="D350" t="str">
            <v>. . . . . . . . . . . .</v>
          </cell>
          <cell r="E350" t="str">
            <v>bulan</v>
          </cell>
        </row>
        <row r="352">
          <cell r="A352" t="str">
            <v>7.</v>
          </cell>
          <cell r="C352" t="str">
            <v>VOLUME PEKERJAAN YANG DIPERLUKAN</v>
          </cell>
        </row>
        <row r="353">
          <cell r="C353" t="str">
            <v>Volume pekerjaan  :</v>
          </cell>
          <cell r="D353">
            <v>1</v>
          </cell>
          <cell r="E353" t="str">
            <v>M'</v>
          </cell>
        </row>
        <row r="362">
          <cell r="T362" t="str">
            <v xml:space="preserve">Analisa EI-232 </v>
          </cell>
        </row>
        <row r="363">
          <cell r="A363" t="str">
            <v>ITEM PEMBAYARAN NO.</v>
          </cell>
          <cell r="D363" t="str">
            <v>:  2.3 (2)</v>
          </cell>
          <cell r="J363" t="str">
            <v xml:space="preserve">Analisa EI-232 </v>
          </cell>
        </row>
        <row r="364">
          <cell r="A364" t="str">
            <v>JENIS PEKERJAAN</v>
          </cell>
          <cell r="D364" t="str">
            <v>:  Gorong2 Pipa Beton Bertulang 500 mm &lt; diameter dalam 700 mm</v>
          </cell>
          <cell r="L364" t="str">
            <v>FORMULIR STANDAR UNTUK</v>
          </cell>
        </row>
        <row r="365">
          <cell r="A365" t="str">
            <v>SATUAN PEMBAYARAN</v>
          </cell>
          <cell r="D365" t="str">
            <v>:  M1</v>
          </cell>
          <cell r="J365" t="str">
            <v xml:space="preserve">         URAIAN ANALISA HARGA SATUAN</v>
          </cell>
          <cell r="L365" t="str">
            <v>PEREKAMAN ANALISA MASING-MASING HARGA SATUAN</v>
          </cell>
        </row>
        <row r="366">
          <cell r="L366" t="str">
            <v xml:space="preserve">                                                                                                            </v>
          </cell>
        </row>
        <row r="368">
          <cell r="A368" t="str">
            <v>No.</v>
          </cell>
          <cell r="C368" t="str">
            <v>U R A I A N</v>
          </cell>
          <cell r="G368" t="str">
            <v>KODE</v>
          </cell>
          <cell r="H368" t="str">
            <v>KOEF.</v>
          </cell>
          <cell r="I368" t="str">
            <v>SATUAN</v>
          </cell>
          <cell r="J368" t="str">
            <v>KETERANGAN</v>
          </cell>
        </row>
        <row r="369">
          <cell r="L369" t="str">
            <v>PROYEK</v>
          </cell>
          <cell r="O369" t="str">
            <v>:</v>
          </cell>
        </row>
        <row r="370">
          <cell r="L370" t="str">
            <v>No. PAKET KONTRAK</v>
          </cell>
          <cell r="O370" t="str">
            <v>:</v>
          </cell>
        </row>
        <row r="371">
          <cell r="A371" t="str">
            <v>I.</v>
          </cell>
          <cell r="C371" t="str">
            <v>ASUMSI</v>
          </cell>
          <cell r="L371" t="str">
            <v>NAMA PAKET</v>
          </cell>
          <cell r="O371" t="str">
            <v>:</v>
          </cell>
        </row>
        <row r="372">
          <cell r="A372">
            <v>1</v>
          </cell>
          <cell r="C372" t="str">
            <v>Pekerjaan dilakukan secara mekanik/manual</v>
          </cell>
          <cell r="L372" t="str">
            <v>PROP / KAB / KODYA</v>
          </cell>
          <cell r="O372" t="str">
            <v>:</v>
          </cell>
        </row>
        <row r="373">
          <cell r="A373">
            <v>2</v>
          </cell>
          <cell r="C373" t="str">
            <v>Lokasi pekerjaan : sepanjang jalan</v>
          </cell>
          <cell r="L373" t="str">
            <v>ITEM PEMBAYARAN NO.</v>
          </cell>
          <cell r="O373" t="str">
            <v>:  2.3 (2)</v>
          </cell>
          <cell r="R373" t="str">
            <v>PERKIRAAN VOL. PEK.</v>
          </cell>
          <cell r="T373" t="str">
            <v>:</v>
          </cell>
          <cell r="U373">
            <v>1</v>
          </cell>
        </row>
        <row r="374">
          <cell r="A374">
            <v>3</v>
          </cell>
          <cell r="C374" t="str">
            <v>Diameter bagian dalam gorong-gorong</v>
          </cell>
          <cell r="G374" t="str">
            <v>d</v>
          </cell>
          <cell r="H374">
            <v>0.6</v>
          </cell>
          <cell r="I374" t="str">
            <v>m</v>
          </cell>
          <cell r="L374" t="str">
            <v>JENIS PEKERJAAN</v>
          </cell>
          <cell r="O374" t="str">
            <v>:  Gorong2 Pipa Beton Bertulang 500 mm &lt; diameter dalam 700 mm</v>
          </cell>
          <cell r="R374" t="str">
            <v>TOTAL HARGA (Rp.)</v>
          </cell>
          <cell r="T374" t="str">
            <v>:</v>
          </cell>
          <cell r="U374">
            <v>282846.80804673955</v>
          </cell>
        </row>
        <row r="375">
          <cell r="A375">
            <v>4</v>
          </cell>
          <cell r="C375" t="str">
            <v>Jarak rata-rata Base Camp ke lokasi pekerjaan</v>
          </cell>
          <cell r="G375" t="str">
            <v>L</v>
          </cell>
          <cell r="H375">
            <v>8.7249999999999996</v>
          </cell>
          <cell r="I375" t="str">
            <v>Km</v>
          </cell>
          <cell r="L375" t="str">
            <v>SATUAN PEMBAYARAN</v>
          </cell>
          <cell r="O375" t="str">
            <v>:  M1</v>
          </cell>
          <cell r="Q375">
            <v>0</v>
          </cell>
          <cell r="R375" t="str">
            <v>% THD. BIAYA PROYEK</v>
          </cell>
          <cell r="T375" t="str">
            <v>:</v>
          </cell>
          <cell r="U375" t="e">
            <v>#DIV/0!</v>
          </cell>
        </row>
        <row r="376">
          <cell r="A376">
            <v>5</v>
          </cell>
          <cell r="C376" t="str">
            <v>Jam kerja efektif per-hari</v>
          </cell>
          <cell r="G376" t="str">
            <v>Tk</v>
          </cell>
          <cell r="H376">
            <v>7</v>
          </cell>
          <cell r="I376" t="str">
            <v>jam</v>
          </cell>
        </row>
        <row r="377">
          <cell r="A377">
            <v>6</v>
          </cell>
          <cell r="C377" t="str">
            <v>Tebal gorong-gorong</v>
          </cell>
          <cell r="G377" t="str">
            <v>tg</v>
          </cell>
          <cell r="H377">
            <v>6.5</v>
          </cell>
          <cell r="I377" t="str">
            <v>Cm</v>
          </cell>
        </row>
        <row r="378">
          <cell r="Q378" t="str">
            <v>PERKIRAAN</v>
          </cell>
          <cell r="R378" t="str">
            <v>HARGA</v>
          </cell>
          <cell r="S378" t="str">
            <v>JUMLAH</v>
          </cell>
        </row>
        <row r="379">
          <cell r="A379" t="str">
            <v>II.</v>
          </cell>
          <cell r="C379" t="str">
            <v>URUTAN KERJA</v>
          </cell>
          <cell r="L379" t="str">
            <v>NO.</v>
          </cell>
          <cell r="N379" t="str">
            <v>KOMPONEN</v>
          </cell>
          <cell r="P379" t="str">
            <v>SATUAN</v>
          </cell>
          <cell r="Q379" t="str">
            <v>KUANTITAS</v>
          </cell>
          <cell r="R379" t="str">
            <v>SATUAN</v>
          </cell>
          <cell r="S379" t="str">
            <v>HARGA</v>
          </cell>
        </row>
        <row r="380">
          <cell r="A380">
            <v>1</v>
          </cell>
          <cell r="C380" t="str">
            <v>Gorong-gorong dicetak di Base Camp</v>
          </cell>
          <cell r="R380" t="str">
            <v>(Rp.)</v>
          </cell>
          <cell r="S380" t="str">
            <v>(Rp.)</v>
          </cell>
        </row>
        <row r="381">
          <cell r="A381">
            <v>2</v>
          </cell>
          <cell r="C381" t="str">
            <v>Dump Truck mengangkut gorong-gorong jadi</v>
          </cell>
        </row>
        <row r="382">
          <cell r="C382" t="str">
            <v>ke lapangan</v>
          </cell>
        </row>
        <row r="383">
          <cell r="A383">
            <v>3</v>
          </cell>
          <cell r="C383" t="str">
            <v>Dasar gorong-gorong digali sesuai kebutuhan dan ma-</v>
          </cell>
          <cell r="L383" t="str">
            <v>A.</v>
          </cell>
          <cell r="N383" t="str">
            <v>TENAGA</v>
          </cell>
        </row>
        <row r="384">
          <cell r="C384" t="str">
            <v>terial backfill dipadatkan dengan Tamper</v>
          </cell>
        </row>
        <row r="385">
          <cell r="A385">
            <v>4</v>
          </cell>
          <cell r="C385" t="str">
            <v>Tebal lapis porus pada dasar gorong-gorong pipa</v>
          </cell>
          <cell r="G385" t="str">
            <v>tp</v>
          </cell>
          <cell r="H385">
            <v>0.1</v>
          </cell>
          <cell r="I385" t="str">
            <v>M</v>
          </cell>
          <cell r="J385" t="str">
            <v xml:space="preserve"> Sand bedding</v>
          </cell>
          <cell r="L385" t="str">
            <v>1.</v>
          </cell>
          <cell r="N385" t="str">
            <v>Pekerja</v>
          </cell>
          <cell r="O385" t="str">
            <v>(L01)</v>
          </cell>
          <cell r="P385" t="str">
            <v>jam</v>
          </cell>
          <cell r="Q385">
            <v>4.9000000000000004</v>
          </cell>
          <cell r="R385">
            <v>2857.14</v>
          </cell>
          <cell r="U385">
            <v>13999.986000000001</v>
          </cell>
        </row>
        <row r="386">
          <cell r="A386">
            <v>5</v>
          </cell>
          <cell r="C386" t="str">
            <v>Material pilihan untuk penimbunan kembali (padat)</v>
          </cell>
          <cell r="L386" t="str">
            <v>2.</v>
          </cell>
          <cell r="N386" t="str">
            <v>Tukang</v>
          </cell>
          <cell r="O386" t="str">
            <v>(L02)</v>
          </cell>
          <cell r="P386" t="str">
            <v>jam</v>
          </cell>
          <cell r="Q386">
            <v>1.4</v>
          </cell>
          <cell r="R386">
            <v>4285.71</v>
          </cell>
          <cell r="U386">
            <v>5999.9939999999997</v>
          </cell>
        </row>
        <row r="387">
          <cell r="A387">
            <v>6</v>
          </cell>
          <cell r="C387" t="str">
            <v>Sekelompok pekerja akan melaksanakan pekerjaan</v>
          </cell>
          <cell r="L387" t="str">
            <v>3.</v>
          </cell>
          <cell r="N387" t="str">
            <v>Mandor</v>
          </cell>
          <cell r="O387" t="str">
            <v>(L03)</v>
          </cell>
          <cell r="P387" t="str">
            <v>jam</v>
          </cell>
          <cell r="Q387">
            <v>0.7</v>
          </cell>
          <cell r="R387">
            <v>3214.29</v>
          </cell>
          <cell r="U387">
            <v>2250.0029999999997</v>
          </cell>
        </row>
        <row r="388">
          <cell r="C388" t="str">
            <v>dengan cara manual dengan menggunakan alat bantu</v>
          </cell>
        </row>
        <row r="389">
          <cell r="Q389" t="str">
            <v xml:space="preserve">JUMLAH HARGA TENAGA   </v>
          </cell>
          <cell r="U389">
            <v>22249.983</v>
          </cell>
        </row>
        <row r="391">
          <cell r="A391" t="str">
            <v>III.</v>
          </cell>
          <cell r="C391" t="str">
            <v>PEMAKAIAN BAHAN, ALAT DAN TENAGA</v>
          </cell>
          <cell r="L391" t="str">
            <v>B.</v>
          </cell>
          <cell r="N391" t="str">
            <v>BAHAN</v>
          </cell>
        </row>
        <row r="392">
          <cell r="A392" t="str">
            <v xml:space="preserve">   1.</v>
          </cell>
          <cell r="C392" t="str">
            <v>BAHAN</v>
          </cell>
        </row>
        <row r="393">
          <cell r="C393" t="str">
            <v>Untuk mendapatkan 1 M' gorong-gorong diperlukan</v>
          </cell>
          <cell r="L393" t="str">
            <v>1.</v>
          </cell>
          <cell r="N393" t="str">
            <v>Beton K-300</v>
          </cell>
          <cell r="O393" t="str">
            <v>(EI-714)</v>
          </cell>
          <cell r="P393" t="str">
            <v>M3</v>
          </cell>
          <cell r="Q393">
            <v>0.13579534245141872</v>
          </cell>
          <cell r="R393">
            <v>652902.54982502444</v>
          </cell>
          <cell r="U393">
            <v>88661.125340893675</v>
          </cell>
        </row>
        <row r="394">
          <cell r="C394" t="str">
            <v>- Beton K-300 = (22/7*((2*tg/100+d)/2)^2)-(22/7*(d/2)^2))*1</v>
          </cell>
          <cell r="G394" t="str">
            <v>(EI-714)</v>
          </cell>
          <cell r="H394">
            <v>0.13579534245141872</v>
          </cell>
          <cell r="I394" t="str">
            <v>M3</v>
          </cell>
          <cell r="L394" t="str">
            <v>2.</v>
          </cell>
          <cell r="N394" t="str">
            <v>Baja Tulangan</v>
          </cell>
          <cell r="O394" t="str">
            <v>(M39)</v>
          </cell>
          <cell r="P394" t="str">
            <v>Kg</v>
          </cell>
          <cell r="Q394">
            <v>14.937487669656059</v>
          </cell>
          <cell r="R394">
            <v>4000</v>
          </cell>
          <cell r="U394">
            <v>59749.950678624235</v>
          </cell>
        </row>
        <row r="395">
          <cell r="C395" t="str">
            <v>- Baja Tulangan (asumsi 100kg/m3)</v>
          </cell>
          <cell r="G395" t="str">
            <v>(M39)</v>
          </cell>
          <cell r="H395">
            <v>14.937487669656059</v>
          </cell>
          <cell r="I395" t="str">
            <v>Kg</v>
          </cell>
          <cell r="L395" t="str">
            <v>3.</v>
          </cell>
          <cell r="N395" t="str">
            <v>Urugan Porus</v>
          </cell>
          <cell r="O395" t="str">
            <v>(EI-241)</v>
          </cell>
          <cell r="P395" t="str">
            <v>M3</v>
          </cell>
          <cell r="Q395">
            <v>0.13965000000000002</v>
          </cell>
          <cell r="R395">
            <v>186901.40625406182</v>
          </cell>
          <cell r="U395">
            <v>26100.781383379737</v>
          </cell>
        </row>
        <row r="396">
          <cell r="C396" t="str">
            <v>- Timbunan Porus      = {(tp*(0.3+2*tg/100+d+0.3)*1)*1.05}</v>
          </cell>
          <cell r="G396" t="str">
            <v>(EI-241)</v>
          </cell>
          <cell r="H396">
            <v>0.13965000000000002</v>
          </cell>
          <cell r="I396" t="str">
            <v>M3</v>
          </cell>
          <cell r="L396" t="str">
            <v>4.</v>
          </cell>
          <cell r="N396" t="str">
            <v>Mat. Pilihan</v>
          </cell>
          <cell r="O396" t="str">
            <v>(M09)</v>
          </cell>
          <cell r="P396" t="str">
            <v>M3</v>
          </cell>
          <cell r="Q396">
            <v>0.99875250000000027</v>
          </cell>
          <cell r="R396">
            <v>25000</v>
          </cell>
          <cell r="U396">
            <v>24968.812500000007</v>
          </cell>
        </row>
        <row r="397">
          <cell r="C397" t="str">
            <v>- Material Pilihan</v>
          </cell>
          <cell r="D397" t="str">
            <v>= ((2*tg/100+d+0.3)*(0.3+2*tg/100+d+0.3)</v>
          </cell>
          <cell r="G397" t="str">
            <v>(M09)</v>
          </cell>
          <cell r="H397">
            <v>0.99875250000000027</v>
          </cell>
          <cell r="I397" t="str">
            <v>M3</v>
          </cell>
          <cell r="J397" t="str">
            <v xml:space="preserve"> = Vp</v>
          </cell>
        </row>
        <row r="398">
          <cell r="D398" t="str">
            <v xml:space="preserve">   -(22/7*(0.5*(2*tg/100+d))^2))*1*1.05</v>
          </cell>
        </row>
        <row r="399">
          <cell r="A399" t="str">
            <v xml:space="preserve">   2.</v>
          </cell>
          <cell r="C399" t="str">
            <v>ALAT</v>
          </cell>
          <cell r="Q399" t="str">
            <v xml:space="preserve">JUMLAH HARGA BAHAN   </v>
          </cell>
          <cell r="U399">
            <v>199480.66990289764</v>
          </cell>
        </row>
        <row r="400">
          <cell r="A400" t="str">
            <v>2.a.</v>
          </cell>
          <cell r="C400" t="str">
            <v>TAMPER</v>
          </cell>
          <cell r="G400" t="str">
            <v>(E25)</v>
          </cell>
        </row>
        <row r="401">
          <cell r="C401" t="str">
            <v>Kecepatan</v>
          </cell>
          <cell r="G401" t="str">
            <v>v</v>
          </cell>
          <cell r="H401">
            <v>0.5</v>
          </cell>
          <cell r="I401" t="str">
            <v>Km / Jam</v>
          </cell>
          <cell r="L401" t="str">
            <v>C.</v>
          </cell>
          <cell r="N401" t="str">
            <v>PERALATAN</v>
          </cell>
        </row>
        <row r="402">
          <cell r="C402" t="str">
            <v>Efisiensi alat</v>
          </cell>
          <cell r="G402" t="str">
            <v>Fa</v>
          </cell>
          <cell r="H402">
            <v>0.83</v>
          </cell>
          <cell r="I402" t="str">
            <v>-</v>
          </cell>
        </row>
        <row r="403">
          <cell r="C403" t="str">
            <v>Lebar pemadatan</v>
          </cell>
          <cell r="G403" t="str">
            <v>Lb</v>
          </cell>
          <cell r="H403">
            <v>0.4</v>
          </cell>
          <cell r="I403" t="str">
            <v>M</v>
          </cell>
          <cell r="L403" t="str">
            <v>1.</v>
          </cell>
          <cell r="N403" t="str">
            <v>Tamper</v>
          </cell>
          <cell r="O403" t="str">
            <v>(E25)</v>
          </cell>
          <cell r="P403" t="str">
            <v>Jam</v>
          </cell>
          <cell r="Q403">
            <v>0.30082906626506029</v>
          </cell>
          <cell r="R403">
            <v>18672.16854694486</v>
          </cell>
          <cell r="U403">
            <v>5617.1310291212494</v>
          </cell>
        </row>
        <row r="404">
          <cell r="C404" t="str">
            <v>Banyak lintasan</v>
          </cell>
          <cell r="G404" t="str">
            <v>n</v>
          </cell>
          <cell r="H404">
            <v>10</v>
          </cell>
          <cell r="I404" t="str">
            <v>lintasan</v>
          </cell>
          <cell r="L404" t="str">
            <v>2.</v>
          </cell>
          <cell r="N404" t="str">
            <v>Dump Truck</v>
          </cell>
          <cell r="O404" t="str">
            <v>(E08)</v>
          </cell>
          <cell r="P404" t="str">
            <v>Jam</v>
          </cell>
          <cell r="Q404">
            <v>0.18800200803212852</v>
          </cell>
          <cell r="R404">
            <v>153645.58193291764</v>
          </cell>
          <cell r="U404">
            <v>28885.677928653444</v>
          </cell>
        </row>
        <row r="405">
          <cell r="C405" t="str">
            <v>Tebal lapis hamparan</v>
          </cell>
          <cell r="G405" t="str">
            <v>tp</v>
          </cell>
          <cell r="H405">
            <v>0.2</v>
          </cell>
          <cell r="I405" t="str">
            <v>M</v>
          </cell>
          <cell r="L405" t="str">
            <v>3.</v>
          </cell>
          <cell r="N405" t="str">
            <v>Alat  Bantu</v>
          </cell>
          <cell r="P405" t="str">
            <v>Ls</v>
          </cell>
          <cell r="Q405">
            <v>1</v>
          </cell>
          <cell r="R405">
            <v>900</v>
          </cell>
          <cell r="U405">
            <v>900</v>
          </cell>
        </row>
        <row r="408">
          <cell r="C408" t="str">
            <v>Kap. Prod. / Jam   =</v>
          </cell>
          <cell r="D408" t="str">
            <v>v x 1000 x Fa x Lb x 60</v>
          </cell>
          <cell r="G408" t="str">
            <v>Q1</v>
          </cell>
          <cell r="H408">
            <v>3.3200000000000003</v>
          </cell>
          <cell r="I408" t="str">
            <v xml:space="preserve">M3 / Jam </v>
          </cell>
        </row>
        <row r="409">
          <cell r="D409" t="str">
            <v xml:space="preserve">    n x tp</v>
          </cell>
        </row>
        <row r="411">
          <cell r="C411" t="str">
            <v>Koefisien Alat / m'</v>
          </cell>
          <cell r="D411" t="str">
            <v xml:space="preserve"> =  1  :  Q1 x Vp</v>
          </cell>
          <cell r="G411" t="str">
            <v>(E25)</v>
          </cell>
          <cell r="H411">
            <v>0.30082906626506029</v>
          </cell>
          <cell r="I411" t="str">
            <v>jam</v>
          </cell>
          <cell r="Q411" t="str">
            <v xml:space="preserve">JUMLAH HARGA PERALATAN   </v>
          </cell>
          <cell r="U411">
            <v>35402.808957774694</v>
          </cell>
        </row>
        <row r="413">
          <cell r="A413" t="str">
            <v>2.b.</v>
          </cell>
          <cell r="C413" t="str">
            <v>DUMP TRUCK</v>
          </cell>
          <cell r="G413" t="str">
            <v>(E08)</v>
          </cell>
          <cell r="L413" t="str">
            <v>D.</v>
          </cell>
          <cell r="N413" t="str">
            <v>JUMLAH HARGA TENAGA, BAHAN DAN PERALATAN  ( A + B + C )</v>
          </cell>
          <cell r="U413">
            <v>257133.46186067234</v>
          </cell>
        </row>
        <row r="414">
          <cell r="C414" t="str">
            <v>Kapasitas bak sekali muat</v>
          </cell>
          <cell r="G414" t="str">
            <v>V</v>
          </cell>
          <cell r="H414">
            <v>10</v>
          </cell>
          <cell r="I414" t="str">
            <v>Buah/M'</v>
          </cell>
          <cell r="L414" t="str">
            <v>E.</v>
          </cell>
          <cell r="N414" t="str">
            <v>OVERHEAD &amp; PROFIT</v>
          </cell>
          <cell r="P414">
            <v>10</v>
          </cell>
          <cell r="Q414" t="str">
            <v>%  x  D</v>
          </cell>
          <cell r="U414">
            <v>25713.346186067236</v>
          </cell>
        </row>
        <row r="415">
          <cell r="C415" t="str">
            <v>Faktor efisiensi alat</v>
          </cell>
          <cell r="G415" t="str">
            <v>Fa</v>
          </cell>
          <cell r="H415">
            <v>0.83</v>
          </cell>
          <cell r="L415" t="str">
            <v>F.</v>
          </cell>
          <cell r="N415" t="str">
            <v>HARGA SATUAN PEKERJAAN  ( D + E )</v>
          </cell>
          <cell r="U415">
            <v>282846.80804673955</v>
          </cell>
        </row>
        <row r="416">
          <cell r="C416" t="str">
            <v>Kecepatanrata-rata bermuatan</v>
          </cell>
          <cell r="G416" t="str">
            <v>v1</v>
          </cell>
          <cell r="H416">
            <v>20</v>
          </cell>
          <cell r="I416" t="str">
            <v>Km/Jam</v>
          </cell>
          <cell r="L416" t="str">
            <v>Note: 1</v>
          </cell>
          <cell r="N416" t="str">
            <v>SATUAN dapat berdasarkan atas jam operasi untuk Tenaga Kerja dan Peralatan, volume dan/atau ukuran</v>
          </cell>
        </row>
        <row r="417">
          <cell r="C417" t="str">
            <v>Kecepatan rata-rata kosong</v>
          </cell>
          <cell r="G417" t="str">
            <v>v2</v>
          </cell>
          <cell r="H417">
            <v>30</v>
          </cell>
          <cell r="I417" t="str">
            <v>Km/Jam</v>
          </cell>
          <cell r="N417" t="str">
            <v>berat untuk bahan-bahan.</v>
          </cell>
        </row>
        <row r="418">
          <cell r="C418" t="str">
            <v>Waktu siklus    :</v>
          </cell>
          <cell r="G418" t="str">
            <v>Ts</v>
          </cell>
          <cell r="L418">
            <v>2</v>
          </cell>
          <cell r="N418" t="str">
            <v>Kuantitas satuan adalah kuantitas setiap komponen untuk menyelesaikan satu satuan pekerjaan dari nomor</v>
          </cell>
        </row>
        <row r="419">
          <cell r="C419" t="str">
            <v>- Waktu  tempuh in  si  = (L : v1 ) x 60</v>
          </cell>
          <cell r="G419" t="str">
            <v>T1</v>
          </cell>
          <cell r="H419">
            <v>26.174999999999997</v>
          </cell>
          <cell r="I419" t="str">
            <v>menit</v>
          </cell>
          <cell r="N419" t="str">
            <v>mata pembayaran.</v>
          </cell>
        </row>
        <row r="420">
          <cell r="C420" t="str">
            <v>-  Waktutempuh kosong  = (L : v2)  x  60</v>
          </cell>
          <cell r="G420" t="str">
            <v>T2</v>
          </cell>
          <cell r="H420">
            <v>17.45</v>
          </cell>
          <cell r="I420" t="str">
            <v>menit</v>
          </cell>
          <cell r="L420">
            <v>3</v>
          </cell>
          <cell r="N420" t="str">
            <v>Biaya satuan untuk peralatan sudah termasuk bahan bakar, bahan habis dipakai dan operator.</v>
          </cell>
        </row>
        <row r="421">
          <cell r="C421" t="str">
            <v>-  Muat, bongkar dan lain-lain</v>
          </cell>
          <cell r="G421" t="str">
            <v>T3</v>
          </cell>
          <cell r="H421">
            <v>50</v>
          </cell>
          <cell r="I421" t="str">
            <v>menit</v>
          </cell>
          <cell r="L421">
            <v>4</v>
          </cell>
          <cell r="N421" t="str">
            <v>Biaya satuan sudah termasuk pengeluaran untuk seluruh pajak yang berkaitan (tetapi tidak termasuk PPN</v>
          </cell>
        </row>
        <row r="422">
          <cell r="G422" t="str">
            <v>Ts</v>
          </cell>
          <cell r="H422">
            <v>93.625</v>
          </cell>
          <cell r="I422" t="str">
            <v>menit</v>
          </cell>
          <cell r="N422" t="str">
            <v>yang dibayar dari kontrak) dan biaya-biaya lainnya.</v>
          </cell>
        </row>
        <row r="423">
          <cell r="J423" t="str">
            <v>Berlanjut ke halaman berikut</v>
          </cell>
        </row>
        <row r="424">
          <cell r="A424" t="str">
            <v>ITEM PEMBAYARAN NO.</v>
          </cell>
          <cell r="D424" t="str">
            <v>:  2.3 (2)</v>
          </cell>
          <cell r="J424" t="str">
            <v xml:space="preserve">Analisa EI-232 </v>
          </cell>
        </row>
        <row r="425">
          <cell r="A425" t="str">
            <v>JENIS PEKERJAAN</v>
          </cell>
          <cell r="D425" t="str">
            <v>:  Gorong2 Pipa Beton Bertulang 500 mm &lt; diameter dalam 700 mm</v>
          </cell>
        </row>
        <row r="426">
          <cell r="A426" t="str">
            <v>SATUAN PEMBAYARAN</v>
          </cell>
          <cell r="D426" t="str">
            <v>:  M1</v>
          </cell>
          <cell r="J426" t="str">
            <v xml:space="preserve">         URAIAN ANALISA HARGA SATUAN</v>
          </cell>
        </row>
        <row r="427">
          <cell r="J427" t="str">
            <v>Lanjutan</v>
          </cell>
        </row>
        <row r="429">
          <cell r="A429" t="str">
            <v>No.</v>
          </cell>
          <cell r="C429" t="str">
            <v>U R A I A N</v>
          </cell>
          <cell r="G429" t="str">
            <v>KODE</v>
          </cell>
          <cell r="H429" t="str">
            <v>KOEF.</v>
          </cell>
          <cell r="I429" t="str">
            <v>SATUAN</v>
          </cell>
          <cell r="J429" t="str">
            <v>KETERANGAN</v>
          </cell>
        </row>
        <row r="432">
          <cell r="C432" t="str">
            <v>Kapasitas Produksi / Jam   =</v>
          </cell>
          <cell r="E432" t="str">
            <v>V x Fa x 60</v>
          </cell>
          <cell r="G432" t="str">
            <v>Q2</v>
          </cell>
          <cell r="H432">
            <v>5.3190921228304404</v>
          </cell>
          <cell r="I432" t="str">
            <v xml:space="preserve">M' / Jam </v>
          </cell>
        </row>
        <row r="433">
          <cell r="E433" t="str">
            <v xml:space="preserve">    Ts</v>
          </cell>
        </row>
        <row r="435">
          <cell r="C435" t="str">
            <v>Koefisien Alat / m'</v>
          </cell>
          <cell r="D435" t="str">
            <v xml:space="preserve"> =  1  :  Q2</v>
          </cell>
          <cell r="G435" t="str">
            <v>(E08)</v>
          </cell>
          <cell r="H435">
            <v>0.18800200803212852</v>
          </cell>
          <cell r="I435" t="str">
            <v>jam</v>
          </cell>
        </row>
        <row r="438">
          <cell r="A438" t="str">
            <v>2.c.</v>
          </cell>
          <cell r="C438" t="str">
            <v>ALAT  BANTU</v>
          </cell>
        </row>
        <row r="439">
          <cell r="C439" t="str">
            <v>Diperlukan alat-alat bantu kecil</v>
          </cell>
          <cell r="J439" t="str">
            <v>Lump Sump</v>
          </cell>
        </row>
        <row r="440">
          <cell r="C440" t="str">
            <v>- Sekop    =         3   buah</v>
          </cell>
        </row>
        <row r="441">
          <cell r="C441" t="str">
            <v>- Pacul     =         3   buah</v>
          </cell>
        </row>
        <row r="442">
          <cell r="C442" t="str">
            <v>- Alat-alat kecil lain</v>
          </cell>
        </row>
        <row r="444">
          <cell r="A444" t="str">
            <v xml:space="preserve">   3.</v>
          </cell>
          <cell r="C444" t="str">
            <v>TENAGA</v>
          </cell>
        </row>
        <row r="445">
          <cell r="C445" t="str">
            <v>Produksi Gorong-gorong / hari</v>
          </cell>
          <cell r="G445" t="str">
            <v>Qt</v>
          </cell>
          <cell r="H445">
            <v>10</v>
          </cell>
          <cell r="I445" t="str">
            <v>M'</v>
          </cell>
        </row>
        <row r="446">
          <cell r="C446" t="str">
            <v>Kebutuhan tenaga :</v>
          </cell>
        </row>
        <row r="447">
          <cell r="D447" t="str">
            <v>- Pekerja</v>
          </cell>
          <cell r="G447" t="str">
            <v>P</v>
          </cell>
          <cell r="H447">
            <v>7</v>
          </cell>
          <cell r="I447" t="str">
            <v>orang</v>
          </cell>
        </row>
        <row r="448">
          <cell r="D448" t="str">
            <v>- Tukang</v>
          </cell>
          <cell r="G448" t="str">
            <v>T</v>
          </cell>
          <cell r="H448">
            <v>2</v>
          </cell>
          <cell r="I448" t="str">
            <v>orang</v>
          </cell>
        </row>
        <row r="449">
          <cell r="D449" t="str">
            <v>- Mandor</v>
          </cell>
          <cell r="G449" t="str">
            <v>M</v>
          </cell>
          <cell r="H449">
            <v>1</v>
          </cell>
          <cell r="I449" t="str">
            <v>orang</v>
          </cell>
        </row>
        <row r="451">
          <cell r="C451" t="str">
            <v>Koefisien tenaga / M'   :</v>
          </cell>
        </row>
        <row r="452">
          <cell r="D452" t="str">
            <v>- Pekerja</v>
          </cell>
          <cell r="E452" t="str">
            <v>= (Tk x P) : Qt</v>
          </cell>
          <cell r="G452" t="str">
            <v>(L01)</v>
          </cell>
          <cell r="H452">
            <v>4.9000000000000004</v>
          </cell>
          <cell r="I452" t="str">
            <v>jam</v>
          </cell>
        </row>
        <row r="453">
          <cell r="D453" t="str">
            <v>- Tukang</v>
          </cell>
          <cell r="E453" t="str">
            <v>= (Tk x T) : Qt</v>
          </cell>
          <cell r="G453" t="str">
            <v>(L02)</v>
          </cell>
          <cell r="H453">
            <v>1.4</v>
          </cell>
          <cell r="I453" t="str">
            <v>jam</v>
          </cell>
        </row>
        <row r="454">
          <cell r="D454" t="str">
            <v>- Mandor</v>
          </cell>
          <cell r="E454" t="str">
            <v>= (Tk x M) : Qt</v>
          </cell>
          <cell r="G454" t="str">
            <v>(L03)</v>
          </cell>
          <cell r="H454">
            <v>0.7</v>
          </cell>
          <cell r="I454" t="str">
            <v>jam</v>
          </cell>
        </row>
        <row r="456">
          <cell r="A456" t="str">
            <v>4.</v>
          </cell>
          <cell r="C456" t="str">
            <v>HARGA DASAR SATUAN UPAH, BAHAN DAN ALAT</v>
          </cell>
        </row>
        <row r="457">
          <cell r="C457" t="str">
            <v>Lihat lampiran.</v>
          </cell>
        </row>
        <row r="460">
          <cell r="A460" t="str">
            <v>5.</v>
          </cell>
          <cell r="C460" t="str">
            <v>ANALISA HARGA SATUAN PEKERJAAN</v>
          </cell>
        </row>
        <row r="461">
          <cell r="C461" t="str">
            <v>Lihat perhitungan dalam FORMULIR STANDAR UNTUK</v>
          </cell>
        </row>
        <row r="462">
          <cell r="C462" t="str">
            <v>PEREKEMAN ANALISA MASING-MASING HARGA</v>
          </cell>
        </row>
        <row r="463">
          <cell r="C463" t="str">
            <v>SATUAN.</v>
          </cell>
        </row>
        <row r="464">
          <cell r="C464" t="str">
            <v>Didapat Harga Satuan Pekerjaan :</v>
          </cell>
        </row>
        <row r="466">
          <cell r="C466" t="str">
            <v xml:space="preserve">Rp.  </v>
          </cell>
          <cell r="D466">
            <v>282846.80804673955</v>
          </cell>
          <cell r="E466" t="str">
            <v xml:space="preserve"> / M'</v>
          </cell>
        </row>
        <row r="469">
          <cell r="A469" t="str">
            <v>6.</v>
          </cell>
          <cell r="C469" t="str">
            <v>WAKTU PELAKSANAAN YANG DIPERLUKAN</v>
          </cell>
        </row>
        <row r="470">
          <cell r="C470" t="str">
            <v>Masa Pelaksanaan :</v>
          </cell>
          <cell r="D470" t="str">
            <v>. . . . . . . . . . . .</v>
          </cell>
          <cell r="E470" t="str">
            <v>bulan</v>
          </cell>
        </row>
        <row r="472">
          <cell r="A472" t="str">
            <v>7.</v>
          </cell>
          <cell r="C472" t="str">
            <v>VOLUME PEKERJAAN YANG DIPERLUKAN</v>
          </cell>
        </row>
        <row r="473">
          <cell r="C473" t="str">
            <v>Volume pekerjaan  :</v>
          </cell>
          <cell r="D473">
            <v>1</v>
          </cell>
          <cell r="E473" t="str">
            <v>M'</v>
          </cell>
        </row>
        <row r="482">
          <cell r="T482" t="str">
            <v xml:space="preserve">Analisa EI-233 </v>
          </cell>
        </row>
        <row r="483">
          <cell r="A483" t="str">
            <v>ITEM PEMBAYARAN NO.</v>
          </cell>
          <cell r="D483" t="str">
            <v>:  2.3 (3)</v>
          </cell>
          <cell r="J483" t="str">
            <v xml:space="preserve">Analisa EI-233 </v>
          </cell>
        </row>
        <row r="484">
          <cell r="A484" t="str">
            <v>JENIS PEKERJAAN</v>
          </cell>
          <cell r="D484" t="str">
            <v>:  Gorong2 Pipa Beton Bertulang 500 mm &lt; diameter dalam &lt; 1 m</v>
          </cell>
          <cell r="L484" t="str">
            <v>FORMULIR STANDAR UNTUK</v>
          </cell>
        </row>
        <row r="485">
          <cell r="A485" t="str">
            <v>SATUAN PEMBAYARAN</v>
          </cell>
          <cell r="D485" t="str">
            <v>:  M1</v>
          </cell>
          <cell r="J485" t="str">
            <v xml:space="preserve">         URAIAN ANALISA HARGA SATUAN</v>
          </cell>
          <cell r="L485" t="str">
            <v>PEREKAMAN ANALISA MASING-MASING HARGA SATUAN</v>
          </cell>
        </row>
        <row r="486">
          <cell r="L486" t="str">
            <v xml:space="preserve">                                                                                                            </v>
          </cell>
        </row>
        <row r="488">
          <cell r="A488" t="str">
            <v>No.</v>
          </cell>
          <cell r="C488" t="str">
            <v>U R A I A N</v>
          </cell>
          <cell r="G488" t="str">
            <v>KODE</v>
          </cell>
          <cell r="H488" t="str">
            <v>KOEF.</v>
          </cell>
          <cell r="I488" t="str">
            <v>SATUAN</v>
          </cell>
          <cell r="J488" t="str">
            <v>KETERANGAN</v>
          </cell>
        </row>
        <row r="489">
          <cell r="L489" t="str">
            <v>PROYEK</v>
          </cell>
          <cell r="O489" t="str">
            <v>:</v>
          </cell>
        </row>
        <row r="490">
          <cell r="L490" t="str">
            <v>No. PAKET KONTRAK</v>
          </cell>
          <cell r="O490" t="str">
            <v>:</v>
          </cell>
        </row>
        <row r="491">
          <cell r="A491" t="str">
            <v>I.</v>
          </cell>
          <cell r="C491" t="str">
            <v>ASUMSI</v>
          </cell>
          <cell r="L491" t="str">
            <v>NAMA PAKET</v>
          </cell>
          <cell r="O491" t="str">
            <v>:</v>
          </cell>
        </row>
        <row r="492">
          <cell r="A492">
            <v>1</v>
          </cell>
          <cell r="C492" t="str">
            <v>Pekerjaan dilakukan secara mekanik/manual</v>
          </cell>
          <cell r="L492" t="str">
            <v>PROP / KAB / KODYA</v>
          </cell>
          <cell r="O492" t="str">
            <v>:</v>
          </cell>
        </row>
        <row r="493">
          <cell r="A493">
            <v>2</v>
          </cell>
          <cell r="C493" t="str">
            <v>Lokasi pekerjaan : sepanjang jalan</v>
          </cell>
          <cell r="L493" t="str">
            <v>ITEM PEMBAYARAN NO.</v>
          </cell>
          <cell r="O493" t="str">
            <v>:  2.3 (3)</v>
          </cell>
          <cell r="R493" t="str">
            <v>PERKIRAAN VOL. PEK.</v>
          </cell>
          <cell r="T493" t="str">
            <v>:</v>
          </cell>
          <cell r="U493">
            <v>1</v>
          </cell>
        </row>
        <row r="494">
          <cell r="A494">
            <v>3</v>
          </cell>
          <cell r="C494" t="str">
            <v>Diameter bagian dalam gorong-gorong</v>
          </cell>
          <cell r="G494" t="str">
            <v>d</v>
          </cell>
          <cell r="H494">
            <v>0.8</v>
          </cell>
          <cell r="I494" t="str">
            <v>m</v>
          </cell>
          <cell r="L494" t="str">
            <v>JENIS PEKERJAAN</v>
          </cell>
          <cell r="O494" t="str">
            <v>:  Gorong2 Pipa Beton Bertulang 500 mm &lt; diameter dalam &lt; 1 m</v>
          </cell>
          <cell r="R494" t="str">
            <v>TOTAL HARGA (Rp.)</v>
          </cell>
          <cell r="T494" t="str">
            <v>:</v>
          </cell>
          <cell r="U494">
            <v>447945.27138535964</v>
          </cell>
        </row>
        <row r="495">
          <cell r="A495">
            <v>4</v>
          </cell>
          <cell r="C495" t="str">
            <v>Jarak rata-rata Base Camp ke lokasi pekerjaan</v>
          </cell>
          <cell r="G495" t="str">
            <v>L</v>
          </cell>
          <cell r="H495">
            <v>8.7249999999999996</v>
          </cell>
          <cell r="I495" t="str">
            <v>Km</v>
          </cell>
          <cell r="L495" t="str">
            <v>SATUAN PEMBAYARAN</v>
          </cell>
          <cell r="O495" t="str">
            <v>:  M1</v>
          </cell>
          <cell r="Q495">
            <v>0</v>
          </cell>
          <cell r="R495" t="str">
            <v>% THD. BIAYA PROYEK</v>
          </cell>
          <cell r="T495" t="str">
            <v>:</v>
          </cell>
          <cell r="U495" t="e">
            <v>#DIV/0!</v>
          </cell>
        </row>
        <row r="496">
          <cell r="A496">
            <v>5</v>
          </cell>
          <cell r="C496" t="str">
            <v>Jam kerja efektif per-hari</v>
          </cell>
          <cell r="G496" t="str">
            <v>Tk</v>
          </cell>
          <cell r="H496">
            <v>7</v>
          </cell>
          <cell r="I496" t="str">
            <v>Jam</v>
          </cell>
        </row>
        <row r="497">
          <cell r="A497">
            <v>6</v>
          </cell>
          <cell r="C497" t="str">
            <v>Tebal gorong-gorong</v>
          </cell>
          <cell r="G497" t="str">
            <v>tg</v>
          </cell>
          <cell r="H497">
            <v>7.5</v>
          </cell>
          <cell r="I497" t="str">
            <v>Cm</v>
          </cell>
        </row>
        <row r="498">
          <cell r="Q498" t="str">
            <v>PERKIRAAN</v>
          </cell>
          <cell r="R498" t="str">
            <v>HARGA</v>
          </cell>
          <cell r="S498" t="str">
            <v>JUMLAH</v>
          </cell>
        </row>
        <row r="499">
          <cell r="A499" t="str">
            <v>II.</v>
          </cell>
          <cell r="C499" t="str">
            <v>URUTAN KERJA</v>
          </cell>
          <cell r="L499" t="str">
            <v>NO.</v>
          </cell>
          <cell r="N499" t="str">
            <v>KOMPONEN</v>
          </cell>
          <cell r="P499" t="str">
            <v>SATUAN</v>
          </cell>
          <cell r="Q499" t="str">
            <v>KUANTITAS</v>
          </cell>
          <cell r="R499" t="str">
            <v>SATUAN</v>
          </cell>
          <cell r="S499" t="str">
            <v>HARGA</v>
          </cell>
        </row>
        <row r="500">
          <cell r="A500">
            <v>1</v>
          </cell>
          <cell r="C500" t="str">
            <v>Gorong-gorong dicetak di Base Camp</v>
          </cell>
          <cell r="R500" t="str">
            <v>(Rp.)</v>
          </cell>
          <cell r="S500" t="str">
            <v>(Rp.)</v>
          </cell>
        </row>
        <row r="501">
          <cell r="A501">
            <v>2</v>
          </cell>
          <cell r="C501" t="str">
            <v>Dump Truck mengangkut gorong-gorong jadi</v>
          </cell>
        </row>
        <row r="502">
          <cell r="C502" t="str">
            <v>ke lapangan</v>
          </cell>
        </row>
        <row r="503">
          <cell r="A503">
            <v>3</v>
          </cell>
          <cell r="C503" t="str">
            <v>Dasar gorong-gorong digali sesuai kebutuhan dan ma-</v>
          </cell>
          <cell r="L503" t="str">
            <v>A.</v>
          </cell>
          <cell r="N503" t="str">
            <v>TENAGA</v>
          </cell>
        </row>
        <row r="504">
          <cell r="C504" t="str">
            <v>terial backfill dipadatkan dengan Tamper</v>
          </cell>
        </row>
        <row r="505">
          <cell r="A505">
            <v>4</v>
          </cell>
          <cell r="C505" t="str">
            <v>Tebal lapis porus pada dasar gorong-gorong pipa</v>
          </cell>
          <cell r="G505" t="str">
            <v>tp</v>
          </cell>
          <cell r="H505">
            <v>0.12</v>
          </cell>
          <cell r="I505" t="str">
            <v>M</v>
          </cell>
          <cell r="J505" t="str">
            <v xml:space="preserve"> Sand bedding</v>
          </cell>
          <cell r="L505" t="str">
            <v>1.</v>
          </cell>
          <cell r="N505" t="str">
            <v>Pekerja</v>
          </cell>
          <cell r="O505" t="str">
            <v>(L01)</v>
          </cell>
          <cell r="P505" t="str">
            <v>Jam</v>
          </cell>
          <cell r="Q505">
            <v>9.3333333333333339</v>
          </cell>
          <cell r="R505">
            <v>2857.14</v>
          </cell>
          <cell r="U505">
            <v>26666.639999999999</v>
          </cell>
        </row>
        <row r="506">
          <cell r="A506">
            <v>5</v>
          </cell>
          <cell r="C506" t="str">
            <v>Material pilihan untuk penimbunan kembali (padat)</v>
          </cell>
          <cell r="L506" t="str">
            <v>2.</v>
          </cell>
          <cell r="N506" t="str">
            <v>Tukang</v>
          </cell>
          <cell r="O506" t="str">
            <v>(L02)</v>
          </cell>
          <cell r="P506" t="str">
            <v>Jam</v>
          </cell>
          <cell r="Q506">
            <v>1.1666666666666667</v>
          </cell>
          <cell r="R506">
            <v>4285.71</v>
          </cell>
          <cell r="U506">
            <v>4999.9950000000008</v>
          </cell>
        </row>
        <row r="507">
          <cell r="A507">
            <v>6</v>
          </cell>
          <cell r="C507" t="str">
            <v>Sekelompok pekerja akan melaksanakan pekerjaan</v>
          </cell>
          <cell r="L507" t="str">
            <v>3.</v>
          </cell>
          <cell r="N507" t="str">
            <v>Mandor</v>
          </cell>
          <cell r="O507" t="str">
            <v>(L03)</v>
          </cell>
          <cell r="P507" t="str">
            <v>Jam</v>
          </cell>
          <cell r="Q507">
            <v>1.1666666666666667</v>
          </cell>
          <cell r="R507">
            <v>3214.29</v>
          </cell>
          <cell r="U507">
            <v>3750.0050000000001</v>
          </cell>
        </row>
        <row r="508">
          <cell r="C508" t="str">
            <v>dengan cara manual dengan menggunakan alat bantu</v>
          </cell>
        </row>
        <row r="509">
          <cell r="Q509" t="str">
            <v xml:space="preserve">JUMLAH HARGA TENAGA   </v>
          </cell>
          <cell r="U509">
            <v>35416.639999999999</v>
          </cell>
        </row>
        <row r="511">
          <cell r="A511" t="str">
            <v>III.</v>
          </cell>
          <cell r="C511" t="str">
            <v>PEMAKAIAN BAHAN, ALAT DAN TENAGA</v>
          </cell>
          <cell r="L511" t="str">
            <v>B.</v>
          </cell>
          <cell r="N511" t="str">
            <v>BAHAN</v>
          </cell>
        </row>
        <row r="512">
          <cell r="A512" t="str">
            <v xml:space="preserve">   1.</v>
          </cell>
          <cell r="C512" t="str">
            <v>BAHAN</v>
          </cell>
        </row>
        <row r="513">
          <cell r="C513" t="str">
            <v>Untuk mendapatkan 1 M' gorong-gorong diperlukan</v>
          </cell>
          <cell r="L513" t="str">
            <v>1.</v>
          </cell>
          <cell r="N513" t="str">
            <v>Beton K-300</v>
          </cell>
          <cell r="O513" t="str">
            <v>(EI-714)</v>
          </cell>
          <cell r="P513" t="str">
            <v>M3</v>
          </cell>
          <cell r="Q513">
            <v>0.20616701789183023</v>
          </cell>
          <cell r="R513">
            <v>652902.54982502444</v>
          </cell>
          <cell r="U513">
            <v>134606.97167139739</v>
          </cell>
        </row>
        <row r="514">
          <cell r="C514" t="str">
            <v>- Beton K-300 = (22/7*((2*tg/100+d)/2)^2)-(22/7*(d/2)^2))*1</v>
          </cell>
          <cell r="G514" t="str">
            <v>(EI-714)</v>
          </cell>
          <cell r="H514">
            <v>0.20616701789183023</v>
          </cell>
          <cell r="I514" t="str">
            <v>M3</v>
          </cell>
          <cell r="L514" t="str">
            <v>2.</v>
          </cell>
          <cell r="N514" t="str">
            <v>Baja Tulangan</v>
          </cell>
          <cell r="O514" t="str">
            <v>(M39)</v>
          </cell>
          <cell r="P514" t="str">
            <v>Kg</v>
          </cell>
          <cell r="Q514">
            <v>22.678371968101327</v>
          </cell>
          <cell r="R514">
            <v>4000</v>
          </cell>
          <cell r="U514">
            <v>90713.487872405312</v>
          </cell>
        </row>
        <row r="515">
          <cell r="C515" t="str">
            <v>- Baja Tulangan (asumsi 100kg/m3)</v>
          </cell>
          <cell r="G515" t="str">
            <v>(M39)</v>
          </cell>
          <cell r="H515">
            <v>22.678371968101327</v>
          </cell>
          <cell r="I515" t="str">
            <v>Kg</v>
          </cell>
          <cell r="L515" t="str">
            <v>3.</v>
          </cell>
          <cell r="N515" t="str">
            <v>Urugan Porus</v>
          </cell>
          <cell r="O515" t="str">
            <v>(EI-241)</v>
          </cell>
          <cell r="P515" t="str">
            <v>M3</v>
          </cell>
          <cell r="Q515">
            <v>0.2205</v>
          </cell>
          <cell r="R515">
            <v>186901.40625406182</v>
          </cell>
          <cell r="U515">
            <v>41211.760079020634</v>
          </cell>
        </row>
        <row r="516">
          <cell r="C516" t="str">
            <v>- Timbunan Porus      = {(tp*(0.4+2*tg/100+d+0.4)*1)*1.05}</v>
          </cell>
          <cell r="G516" t="str">
            <v>(EI-241)</v>
          </cell>
          <cell r="H516">
            <v>0.2205</v>
          </cell>
          <cell r="I516" t="str">
            <v>M3</v>
          </cell>
          <cell r="L516" t="str">
            <v>4.</v>
          </cell>
          <cell r="N516" t="str">
            <v>Mat. Pilihan</v>
          </cell>
          <cell r="O516" t="str">
            <v>(M09)</v>
          </cell>
          <cell r="P516" t="str">
            <v>M3</v>
          </cell>
          <cell r="Q516">
            <v>1.5523125</v>
          </cell>
          <cell r="R516">
            <v>25000</v>
          </cell>
          <cell r="U516">
            <v>38807.8125</v>
          </cell>
        </row>
        <row r="517">
          <cell r="C517" t="str">
            <v>- Material Pilihan</v>
          </cell>
          <cell r="D517" t="str">
            <v>= ((2*tg/100+d+0.3)*(0.4+2*tg/100+d+0.4)</v>
          </cell>
          <cell r="G517" t="str">
            <v>(M09)</v>
          </cell>
          <cell r="H517">
            <v>1.5523125</v>
          </cell>
          <cell r="I517" t="str">
            <v>M3</v>
          </cell>
          <cell r="J517" t="str">
            <v xml:space="preserve"> = Vp</v>
          </cell>
        </row>
        <row r="518">
          <cell r="D518" t="str">
            <v xml:space="preserve">   -(22/7*(0.5*(2*tg/100+d))^2))*1*1.05</v>
          </cell>
        </row>
        <row r="519">
          <cell r="A519" t="str">
            <v xml:space="preserve">   2.</v>
          </cell>
          <cell r="C519" t="str">
            <v>ALAT</v>
          </cell>
          <cell r="Q519" t="str">
            <v xml:space="preserve">JUMLAH HARGA BAHAN   </v>
          </cell>
          <cell r="U519">
            <v>305340.03212282335</v>
          </cell>
        </row>
        <row r="520">
          <cell r="A520" t="str">
            <v>2.a.</v>
          </cell>
          <cell r="C520" t="str">
            <v>TAMPER</v>
          </cell>
          <cell r="G520" t="str">
            <v>(E25)</v>
          </cell>
        </row>
        <row r="521">
          <cell r="C521" t="str">
            <v>Kecepatan</v>
          </cell>
          <cell r="G521" t="str">
            <v>V</v>
          </cell>
          <cell r="H521">
            <v>0.5</v>
          </cell>
          <cell r="I521" t="str">
            <v>Km / Jam</v>
          </cell>
          <cell r="L521" t="str">
            <v>C.</v>
          </cell>
          <cell r="N521" t="str">
            <v>PERALATAN</v>
          </cell>
        </row>
        <row r="522">
          <cell r="C522" t="str">
            <v>Efisiensi alat</v>
          </cell>
          <cell r="G522" t="str">
            <v>Fa</v>
          </cell>
          <cell r="H522">
            <v>0.83</v>
          </cell>
          <cell r="I522" t="str">
            <v>-</v>
          </cell>
        </row>
        <row r="523">
          <cell r="C523" t="str">
            <v>Lebar pemadatan</v>
          </cell>
          <cell r="G523" t="str">
            <v>Lb</v>
          </cell>
          <cell r="H523">
            <v>0.4</v>
          </cell>
          <cell r="I523" t="str">
            <v>M</v>
          </cell>
          <cell r="L523" t="str">
            <v>1.</v>
          </cell>
          <cell r="N523" t="str">
            <v>Tamper</v>
          </cell>
          <cell r="O523" t="str">
            <v>(E25)</v>
          </cell>
          <cell r="P523" t="str">
            <v>Jam</v>
          </cell>
          <cell r="Q523">
            <v>0.46756400602409631</v>
          </cell>
          <cell r="R523">
            <v>18672.16854694486</v>
          </cell>
          <cell r="U523">
            <v>8730.4339269666689</v>
          </cell>
        </row>
        <row r="524">
          <cell r="C524" t="str">
            <v>Banyak lintasan</v>
          </cell>
          <cell r="G524" t="str">
            <v>n</v>
          </cell>
          <cell r="H524">
            <v>10</v>
          </cell>
          <cell r="I524" t="str">
            <v>lintasan</v>
          </cell>
          <cell r="L524" t="str">
            <v>2.</v>
          </cell>
          <cell r="N524" t="str">
            <v>Dump Truck</v>
          </cell>
          <cell r="O524" t="str">
            <v>(E08)</v>
          </cell>
          <cell r="P524" t="str">
            <v>Jam</v>
          </cell>
          <cell r="Q524">
            <v>0.36926455823293175</v>
          </cell>
          <cell r="R524">
            <v>153645.58193291764</v>
          </cell>
          <cell r="U524">
            <v>56735.867936900555</v>
          </cell>
        </row>
        <row r="525">
          <cell r="C525" t="str">
            <v>Tebal lapis hamparan</v>
          </cell>
          <cell r="G525" t="str">
            <v>tp</v>
          </cell>
          <cell r="H525">
            <v>0.2</v>
          </cell>
          <cell r="I525" t="str">
            <v>M</v>
          </cell>
          <cell r="L525" t="str">
            <v>3.</v>
          </cell>
          <cell r="N525" t="str">
            <v>Alat  Bantu</v>
          </cell>
          <cell r="P525" t="str">
            <v>Ls</v>
          </cell>
          <cell r="Q525">
            <v>1</v>
          </cell>
          <cell r="R525">
            <v>1000</v>
          </cell>
          <cell r="U525">
            <v>1000</v>
          </cell>
        </row>
        <row r="528">
          <cell r="C528" t="str">
            <v>Kap. Prod. / Jam   =</v>
          </cell>
          <cell r="D528" t="str">
            <v>v x 1000 x Fa x Lb x 60</v>
          </cell>
          <cell r="G528" t="str">
            <v>Q1</v>
          </cell>
          <cell r="H528">
            <v>3.3200000000000003</v>
          </cell>
          <cell r="I528" t="str">
            <v xml:space="preserve">M3 / Jam </v>
          </cell>
        </row>
        <row r="529">
          <cell r="D529" t="str">
            <v xml:space="preserve">    n x tp</v>
          </cell>
        </row>
        <row r="531">
          <cell r="C531" t="str">
            <v>Koefisien Alat / m'</v>
          </cell>
          <cell r="D531" t="str">
            <v xml:space="preserve"> =  1  :  Q1 x Vp</v>
          </cell>
          <cell r="G531" t="str">
            <v>(E25)</v>
          </cell>
          <cell r="H531">
            <v>0.46756400602409631</v>
          </cell>
          <cell r="I531" t="str">
            <v>jam</v>
          </cell>
          <cell r="Q531" t="str">
            <v xml:space="preserve">JUMLAH HARGA PERALATAN   </v>
          </cell>
          <cell r="U531">
            <v>66466.301863867222</v>
          </cell>
        </row>
        <row r="533">
          <cell r="A533" t="str">
            <v>2.b.</v>
          </cell>
          <cell r="C533" t="str">
            <v>DUMP TRUCK</v>
          </cell>
          <cell r="G533" t="str">
            <v>(E08)</v>
          </cell>
          <cell r="L533" t="str">
            <v>D.</v>
          </cell>
          <cell r="N533" t="str">
            <v>JUMLAH HARGA TENAGA, BAHAN DAN PERALATAN  ( A + B + C )</v>
          </cell>
          <cell r="U533">
            <v>407222.97398669057</v>
          </cell>
        </row>
        <row r="534">
          <cell r="C534" t="str">
            <v>Kapasitas bak sekali muat</v>
          </cell>
          <cell r="G534" t="str">
            <v>V</v>
          </cell>
          <cell r="H534">
            <v>4</v>
          </cell>
          <cell r="I534" t="str">
            <v>Buah/M'</v>
          </cell>
          <cell r="L534" t="str">
            <v>E.</v>
          </cell>
          <cell r="N534" t="str">
            <v>OVERHEAD &amp; PROFIT</v>
          </cell>
          <cell r="P534">
            <v>10</v>
          </cell>
          <cell r="Q534" t="str">
            <v>%  x  D</v>
          </cell>
          <cell r="U534">
            <v>40722.297398669063</v>
          </cell>
        </row>
        <row r="535">
          <cell r="C535" t="str">
            <v>Faktor efisiensi alat</v>
          </cell>
          <cell r="G535" t="str">
            <v>Fa</v>
          </cell>
          <cell r="H535">
            <v>0.83</v>
          </cell>
          <cell r="L535" t="str">
            <v>F.</v>
          </cell>
          <cell r="N535" t="str">
            <v>HARGA SATUAN PEKERJAAN  ( D + E )</v>
          </cell>
          <cell r="U535">
            <v>447945.27138535964</v>
          </cell>
        </row>
        <row r="536">
          <cell r="C536" t="str">
            <v>Kecepatanrata-rata bermuatan</v>
          </cell>
          <cell r="G536" t="str">
            <v>v1</v>
          </cell>
          <cell r="H536">
            <v>40</v>
          </cell>
          <cell r="L536" t="str">
            <v>Note: 1</v>
          </cell>
          <cell r="N536" t="str">
            <v>SATUAN dapat berdasarkan atas jam operasi untuk Tenaga Kerja dan Peralatan, volume dan/atau ukuran</v>
          </cell>
        </row>
        <row r="537">
          <cell r="C537" t="str">
            <v>Kecepatan rata-rata kosong</v>
          </cell>
          <cell r="G537" t="str">
            <v>v2</v>
          </cell>
          <cell r="H537">
            <v>50</v>
          </cell>
          <cell r="N537" t="str">
            <v>berat untuk bahan-bahan.</v>
          </cell>
        </row>
        <row r="538">
          <cell r="C538" t="str">
            <v>Waktu siklus    :</v>
          </cell>
          <cell r="G538" t="str">
            <v>Ts</v>
          </cell>
          <cell r="L538">
            <v>2</v>
          </cell>
          <cell r="N538" t="str">
            <v>Kuantitas satuan adalah kuantitas setiap komponen untuk menyelesaikan satu satuan pekerjaan dari nomor</v>
          </cell>
        </row>
        <row r="539">
          <cell r="C539" t="str">
            <v>- Waktu  tempuh in  si    = (L : v1 ) x 60</v>
          </cell>
          <cell r="G539" t="str">
            <v>T1</v>
          </cell>
          <cell r="H539">
            <v>13.087499999999999</v>
          </cell>
          <cell r="I539" t="str">
            <v>menit</v>
          </cell>
          <cell r="N539" t="str">
            <v>mata pembayaran.</v>
          </cell>
        </row>
        <row r="540">
          <cell r="C540" t="str">
            <v>-  Waktutempuh kosong  = (L : v2)  x  60</v>
          </cell>
          <cell r="G540" t="str">
            <v>T2</v>
          </cell>
          <cell r="H540">
            <v>10.469999999999999</v>
          </cell>
          <cell r="I540" t="str">
            <v>menit</v>
          </cell>
          <cell r="L540">
            <v>3</v>
          </cell>
          <cell r="N540" t="str">
            <v>Biaya satuan untuk peralatan sudah termasuk bahan bakar, bahan habis dipakai dan operator.</v>
          </cell>
        </row>
        <row r="541">
          <cell r="C541" t="str">
            <v>- Muat, bongkar dan lain-lain</v>
          </cell>
          <cell r="G541" t="str">
            <v>T3</v>
          </cell>
          <cell r="H541">
            <v>50</v>
          </cell>
          <cell r="I541" t="str">
            <v>menit</v>
          </cell>
          <cell r="L541">
            <v>4</v>
          </cell>
          <cell r="N541" t="str">
            <v>Biaya satuan sudah termasuk pengeluaran untuk seluruh pajak yang berkaitan (tetapi tidak termasuk PPN</v>
          </cell>
        </row>
        <row r="542">
          <cell r="G542" t="str">
            <v>Ts</v>
          </cell>
          <cell r="H542">
            <v>73.557500000000005</v>
          </cell>
          <cell r="I542" t="str">
            <v>menit</v>
          </cell>
          <cell r="N542" t="str">
            <v>yang dibayar dari kontrak) dan biaya-biaya lainnya.</v>
          </cell>
        </row>
        <row r="543">
          <cell r="J543" t="str">
            <v>Berlanjut ke halaman berikut</v>
          </cell>
        </row>
        <row r="544">
          <cell r="A544" t="str">
            <v>ITEM PEMBAYARAN NO.</v>
          </cell>
          <cell r="D544" t="str">
            <v>:  2.3 (3)</v>
          </cell>
          <cell r="J544" t="str">
            <v xml:space="preserve">Analisa EI-233 </v>
          </cell>
        </row>
        <row r="545">
          <cell r="A545" t="str">
            <v>JENIS PEKERJAAN</v>
          </cell>
          <cell r="D545" t="str">
            <v>:  Gorong2 Pipa Beton Bertulang 500 mm &lt; diameter dalam &lt; 1 m</v>
          </cell>
        </row>
        <row r="546">
          <cell r="A546" t="str">
            <v>SATUAN PEMBAYARAN</v>
          </cell>
          <cell r="D546" t="str">
            <v>:  M1</v>
          </cell>
          <cell r="J546" t="str">
            <v xml:space="preserve">         URAIAN ANALISA HARGA SATUAN</v>
          </cell>
        </row>
        <row r="547">
          <cell r="J547" t="str">
            <v>Lanjutan</v>
          </cell>
        </row>
        <row r="549">
          <cell r="A549" t="str">
            <v>No.</v>
          </cell>
          <cell r="C549" t="str">
            <v>U R A I A N</v>
          </cell>
          <cell r="G549" t="str">
            <v>KODE</v>
          </cell>
          <cell r="H549" t="str">
            <v>KOEF.</v>
          </cell>
          <cell r="I549" t="str">
            <v>SATUAN</v>
          </cell>
          <cell r="J549" t="str">
            <v>KETERANGAN</v>
          </cell>
        </row>
        <row r="552">
          <cell r="C552" t="str">
            <v>Kapasitas Produksi / Jam   =</v>
          </cell>
          <cell r="E552" t="str">
            <v>V x Fa x 60</v>
          </cell>
          <cell r="G552" t="str">
            <v>Q2</v>
          </cell>
          <cell r="H552">
            <v>2.7080855113346698</v>
          </cell>
          <cell r="I552" t="str">
            <v xml:space="preserve">M' / Jam </v>
          </cell>
        </row>
        <row r="553">
          <cell r="E553" t="str">
            <v xml:space="preserve">    Ts</v>
          </cell>
        </row>
        <row r="555">
          <cell r="C555" t="str">
            <v>Koefisien Alat / m'</v>
          </cell>
          <cell r="D555" t="str">
            <v xml:space="preserve"> =  1  :  Q2</v>
          </cell>
          <cell r="G555" t="str">
            <v>(E08)</v>
          </cell>
          <cell r="H555">
            <v>0.36926455823293175</v>
          </cell>
          <cell r="I555" t="str">
            <v>jam</v>
          </cell>
        </row>
        <row r="558">
          <cell r="A558" t="str">
            <v>2.c.</v>
          </cell>
          <cell r="C558" t="str">
            <v>ALAT  BANTU</v>
          </cell>
        </row>
        <row r="559">
          <cell r="C559" t="str">
            <v>Diperlukan alat-alat bantu kecil</v>
          </cell>
          <cell r="J559" t="str">
            <v>Lump Sump</v>
          </cell>
        </row>
        <row r="560">
          <cell r="C560" t="str">
            <v>- Sekop    =         3   buah</v>
          </cell>
        </row>
        <row r="561">
          <cell r="C561" t="str">
            <v>- Pacul     =         3   buah</v>
          </cell>
        </row>
        <row r="562">
          <cell r="C562" t="str">
            <v>- Alat-alat kecil lain</v>
          </cell>
        </row>
        <row r="564">
          <cell r="A564" t="str">
            <v xml:space="preserve">   3.</v>
          </cell>
          <cell r="C564" t="str">
            <v>TENAGA</v>
          </cell>
        </row>
        <row r="565">
          <cell r="C565" t="str">
            <v>Produksi Gorong-gorong / hari</v>
          </cell>
          <cell r="G565" t="str">
            <v>Qt</v>
          </cell>
          <cell r="H565">
            <v>6</v>
          </cell>
          <cell r="I565" t="str">
            <v>M'</v>
          </cell>
        </row>
        <row r="566">
          <cell r="C566" t="str">
            <v>Kebutuhan tenaga :</v>
          </cell>
        </row>
        <row r="567">
          <cell r="D567" t="str">
            <v>- Pekerja</v>
          </cell>
          <cell r="G567" t="str">
            <v>P</v>
          </cell>
          <cell r="H567">
            <v>8</v>
          </cell>
          <cell r="I567" t="str">
            <v>orang</v>
          </cell>
        </row>
        <row r="568">
          <cell r="D568" t="str">
            <v>- Tukang</v>
          </cell>
          <cell r="G568" t="str">
            <v>T</v>
          </cell>
          <cell r="H568">
            <v>1</v>
          </cell>
          <cell r="I568" t="str">
            <v>orang</v>
          </cell>
        </row>
        <row r="569">
          <cell r="D569" t="str">
            <v>- Mandor</v>
          </cell>
          <cell r="G569" t="str">
            <v>M</v>
          </cell>
          <cell r="H569">
            <v>1</v>
          </cell>
          <cell r="I569" t="str">
            <v>orang</v>
          </cell>
        </row>
        <row r="571">
          <cell r="C571" t="str">
            <v>Koefisien tenaga / M'   :</v>
          </cell>
        </row>
        <row r="572">
          <cell r="D572" t="str">
            <v>- Pekerja</v>
          </cell>
          <cell r="E572" t="str">
            <v>= (Tk x P) : Qt</v>
          </cell>
          <cell r="G572" t="str">
            <v>(L01)</v>
          </cell>
          <cell r="H572">
            <v>9.3333333333333339</v>
          </cell>
          <cell r="I572" t="str">
            <v>jam</v>
          </cell>
        </row>
        <row r="573">
          <cell r="D573" t="str">
            <v>- Tukang</v>
          </cell>
          <cell r="E573" t="str">
            <v>= (Tk x T) : Qt</v>
          </cell>
          <cell r="G573" t="str">
            <v>(L02)</v>
          </cell>
          <cell r="H573">
            <v>1.1666666666666667</v>
          </cell>
          <cell r="I573" t="str">
            <v>jam</v>
          </cell>
        </row>
        <row r="574">
          <cell r="D574" t="str">
            <v>- Mandor</v>
          </cell>
          <cell r="E574" t="str">
            <v>= (Tk x M) : Qt</v>
          </cell>
          <cell r="G574" t="str">
            <v>(L03)</v>
          </cell>
          <cell r="H574">
            <v>1.1666666666666667</v>
          </cell>
          <cell r="I574" t="str">
            <v>jam</v>
          </cell>
        </row>
        <row r="576">
          <cell r="A576" t="str">
            <v>4.</v>
          </cell>
          <cell r="C576" t="str">
            <v>HARGA DASAR SATUAN UPAH, BAHAN DAN ALAT</v>
          </cell>
        </row>
        <row r="577">
          <cell r="C577" t="str">
            <v>Lihat lampiran.</v>
          </cell>
        </row>
        <row r="580">
          <cell r="A580" t="str">
            <v>5.</v>
          </cell>
          <cell r="C580" t="str">
            <v>ANALISA HARGA SATUAN PEKERJAAN</v>
          </cell>
        </row>
        <row r="581">
          <cell r="C581" t="str">
            <v>Lihat perhitungan dalam FORMULIR STANDAR UNTUK</v>
          </cell>
        </row>
        <row r="582">
          <cell r="C582" t="str">
            <v>PEREKEMAN ANALISA MASING-MASING HARGA</v>
          </cell>
        </row>
        <row r="583">
          <cell r="C583" t="str">
            <v>SATUAN.</v>
          </cell>
        </row>
        <row r="584">
          <cell r="C584" t="str">
            <v>Didapat Harga Satuan Pekerjaan :</v>
          </cell>
        </row>
        <row r="586">
          <cell r="C586" t="str">
            <v xml:space="preserve">Rp.  </v>
          </cell>
          <cell r="D586">
            <v>447945.27138535964</v>
          </cell>
          <cell r="E586" t="str">
            <v xml:space="preserve"> / M'</v>
          </cell>
        </row>
        <row r="589">
          <cell r="A589" t="str">
            <v>6.</v>
          </cell>
          <cell r="C589" t="str">
            <v>WAKTU PELAKSANAAN YANG DIPERLUKAN</v>
          </cell>
        </row>
        <row r="590">
          <cell r="C590" t="str">
            <v>Masa Pelaksanaan :</v>
          </cell>
          <cell r="D590" t="str">
            <v>. . . . . . . . . . . .</v>
          </cell>
          <cell r="E590" t="str">
            <v>bulan</v>
          </cell>
        </row>
        <row r="592">
          <cell r="A592" t="str">
            <v>7.</v>
          </cell>
          <cell r="C592" t="str">
            <v>VOLUME PEKERJAAN YANG DIPERLUKAN</v>
          </cell>
        </row>
        <row r="593">
          <cell r="C593" t="str">
            <v>Volume pekerjaan  :</v>
          </cell>
          <cell r="D593">
            <v>1</v>
          </cell>
          <cell r="E593" t="str">
            <v>M'</v>
          </cell>
        </row>
        <row r="602">
          <cell r="T602" t="str">
            <v>Analisa EI-234</v>
          </cell>
        </row>
        <row r="603">
          <cell r="A603" t="str">
            <v>ITEM PEMBAYARAN NO.</v>
          </cell>
          <cell r="D603" t="str">
            <v>:  2.3 (4)</v>
          </cell>
          <cell r="J603" t="str">
            <v>Analisa EI-234</v>
          </cell>
        </row>
        <row r="604">
          <cell r="A604" t="str">
            <v>JENIS PEKERJAAN</v>
          </cell>
          <cell r="D604" t="str">
            <v>:  Gorong2 Pipa Beton Bertulang, 1 m &lt; diameter dalam &lt; 1.3 m</v>
          </cell>
          <cell r="L604" t="str">
            <v>FORMULIR STANDAR UNTUK</v>
          </cell>
        </row>
        <row r="605">
          <cell r="A605" t="str">
            <v>SATUAN PEMBAYARAN</v>
          </cell>
          <cell r="D605" t="str">
            <v>:  M1</v>
          </cell>
          <cell r="J605" t="str">
            <v xml:space="preserve">         URAIAN ANALISA HARGA SATUAN</v>
          </cell>
          <cell r="L605" t="str">
            <v>PEREKAMAN ANALISA MASING-MASING HARGA SATUAN</v>
          </cell>
        </row>
        <row r="606">
          <cell r="L606" t="str">
            <v xml:space="preserve">                                                                                                            </v>
          </cell>
        </row>
        <row r="608">
          <cell r="A608" t="str">
            <v>No.</v>
          </cell>
          <cell r="C608" t="str">
            <v>U R A I A N</v>
          </cell>
          <cell r="G608" t="str">
            <v>KODE</v>
          </cell>
          <cell r="H608" t="str">
            <v>KOEF.</v>
          </cell>
          <cell r="I608" t="str">
            <v>SATUAN</v>
          </cell>
          <cell r="J608" t="str">
            <v>KETERANGAN</v>
          </cell>
        </row>
        <row r="609">
          <cell r="L609" t="str">
            <v>PROYEK</v>
          </cell>
          <cell r="O609" t="str">
            <v>:</v>
          </cell>
        </row>
        <row r="610">
          <cell r="L610" t="str">
            <v>No. PAKET KONTRAK</v>
          </cell>
          <cell r="O610" t="str">
            <v>:</v>
          </cell>
        </row>
        <row r="611">
          <cell r="A611" t="str">
            <v>I.</v>
          </cell>
          <cell r="C611" t="str">
            <v>ASUMSI</v>
          </cell>
          <cell r="L611" t="str">
            <v>NAMA PAKET</v>
          </cell>
          <cell r="O611" t="str">
            <v>:</v>
          </cell>
        </row>
        <row r="612">
          <cell r="A612">
            <v>1</v>
          </cell>
          <cell r="C612" t="str">
            <v>Pekerjaan dilakukan secara mekanik/manual</v>
          </cell>
          <cell r="L612" t="str">
            <v>PROP / KAB / KODYA</v>
          </cell>
          <cell r="O612" t="str">
            <v>:</v>
          </cell>
        </row>
        <row r="613">
          <cell r="A613">
            <v>2</v>
          </cell>
          <cell r="C613" t="str">
            <v>Lokasi pekerjaan : sepanjang jalan</v>
          </cell>
          <cell r="L613" t="str">
            <v>ITEM PEMBAYARAN NO.</v>
          </cell>
          <cell r="O613" t="str">
            <v>:  2.3 (4)</v>
          </cell>
          <cell r="R613" t="str">
            <v>PERKIRAAN VOL. PEK.</v>
          </cell>
          <cell r="T613" t="str">
            <v>:</v>
          </cell>
          <cell r="U613">
            <v>1</v>
          </cell>
        </row>
        <row r="614">
          <cell r="A614">
            <v>3</v>
          </cell>
          <cell r="C614" t="str">
            <v>Diameter bagian dalam gorong-gorong</v>
          </cell>
          <cell r="G614" t="str">
            <v>d</v>
          </cell>
          <cell r="H614">
            <v>1.2</v>
          </cell>
          <cell r="I614" t="str">
            <v>m</v>
          </cell>
          <cell r="L614" t="str">
            <v>JENIS PEKERJAAN</v>
          </cell>
          <cell r="O614" t="str">
            <v>:  Gorong2 Pipa Beton Bertulang, 1 m &lt; diameter dalam &lt; 1.3 m</v>
          </cell>
          <cell r="R614" t="str">
            <v>TOTAL HARGA (Rp.)</v>
          </cell>
          <cell r="T614" t="str">
            <v>:</v>
          </cell>
          <cell r="U614">
            <v>447945.27138535964</v>
          </cell>
        </row>
        <row r="615">
          <cell r="A615">
            <v>4</v>
          </cell>
          <cell r="C615" t="str">
            <v>Jarak rata-rata Base Camp ke lokasi pekerjaan</v>
          </cell>
          <cell r="G615" t="str">
            <v>L</v>
          </cell>
          <cell r="H615">
            <v>8.7249999999999996</v>
          </cell>
          <cell r="I615" t="str">
            <v>Km</v>
          </cell>
          <cell r="L615" t="str">
            <v>SATUAN PEMBAYARAN</v>
          </cell>
          <cell r="O615" t="str">
            <v>:  M1</v>
          </cell>
          <cell r="Q615">
            <v>0</v>
          </cell>
          <cell r="R615" t="str">
            <v>% THD. BIAYA PROYEK</v>
          </cell>
          <cell r="T615" t="str">
            <v>:</v>
          </cell>
          <cell r="U615" t="e">
            <v>#DIV/0!</v>
          </cell>
        </row>
        <row r="616">
          <cell r="A616">
            <v>5</v>
          </cell>
          <cell r="C616" t="str">
            <v>Jam kerja efektif per-hari</v>
          </cell>
          <cell r="G616" t="str">
            <v>Tk</v>
          </cell>
          <cell r="H616">
            <v>7</v>
          </cell>
          <cell r="I616" t="str">
            <v>Jam</v>
          </cell>
        </row>
        <row r="617">
          <cell r="A617">
            <v>6</v>
          </cell>
          <cell r="C617" t="str">
            <v>Tebal gorong-gorong</v>
          </cell>
          <cell r="G617" t="str">
            <v>tg</v>
          </cell>
          <cell r="H617">
            <v>10</v>
          </cell>
          <cell r="I617" t="str">
            <v>Cm</v>
          </cell>
        </row>
        <row r="618">
          <cell r="Q618" t="str">
            <v>PERKIRAAN</v>
          </cell>
          <cell r="R618" t="str">
            <v>HARGA</v>
          </cell>
          <cell r="S618" t="str">
            <v>JUMLAH</v>
          </cell>
        </row>
        <row r="619">
          <cell r="A619" t="str">
            <v>II.</v>
          </cell>
          <cell r="C619" t="str">
            <v>URUTAN KERJA</v>
          </cell>
          <cell r="L619" t="str">
            <v>NO.</v>
          </cell>
          <cell r="N619" t="str">
            <v>KOMPONEN</v>
          </cell>
          <cell r="P619" t="str">
            <v>SATUAN</v>
          </cell>
          <cell r="Q619" t="str">
            <v>KUANTITAS</v>
          </cell>
          <cell r="R619" t="str">
            <v>SATUAN</v>
          </cell>
          <cell r="S619" t="str">
            <v>HARGA</v>
          </cell>
        </row>
        <row r="620">
          <cell r="A620">
            <v>1</v>
          </cell>
          <cell r="C620" t="str">
            <v>Gorong-gorong dicetak di Base Camp</v>
          </cell>
          <cell r="R620" t="str">
            <v>(Rp.)</v>
          </cell>
          <cell r="S620" t="str">
            <v>(Rp.)</v>
          </cell>
        </row>
        <row r="621">
          <cell r="A621">
            <v>2</v>
          </cell>
          <cell r="C621" t="str">
            <v>Dump Truck mengangkut gorong-gorong jadi</v>
          </cell>
        </row>
        <row r="622">
          <cell r="C622" t="str">
            <v>ke lapangan</v>
          </cell>
        </row>
        <row r="623">
          <cell r="A623">
            <v>3</v>
          </cell>
          <cell r="C623" t="str">
            <v>Dasar gorong-gorong digali sesuai kebutuhan dan ma-</v>
          </cell>
          <cell r="L623" t="str">
            <v>A.</v>
          </cell>
          <cell r="N623" t="str">
            <v>TENAGA</v>
          </cell>
        </row>
        <row r="624">
          <cell r="C624" t="str">
            <v>terial backfill dipadatkan dengan Tamper</v>
          </cell>
        </row>
        <row r="625">
          <cell r="A625">
            <v>4</v>
          </cell>
          <cell r="C625" t="str">
            <v>Tebal lapis porus pada dasar gorong-gorong pipa</v>
          </cell>
          <cell r="G625" t="str">
            <v>tp</v>
          </cell>
          <cell r="H625">
            <v>0.18</v>
          </cell>
          <cell r="I625" t="str">
            <v>M</v>
          </cell>
          <cell r="J625" t="str">
            <v xml:space="preserve"> Sand bedding</v>
          </cell>
          <cell r="L625" t="str">
            <v>1.</v>
          </cell>
          <cell r="N625" t="str">
            <v>Pekerja</v>
          </cell>
          <cell r="O625" t="str">
            <v>(L01)</v>
          </cell>
          <cell r="P625" t="str">
            <v>Jam</v>
          </cell>
          <cell r="Q625">
            <v>9.3333333333333339</v>
          </cell>
          <cell r="R625">
            <v>2857.14</v>
          </cell>
          <cell r="U625">
            <v>26666.639999999999</v>
          </cell>
        </row>
        <row r="626">
          <cell r="A626">
            <v>5</v>
          </cell>
          <cell r="C626" t="str">
            <v>Material pilihan untuk penimbunan kembali (padat)</v>
          </cell>
          <cell r="L626" t="str">
            <v>2.</v>
          </cell>
          <cell r="N626" t="str">
            <v>Tukang</v>
          </cell>
          <cell r="O626" t="str">
            <v>(L02)</v>
          </cell>
          <cell r="P626" t="str">
            <v>Jam</v>
          </cell>
          <cell r="Q626">
            <v>1.1666666666666667</v>
          </cell>
          <cell r="R626">
            <v>4285.71</v>
          </cell>
          <cell r="U626">
            <v>4999.9950000000008</v>
          </cell>
        </row>
        <row r="627">
          <cell r="A627">
            <v>6</v>
          </cell>
          <cell r="C627" t="str">
            <v>Sekelompok pekerja akan melaksanakan pekerjaan</v>
          </cell>
          <cell r="L627" t="str">
            <v>3.</v>
          </cell>
          <cell r="N627" t="str">
            <v>Mandor</v>
          </cell>
          <cell r="O627" t="str">
            <v>(L03)</v>
          </cell>
          <cell r="P627" t="str">
            <v>Jam</v>
          </cell>
          <cell r="Q627">
            <v>1.1666666666666667</v>
          </cell>
          <cell r="R627">
            <v>3214.29</v>
          </cell>
          <cell r="U627">
            <v>3750.0050000000001</v>
          </cell>
        </row>
        <row r="628">
          <cell r="C628" t="str">
            <v>dengan cara manual dengan menggunakan alat bantu</v>
          </cell>
        </row>
        <row r="629">
          <cell r="Q629" t="str">
            <v xml:space="preserve">JUMLAH HARGA TENAGA   </v>
          </cell>
          <cell r="U629">
            <v>35416.639999999999</v>
          </cell>
        </row>
        <row r="631">
          <cell r="A631" t="str">
            <v>III.</v>
          </cell>
          <cell r="C631" t="str">
            <v>PEMAKAIAN BAHAN, ALAT DAN TENAGA</v>
          </cell>
          <cell r="L631" t="str">
            <v>B.</v>
          </cell>
          <cell r="N631" t="str">
            <v>BAHAN</v>
          </cell>
        </row>
        <row r="632">
          <cell r="A632" t="str">
            <v xml:space="preserve">   1.</v>
          </cell>
          <cell r="C632" t="str">
            <v>BAHAN</v>
          </cell>
        </row>
        <row r="633">
          <cell r="C633" t="str">
            <v>Untuk mendapatkan 1 M' gorong-gorong diperlukan</v>
          </cell>
          <cell r="L633" t="str">
            <v>1.</v>
          </cell>
          <cell r="N633" t="str">
            <v>Beton K-300</v>
          </cell>
          <cell r="O633" t="str">
            <v>(EI-714)</v>
          </cell>
          <cell r="P633" t="str">
            <v>M3</v>
          </cell>
          <cell r="Q633">
            <v>0.40840704496667279</v>
          </cell>
          <cell r="R633">
            <v>652902.54982502444</v>
          </cell>
          <cell r="U633">
            <v>266650.00102524407</v>
          </cell>
        </row>
        <row r="634">
          <cell r="C634" t="str">
            <v>- Beton K-300 = (22/7*((2*tg/100+d)/2)^2)-(22/7*(d/2)^2))*1</v>
          </cell>
          <cell r="G634" t="str">
            <v>(EI-714)</v>
          </cell>
          <cell r="H634">
            <v>0.40840704496667279</v>
          </cell>
          <cell r="I634" t="str">
            <v>M3</v>
          </cell>
          <cell r="L634" t="str">
            <v>2.</v>
          </cell>
          <cell r="N634" t="str">
            <v>Baja Tulangan</v>
          </cell>
          <cell r="O634" t="str">
            <v>(M39)</v>
          </cell>
          <cell r="P634" t="str">
            <v>Kg</v>
          </cell>
          <cell r="Q634">
            <v>44.924774946334011</v>
          </cell>
          <cell r="R634">
            <v>4000</v>
          </cell>
          <cell r="U634">
            <v>179699.09978533603</v>
          </cell>
        </row>
        <row r="635">
          <cell r="C635" t="str">
            <v>- Baja Tulangan (asumsi 100kg/m3)</v>
          </cell>
          <cell r="G635" t="str">
            <v>(M39)</v>
          </cell>
          <cell r="H635">
            <v>44.924774946334011</v>
          </cell>
          <cell r="I635" t="str">
            <v>Kg</v>
          </cell>
          <cell r="L635" t="str">
            <v>3.</v>
          </cell>
          <cell r="N635" t="str">
            <v>Urugan Porus</v>
          </cell>
          <cell r="O635" t="str">
            <v>(EI-241)</v>
          </cell>
          <cell r="P635" t="str">
            <v>M3</v>
          </cell>
          <cell r="Q635">
            <v>0.41580000000000006</v>
          </cell>
          <cell r="R635">
            <v>186901.40625406182</v>
          </cell>
          <cell r="U635">
            <v>77713.604720438918</v>
          </cell>
        </row>
        <row r="636">
          <cell r="C636" t="str">
            <v>- Timbunan Porus      = {(tp*(0.4+2*tg/100+d+0.4)*1)*1.05}</v>
          </cell>
          <cell r="G636" t="str">
            <v>(EI-241)</v>
          </cell>
          <cell r="H636">
            <v>0.41580000000000006</v>
          </cell>
          <cell r="I636" t="str">
            <v>M3</v>
          </cell>
          <cell r="L636" t="str">
            <v>4.</v>
          </cell>
          <cell r="N636" t="str">
            <v>Mat. Pilihan</v>
          </cell>
          <cell r="O636" t="str">
            <v>(M09)</v>
          </cell>
          <cell r="P636" t="str">
            <v>M3</v>
          </cell>
          <cell r="Q636">
            <v>2.3100000000000005</v>
          </cell>
          <cell r="R636">
            <v>25000</v>
          </cell>
          <cell r="U636">
            <v>57750.000000000015</v>
          </cell>
        </row>
        <row r="637">
          <cell r="C637" t="str">
            <v>- Material Pilihan</v>
          </cell>
          <cell r="D637" t="str">
            <v>= ((2*tg/100+d+0.3)*(0.4+2*tg/100+d+0.4)</v>
          </cell>
          <cell r="G637" t="str">
            <v>(M09)</v>
          </cell>
          <cell r="H637">
            <v>2.3100000000000005</v>
          </cell>
          <cell r="I637" t="str">
            <v>M3</v>
          </cell>
          <cell r="J637" t="str">
            <v xml:space="preserve"> = Vp</v>
          </cell>
        </row>
        <row r="638">
          <cell r="D638" t="str">
            <v xml:space="preserve">   -(22/7*(0.5*(2*tg/100+d))^2))*1*1.05</v>
          </cell>
        </row>
        <row r="639">
          <cell r="A639" t="str">
            <v xml:space="preserve">   2.</v>
          </cell>
          <cell r="C639" t="str">
            <v>ALAT</v>
          </cell>
          <cell r="Q639" t="str">
            <v xml:space="preserve">JUMLAH HARGA BAHAN   </v>
          </cell>
          <cell r="U639">
            <v>581812.70553101902</v>
          </cell>
        </row>
        <row r="640">
          <cell r="A640" t="str">
            <v>2.a.</v>
          </cell>
          <cell r="C640" t="str">
            <v>TAMPER</v>
          </cell>
          <cell r="G640" t="str">
            <v>(E25)</v>
          </cell>
        </row>
        <row r="641">
          <cell r="C641" t="str">
            <v>Kecepatan</v>
          </cell>
          <cell r="G641" t="str">
            <v>V</v>
          </cell>
          <cell r="H641">
            <v>0.5</v>
          </cell>
          <cell r="I641" t="str">
            <v>Km / Jam</v>
          </cell>
          <cell r="L641" t="str">
            <v>C.</v>
          </cell>
          <cell r="N641" t="str">
            <v>PERALATAN</v>
          </cell>
        </row>
        <row r="642">
          <cell r="C642" t="str">
            <v>Efisiensi alat</v>
          </cell>
          <cell r="G642" t="str">
            <v>Fa</v>
          </cell>
          <cell r="H642">
            <v>0.83</v>
          </cell>
          <cell r="I642" t="str">
            <v>-</v>
          </cell>
        </row>
        <row r="643">
          <cell r="C643" t="str">
            <v>Lebar pemadatan</v>
          </cell>
          <cell r="G643" t="str">
            <v>Lb</v>
          </cell>
          <cell r="H643">
            <v>0.4</v>
          </cell>
          <cell r="I643" t="str">
            <v>M</v>
          </cell>
          <cell r="L643" t="str">
            <v>1.</v>
          </cell>
          <cell r="N643" t="str">
            <v>Tamper</v>
          </cell>
          <cell r="O643" t="str">
            <v>(E25)</v>
          </cell>
          <cell r="P643" t="str">
            <v>Jam</v>
          </cell>
          <cell r="Q643">
            <v>0.69578313253012058</v>
          </cell>
          <cell r="R643">
            <v>18672.16854694486</v>
          </cell>
          <cell r="U643">
            <v>12991.779922723685</v>
          </cell>
        </row>
        <row r="644">
          <cell r="C644" t="str">
            <v>Banyak lintasan</v>
          </cell>
          <cell r="G644" t="str">
            <v>n</v>
          </cell>
          <cell r="H644">
            <v>10</v>
          </cell>
          <cell r="I644" t="str">
            <v>lintasan</v>
          </cell>
          <cell r="L644" t="str">
            <v>2.</v>
          </cell>
          <cell r="N644" t="str">
            <v>Dump Truck</v>
          </cell>
          <cell r="O644" t="str">
            <v>(E08)</v>
          </cell>
          <cell r="P644" t="str">
            <v>Jam</v>
          </cell>
          <cell r="Q644">
            <v>0.36926455823293175</v>
          </cell>
          <cell r="R644">
            <v>153645.58193291764</v>
          </cell>
          <cell r="U644">
            <v>56735.867936900555</v>
          </cell>
        </row>
        <row r="645">
          <cell r="C645" t="str">
            <v>Tebal lapis hamparan</v>
          </cell>
          <cell r="G645" t="str">
            <v>tp</v>
          </cell>
          <cell r="H645">
            <v>0.2</v>
          </cell>
          <cell r="I645" t="str">
            <v>M</v>
          </cell>
          <cell r="L645" t="str">
            <v>3.</v>
          </cell>
          <cell r="N645" t="str">
            <v>Alat  Bantu</v>
          </cell>
          <cell r="P645" t="str">
            <v>Ls</v>
          </cell>
          <cell r="Q645">
            <v>1</v>
          </cell>
          <cell r="R645">
            <v>1000</v>
          </cell>
          <cell r="U645">
            <v>1000</v>
          </cell>
        </row>
        <row r="648">
          <cell r="C648" t="str">
            <v>Kap. Prod. / Jam   =</v>
          </cell>
          <cell r="D648" t="str">
            <v>v x 1000 x Fa x Lb x 60</v>
          </cell>
          <cell r="G648" t="str">
            <v>Q1</v>
          </cell>
          <cell r="H648">
            <v>3.3200000000000003</v>
          </cell>
          <cell r="I648" t="str">
            <v xml:space="preserve">M3 / Jam </v>
          </cell>
        </row>
        <row r="649">
          <cell r="D649" t="str">
            <v xml:space="preserve">    n x tp</v>
          </cell>
        </row>
        <row r="651">
          <cell r="C651" t="str">
            <v>Koefisien Alat / m'</v>
          </cell>
          <cell r="D651" t="str">
            <v xml:space="preserve"> =  1  :  Q1 x Vp</v>
          </cell>
          <cell r="G651" t="str">
            <v>(E25)</v>
          </cell>
          <cell r="H651">
            <v>0.69578313253012058</v>
          </cell>
          <cell r="I651" t="str">
            <v>jam</v>
          </cell>
          <cell r="Q651" t="str">
            <v xml:space="preserve">JUMLAH HARGA PERALATAN   </v>
          </cell>
          <cell r="U651">
            <v>70727.647859624238</v>
          </cell>
        </row>
        <row r="653">
          <cell r="A653" t="str">
            <v>2.b.</v>
          </cell>
          <cell r="C653" t="str">
            <v>DUMP TRUCK</v>
          </cell>
          <cell r="G653" t="str">
            <v>(E08)</v>
          </cell>
          <cell r="L653" t="str">
            <v>D.</v>
          </cell>
          <cell r="N653" t="str">
            <v>JUMLAH HARGA TENAGA, BAHAN DAN PERALATAN  ( A + B + C )</v>
          </cell>
          <cell r="U653">
            <v>687956.99339064327</v>
          </cell>
        </row>
        <row r="654">
          <cell r="C654" t="str">
            <v>Kapasitas bak sekali muat</v>
          </cell>
          <cell r="G654" t="str">
            <v>V</v>
          </cell>
          <cell r="H654">
            <v>4</v>
          </cell>
          <cell r="I654" t="str">
            <v>Buah/M'</v>
          </cell>
          <cell r="L654" t="str">
            <v>E.</v>
          </cell>
          <cell r="N654" t="str">
            <v>OVERHEAD &amp; PROFIT</v>
          </cell>
          <cell r="P654">
            <v>10</v>
          </cell>
          <cell r="Q654" t="str">
            <v>%  x  D</v>
          </cell>
          <cell r="U654">
            <v>68795.699339064333</v>
          </cell>
        </row>
        <row r="655">
          <cell r="C655" t="str">
            <v>Faktor efisiensi alat</v>
          </cell>
          <cell r="G655" t="str">
            <v>Fa</v>
          </cell>
          <cell r="H655">
            <v>0.83</v>
          </cell>
          <cell r="L655" t="str">
            <v>F.</v>
          </cell>
          <cell r="N655" t="str">
            <v>HARGA SATUAN PEKERJAAN  ( D + E )</v>
          </cell>
          <cell r="U655">
            <v>756752.69272970757</v>
          </cell>
        </row>
        <row r="656">
          <cell r="C656" t="str">
            <v>Kecepatanrata-rata bermuatan</v>
          </cell>
          <cell r="G656" t="str">
            <v>v1</v>
          </cell>
          <cell r="H656">
            <v>40</v>
          </cell>
          <cell r="L656" t="str">
            <v>Note: 1</v>
          </cell>
          <cell r="N656" t="str">
            <v>SATUAN dapat berdasarkan atas jam operasi untuk Tenaga Kerja dan Peralatan, volume dan/atau ukuran</v>
          </cell>
        </row>
        <row r="657">
          <cell r="C657" t="str">
            <v>Kecepatan rata-rata kosong</v>
          </cell>
          <cell r="G657" t="str">
            <v>v2</v>
          </cell>
          <cell r="H657">
            <v>50</v>
          </cell>
          <cell r="N657" t="str">
            <v>berat untuk bahan-bahan.</v>
          </cell>
        </row>
        <row r="658">
          <cell r="C658" t="str">
            <v>Waktu siklus    :</v>
          </cell>
          <cell r="G658" t="str">
            <v>Ts</v>
          </cell>
          <cell r="L658">
            <v>2</v>
          </cell>
          <cell r="N658" t="str">
            <v>Kuantitas satuan adalah kuantitas setiap komponen untuk menyelesaikan satu satuan pekerjaan dari nomor</v>
          </cell>
        </row>
        <row r="659">
          <cell r="C659" t="str">
            <v>- Waktu  tempuh in  si    = (L : v1 ) x 60</v>
          </cell>
          <cell r="G659" t="str">
            <v>T1</v>
          </cell>
          <cell r="H659">
            <v>13.087499999999999</v>
          </cell>
          <cell r="I659" t="str">
            <v>menit</v>
          </cell>
          <cell r="N659" t="str">
            <v>mata pembayaran.</v>
          </cell>
        </row>
        <row r="660">
          <cell r="C660" t="str">
            <v>-  Waktutempuh kosong  = (L : v2)  x  60</v>
          </cell>
          <cell r="G660" t="str">
            <v>T2</v>
          </cell>
          <cell r="H660">
            <v>10.469999999999999</v>
          </cell>
          <cell r="I660" t="str">
            <v>menit</v>
          </cell>
          <cell r="L660">
            <v>3</v>
          </cell>
          <cell r="N660" t="str">
            <v>Biaya satuan untuk peralatan sudah termasuk bahan bakar, bahan habis dipakai dan operator.</v>
          </cell>
        </row>
        <row r="661">
          <cell r="C661" t="str">
            <v>- Muat, bongkar dan lain-lain</v>
          </cell>
          <cell r="G661" t="str">
            <v>T3</v>
          </cell>
          <cell r="H661">
            <v>50</v>
          </cell>
          <cell r="I661" t="str">
            <v>menit</v>
          </cell>
          <cell r="L661">
            <v>4</v>
          </cell>
          <cell r="N661" t="str">
            <v>Biaya satuan sudah termasuk pengeluaran untuk seluruh pajak yang berkaitan (tetapi tidak termasuk PPN</v>
          </cell>
        </row>
        <row r="662">
          <cell r="G662" t="str">
            <v>Ts</v>
          </cell>
          <cell r="H662">
            <v>73.557500000000005</v>
          </cell>
          <cell r="I662" t="str">
            <v>menit</v>
          </cell>
          <cell r="N662" t="str">
            <v>yang dibayar dari kontrak) dan biaya-biaya lainnya.</v>
          </cell>
        </row>
        <row r="663">
          <cell r="J663" t="str">
            <v>Berlanjut ke halaman berikut</v>
          </cell>
        </row>
        <row r="664">
          <cell r="A664" t="str">
            <v>ITEM PEMBAYARAN NO.</v>
          </cell>
          <cell r="D664" t="str">
            <v>:  2.3 (4)</v>
          </cell>
          <cell r="J664" t="str">
            <v>Analisa EI-234</v>
          </cell>
        </row>
        <row r="665">
          <cell r="A665" t="str">
            <v>JENIS PEKERJAAN</v>
          </cell>
          <cell r="D665" t="str">
            <v>:  Gorong2 Pipa Beton Bertulang, 1 m &lt; diameter dalam &lt; 1.3 m</v>
          </cell>
        </row>
        <row r="666">
          <cell r="A666" t="str">
            <v>SATUAN PEMBAYARAN</v>
          </cell>
          <cell r="D666" t="str">
            <v>:  M1</v>
          </cell>
          <cell r="J666" t="str">
            <v xml:space="preserve">         URAIAN ANALISA HARGA SATUAN</v>
          </cell>
        </row>
        <row r="667">
          <cell r="J667" t="str">
            <v>Lanjutan</v>
          </cell>
        </row>
        <row r="669">
          <cell r="A669" t="str">
            <v>No.</v>
          </cell>
          <cell r="C669" t="str">
            <v>U R A I A N</v>
          </cell>
          <cell r="G669" t="str">
            <v>KODE</v>
          </cell>
          <cell r="H669" t="str">
            <v>KOEF.</v>
          </cell>
          <cell r="I669" t="str">
            <v>SATUAN</v>
          </cell>
          <cell r="J669" t="str">
            <v>KETERANGAN</v>
          </cell>
        </row>
        <row r="672">
          <cell r="C672" t="str">
            <v>Kapasitas Produksi / Jam   =</v>
          </cell>
          <cell r="E672" t="str">
            <v>V x Fa x 60</v>
          </cell>
          <cell r="G672" t="str">
            <v>Q2</v>
          </cell>
          <cell r="H672">
            <v>2.7080855113346698</v>
          </cell>
          <cell r="I672" t="str">
            <v xml:space="preserve">M' / Jam </v>
          </cell>
        </row>
        <row r="673">
          <cell r="E673" t="str">
            <v xml:space="preserve">    Ts</v>
          </cell>
        </row>
        <row r="675">
          <cell r="C675" t="str">
            <v>Koefisien Alat / m'</v>
          </cell>
          <cell r="D675" t="str">
            <v xml:space="preserve"> =  1  :  Q2</v>
          </cell>
          <cell r="G675" t="str">
            <v>(E08)</v>
          </cell>
          <cell r="H675">
            <v>0.36926455823293175</v>
          </cell>
          <cell r="I675" t="str">
            <v>jam</v>
          </cell>
        </row>
        <row r="678">
          <cell r="A678" t="str">
            <v>2.c.</v>
          </cell>
          <cell r="C678" t="str">
            <v>ALAT  BANTU</v>
          </cell>
        </row>
        <row r="679">
          <cell r="C679" t="str">
            <v>Diperlukan alat-alat bantu kecil</v>
          </cell>
          <cell r="J679" t="str">
            <v>Lump Sump</v>
          </cell>
        </row>
        <row r="680">
          <cell r="C680" t="str">
            <v>- Sekop    =         3   buah</v>
          </cell>
        </row>
        <row r="681">
          <cell r="C681" t="str">
            <v>- Pacul     =         3   buah</v>
          </cell>
        </row>
        <row r="682">
          <cell r="C682" t="str">
            <v>- Alat-alat kecil lain</v>
          </cell>
        </row>
        <row r="684">
          <cell r="A684" t="str">
            <v xml:space="preserve">   3.</v>
          </cell>
          <cell r="C684" t="str">
            <v>TENAGA</v>
          </cell>
        </row>
        <row r="685">
          <cell r="C685" t="str">
            <v>Produksi Gorong-gorong / hari</v>
          </cell>
          <cell r="G685" t="str">
            <v>Qt</v>
          </cell>
          <cell r="H685">
            <v>6</v>
          </cell>
          <cell r="I685" t="str">
            <v>M'</v>
          </cell>
        </row>
        <row r="686">
          <cell r="C686" t="str">
            <v>Kebutuhan tenaga :</v>
          </cell>
        </row>
        <row r="687">
          <cell r="D687" t="str">
            <v>- Pekerja</v>
          </cell>
          <cell r="G687" t="str">
            <v>P</v>
          </cell>
          <cell r="H687">
            <v>8</v>
          </cell>
          <cell r="I687" t="str">
            <v>orang</v>
          </cell>
        </row>
        <row r="688">
          <cell r="D688" t="str">
            <v>- Tukang</v>
          </cell>
          <cell r="G688" t="str">
            <v>T</v>
          </cell>
          <cell r="H688">
            <v>1</v>
          </cell>
          <cell r="I688" t="str">
            <v>orang</v>
          </cell>
        </row>
        <row r="689">
          <cell r="D689" t="str">
            <v>- Mandor</v>
          </cell>
          <cell r="G689" t="str">
            <v>M</v>
          </cell>
          <cell r="H689">
            <v>1</v>
          </cell>
          <cell r="I689" t="str">
            <v>orang</v>
          </cell>
        </row>
        <row r="691">
          <cell r="C691" t="str">
            <v>Koefisien tenaga / M'   :</v>
          </cell>
        </row>
        <row r="692">
          <cell r="D692" t="str">
            <v>- Pekerja</v>
          </cell>
          <cell r="E692" t="str">
            <v>= (Tk x P) : Qt</v>
          </cell>
          <cell r="G692" t="str">
            <v>(L01)</v>
          </cell>
          <cell r="H692">
            <v>9.3333333333333339</v>
          </cell>
          <cell r="I692" t="str">
            <v>jam</v>
          </cell>
        </row>
        <row r="693">
          <cell r="D693" t="str">
            <v>- Tukang</v>
          </cell>
          <cell r="E693" t="str">
            <v>= (Tk x T) : Qt</v>
          </cell>
          <cell r="G693" t="str">
            <v>(L02)</v>
          </cell>
          <cell r="H693">
            <v>1.1666666666666667</v>
          </cell>
          <cell r="I693" t="str">
            <v>jam</v>
          </cell>
        </row>
        <row r="694">
          <cell r="D694" t="str">
            <v>- Mandor</v>
          </cell>
          <cell r="E694" t="str">
            <v>= (Tk x M) : Qt</v>
          </cell>
          <cell r="G694" t="str">
            <v>(L03)</v>
          </cell>
          <cell r="H694">
            <v>1.1666666666666667</v>
          </cell>
          <cell r="I694" t="str">
            <v>jam</v>
          </cell>
        </row>
        <row r="696">
          <cell r="A696" t="str">
            <v>4.</v>
          </cell>
          <cell r="C696" t="str">
            <v>HARGA DASAR SATUAN UPAH, BAHAN DAN ALAT</v>
          </cell>
        </row>
        <row r="697">
          <cell r="C697" t="str">
            <v>Lihat lampiran.</v>
          </cell>
        </row>
        <row r="700">
          <cell r="A700" t="str">
            <v>5.</v>
          </cell>
          <cell r="C700" t="str">
            <v>ANALISA HARGA SATUAN PEKERJAAN</v>
          </cell>
        </row>
        <row r="701">
          <cell r="C701" t="str">
            <v>Lihat perhitungan dalam FORMULIR STANDAR UNTUK</v>
          </cell>
        </row>
        <row r="702">
          <cell r="C702" t="str">
            <v>PEREKEMAN ANALISA MASING-MASING HARGA</v>
          </cell>
        </row>
        <row r="703">
          <cell r="C703" t="str">
            <v>SATUAN.</v>
          </cell>
        </row>
        <row r="704">
          <cell r="C704" t="str">
            <v>Didapat Harga Satuan Pekerjaan :</v>
          </cell>
        </row>
        <row r="706">
          <cell r="C706" t="str">
            <v xml:space="preserve">Rp.  </v>
          </cell>
          <cell r="D706">
            <v>756752.69272970757</v>
          </cell>
          <cell r="E706" t="str">
            <v xml:space="preserve"> / M'</v>
          </cell>
        </row>
        <row r="709">
          <cell r="A709" t="str">
            <v>6.</v>
          </cell>
          <cell r="C709" t="str">
            <v>WAKTU PELAKSANAAN YANG DIPERLUKAN</v>
          </cell>
        </row>
        <row r="710">
          <cell r="C710" t="str">
            <v>Masa Pelaksanaan :</v>
          </cell>
          <cell r="D710" t="str">
            <v>. . . . . . . . . . . .</v>
          </cell>
          <cell r="E710" t="str">
            <v>bulan</v>
          </cell>
        </row>
        <row r="712">
          <cell r="A712" t="str">
            <v>7.</v>
          </cell>
          <cell r="C712" t="str">
            <v>VOLUME PEKERJAAN YANG DIPERLUKAN</v>
          </cell>
        </row>
        <row r="713">
          <cell r="C713" t="str">
            <v>Volume pekerjaan  :</v>
          </cell>
          <cell r="D713">
            <v>1</v>
          </cell>
          <cell r="E713" t="str">
            <v>M'</v>
          </cell>
        </row>
        <row r="722">
          <cell r="T722" t="str">
            <v xml:space="preserve">Analisa EI-235 </v>
          </cell>
        </row>
        <row r="723">
          <cell r="A723" t="str">
            <v>ITEM PEMBAYARAN NO.</v>
          </cell>
          <cell r="D723" t="str">
            <v>:  2.3 (5)</v>
          </cell>
          <cell r="J723" t="str">
            <v>Analisa EI-236</v>
          </cell>
        </row>
        <row r="724">
          <cell r="A724" t="str">
            <v>JENIS PEKERJAAN</v>
          </cell>
          <cell r="D724" t="str">
            <v>: Gorong-Gorong Pipa Beton Bertulang, 1,3  m &lt; diameter dalam &lt; 1,5 m</v>
          </cell>
        </row>
        <row r="725">
          <cell r="A725" t="str">
            <v>SATUAN PEMBAYARAN</v>
          </cell>
          <cell r="D725" t="str">
            <v>: M1</v>
          </cell>
          <cell r="J725" t="str">
            <v xml:space="preserve">         URAIAN ANALISA HARGA SATUAN</v>
          </cell>
        </row>
        <row r="727">
          <cell r="A727" t="str">
            <v>ITEM PEMBAYARAN NO.</v>
          </cell>
          <cell r="D727" t="str">
            <v>:  2.3 (6)</v>
          </cell>
          <cell r="J727" t="str">
            <v>Analisa EI-236</v>
          </cell>
        </row>
        <row r="728">
          <cell r="A728" t="str">
            <v>JENIS PEKERJAAN</v>
          </cell>
          <cell r="D728" t="str">
            <v>: Gorong-Gorong Pipa Beton Bertulang, 1,5  m &lt; diameter dalam &lt;  2,3 m</v>
          </cell>
        </row>
        <row r="729">
          <cell r="A729" t="str">
            <v>SATUAN PEMBAYARAN</v>
          </cell>
          <cell r="D729" t="str">
            <v>: M1</v>
          </cell>
          <cell r="J729" t="str">
            <v xml:space="preserve">         URAIAN ANALISA HARGA SATUAN</v>
          </cell>
        </row>
        <row r="734">
          <cell r="A734" t="str">
            <v>ITEM PEMBAYARAN NO.</v>
          </cell>
          <cell r="D734" t="str">
            <v>:  2.3 (7)</v>
          </cell>
          <cell r="J734" t="str">
            <v>Analisa EI-236</v>
          </cell>
        </row>
        <row r="735">
          <cell r="A735" t="str">
            <v>JENIS PEKERJAAN</v>
          </cell>
          <cell r="D735" t="str">
            <v>:  Gorong2 Baja Bergelombang dengan dimensi … (mengacu pada SNI 03-6719-2002)</v>
          </cell>
          <cell r="L735" t="str">
            <v>FORMULIR STANDAR UNTUK</v>
          </cell>
        </row>
        <row r="736">
          <cell r="A736" t="str">
            <v>SATUAN PEMBAYARAN</v>
          </cell>
          <cell r="D736" t="str">
            <v>:  Ton</v>
          </cell>
          <cell r="J736" t="str">
            <v xml:space="preserve">         URAIAN ANALISA HARGA SATUAN</v>
          </cell>
          <cell r="L736" t="str">
            <v>PEREKAMAN ANALISA MASING-MASING HARGA SATUAN</v>
          </cell>
        </row>
        <row r="737">
          <cell r="L737" t="str">
            <v xml:space="preserve">                                                                                                            </v>
          </cell>
        </row>
        <row r="739">
          <cell r="A739" t="str">
            <v>No.</v>
          </cell>
          <cell r="C739" t="str">
            <v>U R A I A N</v>
          </cell>
          <cell r="G739" t="str">
            <v>KODE</v>
          </cell>
          <cell r="H739" t="str">
            <v>KOEF.</v>
          </cell>
          <cell r="I739" t="str">
            <v>SATUAN</v>
          </cell>
          <cell r="J739" t="str">
            <v>KETERANGAN</v>
          </cell>
        </row>
        <row r="740">
          <cell r="L740" t="str">
            <v>PROYEK</v>
          </cell>
          <cell r="O740" t="str">
            <v>:</v>
          </cell>
        </row>
        <row r="741">
          <cell r="L741" t="str">
            <v>No. PAKET KONTRAK</v>
          </cell>
          <cell r="O741" t="str">
            <v>:</v>
          </cell>
        </row>
        <row r="742">
          <cell r="A742" t="str">
            <v>I.</v>
          </cell>
          <cell r="C742" t="str">
            <v>ASUMSI</v>
          </cell>
          <cell r="L742" t="str">
            <v>NAMA PAKET</v>
          </cell>
          <cell r="O742" t="str">
            <v>:</v>
          </cell>
        </row>
        <row r="743">
          <cell r="A743">
            <v>1</v>
          </cell>
          <cell r="C743" t="str">
            <v>Pekerjaan dilakukan secara mekanik/manual</v>
          </cell>
          <cell r="L743" t="str">
            <v>PROP / KAB / KODYA</v>
          </cell>
          <cell r="O743" t="str">
            <v>:</v>
          </cell>
        </row>
        <row r="744">
          <cell r="A744">
            <v>2</v>
          </cell>
          <cell r="C744" t="str">
            <v>Lokasi pekerjaan : sepanjang jalan</v>
          </cell>
          <cell r="L744" t="str">
            <v>ITEM PEMBAYARAN NO.</v>
          </cell>
          <cell r="O744" t="str">
            <v>:  2.3 (7)</v>
          </cell>
          <cell r="R744" t="str">
            <v>PERKIRAAN VOL. PEK.</v>
          </cell>
          <cell r="T744" t="str">
            <v>:</v>
          </cell>
          <cell r="U744">
            <v>1</v>
          </cell>
        </row>
        <row r="745">
          <cell r="A745">
            <v>3</v>
          </cell>
          <cell r="C745" t="str">
            <v>Diameter gorong-gorong baja</v>
          </cell>
          <cell r="G745" t="str">
            <v>d</v>
          </cell>
          <cell r="H745">
            <v>1</v>
          </cell>
          <cell r="I745" t="str">
            <v>m</v>
          </cell>
          <cell r="L745" t="str">
            <v>JENIS PEKERJAAN</v>
          </cell>
          <cell r="O745" t="str">
            <v>:  Gorong2 Baja Bergelombang dengan dimensi … (mengacu pada SNI 03-6719-2002)</v>
          </cell>
          <cell r="R745" t="str">
            <v>TOTAL HARGA (Rp.)</v>
          </cell>
          <cell r="T745" t="str">
            <v>:</v>
          </cell>
          <cell r="U745">
            <v>0</v>
          </cell>
        </row>
        <row r="746">
          <cell r="A746">
            <v>4</v>
          </cell>
          <cell r="C746" t="str">
            <v>Jarak rata-rata Base Camp ke lokasi pekerjaan</v>
          </cell>
          <cell r="G746" t="str">
            <v>L</v>
          </cell>
          <cell r="H746">
            <v>8.7249999999999996</v>
          </cell>
          <cell r="I746" t="str">
            <v>Km</v>
          </cell>
          <cell r="L746" t="str">
            <v>SATUAN PEMBAYARAN</v>
          </cell>
          <cell r="O746" t="str">
            <v>:  Ton</v>
          </cell>
          <cell r="R746" t="str">
            <v>% THD. BIAYA PROYEK</v>
          </cell>
          <cell r="T746" t="str">
            <v>:</v>
          </cell>
          <cell r="U746" t="e">
            <v>#DIV/0!</v>
          </cell>
        </row>
        <row r="747">
          <cell r="A747">
            <v>5</v>
          </cell>
          <cell r="C747" t="str">
            <v>Jam kerja efektif per-hari</v>
          </cell>
          <cell r="G747" t="str">
            <v>Tk</v>
          </cell>
          <cell r="H747">
            <v>7</v>
          </cell>
          <cell r="I747" t="str">
            <v>Jam</v>
          </cell>
        </row>
        <row r="748">
          <cell r="A748">
            <v>6</v>
          </cell>
          <cell r="C748" t="str">
            <v>Tebal gorong-gorong</v>
          </cell>
          <cell r="G748" t="str">
            <v>tg</v>
          </cell>
          <cell r="H748">
            <v>0.25</v>
          </cell>
          <cell r="I748" t="str">
            <v>Cm</v>
          </cell>
        </row>
        <row r="749">
          <cell r="A749">
            <v>7</v>
          </cell>
          <cell r="C749" t="str">
            <v>BJ Pipa Baja Bergelombang</v>
          </cell>
          <cell r="G749" t="str">
            <v>BJp</v>
          </cell>
          <cell r="H749">
            <v>7.9</v>
          </cell>
          <cell r="I749" t="str">
            <v>T/m3</v>
          </cell>
          <cell r="Q749" t="str">
            <v>PERKIRAAN</v>
          </cell>
          <cell r="R749" t="str">
            <v>HARGA</v>
          </cell>
          <cell r="S749" t="str">
            <v>JUMLAH</v>
          </cell>
        </row>
        <row r="750">
          <cell r="G750" t="str">
            <v>BJp1</v>
          </cell>
          <cell r="H750">
            <v>0.12445321428571117</v>
          </cell>
          <cell r="I750" t="str">
            <v>T/m'</v>
          </cell>
          <cell r="L750" t="str">
            <v>NO.</v>
          </cell>
          <cell r="N750" t="str">
            <v>KOMPONEN</v>
          </cell>
          <cell r="P750" t="str">
            <v>SATUAN</v>
          </cell>
          <cell r="Q750" t="str">
            <v>KUANTITAS</v>
          </cell>
          <cell r="R750" t="str">
            <v>SATUAN</v>
          </cell>
          <cell r="S750" t="str">
            <v>HARGA</v>
          </cell>
        </row>
        <row r="751">
          <cell r="A751" t="str">
            <v>II.</v>
          </cell>
          <cell r="C751" t="str">
            <v>URUTAN KERJA</v>
          </cell>
          <cell r="R751" t="str">
            <v>(Rp.)</v>
          </cell>
          <cell r="S751" t="str">
            <v>(Rp.)</v>
          </cell>
        </row>
        <row r="753">
          <cell r="A753">
            <v>1</v>
          </cell>
          <cell r="C753" t="str">
            <v>Gorong-gorong baja diterima dari pemasok</v>
          </cell>
        </row>
        <row r="754">
          <cell r="C754" t="str">
            <v>di lokasi pekerjaan</v>
          </cell>
          <cell r="L754" t="str">
            <v>A.</v>
          </cell>
          <cell r="N754" t="str">
            <v>TENAGA</v>
          </cell>
        </row>
        <row r="755">
          <cell r="A755">
            <v>3</v>
          </cell>
          <cell r="C755" t="str">
            <v>Dasar gorong-gorong digali sesuai kebutuhan dan ma-</v>
          </cell>
        </row>
        <row r="756">
          <cell r="C756" t="str">
            <v>terial backfill dipadatkan dengan Tamper</v>
          </cell>
          <cell r="L756" t="str">
            <v>1.</v>
          </cell>
          <cell r="N756" t="str">
            <v>Pekerja</v>
          </cell>
          <cell r="O756" t="str">
            <v>(L01)</v>
          </cell>
          <cell r="P756" t="str">
            <v>Jam</v>
          </cell>
          <cell r="Q756">
            <v>64.615384615384613</v>
          </cell>
          <cell r="R756">
            <v>2857.14</v>
          </cell>
          <cell r="U756">
            <v>184615.19999999998</v>
          </cell>
        </row>
        <row r="757">
          <cell r="A757">
            <v>4</v>
          </cell>
          <cell r="C757" t="str">
            <v>Tebal lapis porus pada dasar gorong-gorong baja</v>
          </cell>
          <cell r="G757" t="str">
            <v>tp</v>
          </cell>
          <cell r="H757">
            <v>0.15</v>
          </cell>
          <cell r="I757" t="str">
            <v>M</v>
          </cell>
          <cell r="L757" t="str">
            <v>2.</v>
          </cell>
          <cell r="N757" t="str">
            <v>Tukang</v>
          </cell>
          <cell r="O757" t="str">
            <v>(L02)</v>
          </cell>
          <cell r="P757" t="str">
            <v>Jam</v>
          </cell>
          <cell r="Q757">
            <v>5.3846153846153841</v>
          </cell>
          <cell r="R757">
            <v>4285.71</v>
          </cell>
          <cell r="U757">
            <v>23076.899999999998</v>
          </cell>
        </row>
        <row r="758">
          <cell r="A758">
            <v>5</v>
          </cell>
          <cell r="C758" t="str">
            <v>Material pilihan untuk penimbunan kembali (padat)</v>
          </cell>
          <cell r="L758" t="str">
            <v>3.</v>
          </cell>
          <cell r="N758" t="str">
            <v>Mandor</v>
          </cell>
          <cell r="O758" t="str">
            <v>(L03)</v>
          </cell>
          <cell r="P758" t="str">
            <v>Jam</v>
          </cell>
          <cell r="Q758">
            <v>5.3846153846153841</v>
          </cell>
          <cell r="R758">
            <v>3214.29</v>
          </cell>
          <cell r="U758">
            <v>17307.715384615381</v>
          </cell>
        </row>
        <row r="759">
          <cell r="A759">
            <v>6</v>
          </cell>
          <cell r="C759" t="str">
            <v>Sekelompok pekerja akan melaksanakan pekerjaan</v>
          </cell>
        </row>
        <row r="760">
          <cell r="C760" t="str">
            <v>dengan cara manual dengan menggunakan alat bantu</v>
          </cell>
          <cell r="Q760" t="str">
            <v xml:space="preserve">JUMLAH HARGA TENAGA   </v>
          </cell>
          <cell r="U760">
            <v>224999.81538461536</v>
          </cell>
        </row>
        <row r="762">
          <cell r="A762" t="str">
            <v>III.</v>
          </cell>
          <cell r="C762" t="str">
            <v>PEMAKAIAN BAHAN, ALAT DAN TENAGA</v>
          </cell>
          <cell r="L762" t="str">
            <v>B.</v>
          </cell>
          <cell r="N762" t="str">
            <v>BAHAN</v>
          </cell>
        </row>
        <row r="763">
          <cell r="A763" t="str">
            <v xml:space="preserve">   1.</v>
          </cell>
          <cell r="C763" t="str">
            <v>BAHAN</v>
          </cell>
        </row>
        <row r="764">
          <cell r="C764" t="str">
            <v>Untuk mendapatkan 1 M' gorong-gorong diperlukan</v>
          </cell>
          <cell r="L764" t="str">
            <v>1.</v>
          </cell>
          <cell r="N764" t="str">
            <v>Pipa Baja Glb.</v>
          </cell>
          <cell r="O764" t="str">
            <v>(M46)</v>
          </cell>
          <cell r="P764" t="str">
            <v>Kg</v>
          </cell>
          <cell r="Q764">
            <v>1050</v>
          </cell>
          <cell r="R764">
            <v>7500</v>
          </cell>
          <cell r="U764">
            <v>7875000</v>
          </cell>
        </row>
        <row r="765">
          <cell r="C765" t="str">
            <v>- Baja Bergelombang</v>
          </cell>
          <cell r="G765" t="str">
            <v>(M46)</v>
          </cell>
          <cell r="H765">
            <v>1050</v>
          </cell>
          <cell r="I765" t="str">
            <v>Kg</v>
          </cell>
          <cell r="L765" t="str">
            <v>2.</v>
          </cell>
          <cell r="N765" t="str">
            <v>Urugan Porus</v>
          </cell>
          <cell r="O765" t="str">
            <v>(EI-241)</v>
          </cell>
          <cell r="P765" t="str">
            <v>M3</v>
          </cell>
          <cell r="Q765">
            <v>2.5373993095512715</v>
          </cell>
          <cell r="R765">
            <v>186901.40625406182</v>
          </cell>
          <cell r="U765">
            <v>474243.49918321817</v>
          </cell>
        </row>
        <row r="766">
          <cell r="C766" t="str">
            <v>- Urugan Porus = {(tp*(0.5+2*tg/100+d+0.5)*1)*1.05} x (1/BJp1)</v>
          </cell>
          <cell r="G766" t="str">
            <v>(EI-241)</v>
          </cell>
          <cell r="H766">
            <v>2.5373993095512715</v>
          </cell>
          <cell r="I766" t="str">
            <v>M3</v>
          </cell>
          <cell r="L766" t="str">
            <v>3.</v>
          </cell>
          <cell r="N766" t="str">
            <v>Mat. Pilihan</v>
          </cell>
          <cell r="O766" t="str">
            <v>(M09)</v>
          </cell>
          <cell r="P766" t="str">
            <v>M3</v>
          </cell>
          <cell r="Q766">
            <v>18.763120248860478</v>
          </cell>
          <cell r="R766">
            <v>25000</v>
          </cell>
          <cell r="U766">
            <v>469078.00622151193</v>
          </cell>
        </row>
        <row r="767">
          <cell r="C767" t="str">
            <v>- Mat. Pilihan = {((2*tg/100+d+0.5)*(0.5+2*tg/100+d+0.5)</v>
          </cell>
          <cell r="G767" t="str">
            <v>(M09)</v>
          </cell>
          <cell r="H767">
            <v>18.763120248860478</v>
          </cell>
          <cell r="I767" t="str">
            <v>M3</v>
          </cell>
          <cell r="J767" t="str">
            <v xml:space="preserve"> = Vp</v>
          </cell>
        </row>
        <row r="768">
          <cell r="C768" t="str">
            <v xml:space="preserve">                      -(22/7*(0.5*(2*tg/100+d))^2)*1)*1.05} x (1/BJp1)</v>
          </cell>
        </row>
        <row r="770">
          <cell r="A770" t="str">
            <v xml:space="preserve">   2.</v>
          </cell>
          <cell r="C770" t="str">
            <v>ALAT</v>
          </cell>
          <cell r="Q770" t="str">
            <v xml:space="preserve">JUMLAH HARGA BAHAN   </v>
          </cell>
          <cell r="U770">
            <v>8818321.5054047294</v>
          </cell>
        </row>
        <row r="771">
          <cell r="A771" t="str">
            <v>2.a.</v>
          </cell>
          <cell r="C771" t="str">
            <v>TAMPER</v>
          </cell>
          <cell r="G771" t="str">
            <v>(E25)</v>
          </cell>
        </row>
        <row r="772">
          <cell r="C772" t="str">
            <v>Kecepatan</v>
          </cell>
          <cell r="G772" t="str">
            <v>v</v>
          </cell>
          <cell r="H772">
            <v>0.5</v>
          </cell>
          <cell r="I772" t="str">
            <v>Km / Jam</v>
          </cell>
          <cell r="L772" t="str">
            <v>C.</v>
          </cell>
          <cell r="N772" t="str">
            <v>PERALATAN</v>
          </cell>
        </row>
        <row r="773">
          <cell r="C773" t="str">
            <v>Efisiensi alat</v>
          </cell>
          <cell r="G773" t="str">
            <v>Fa</v>
          </cell>
          <cell r="H773">
            <v>0.83</v>
          </cell>
          <cell r="I773" t="str">
            <v>-</v>
          </cell>
        </row>
        <row r="774">
          <cell r="C774" t="str">
            <v>Lebar pemadatan</v>
          </cell>
          <cell r="G774" t="str">
            <v>Lb</v>
          </cell>
          <cell r="H774">
            <v>0.4</v>
          </cell>
          <cell r="I774" t="str">
            <v>M</v>
          </cell>
          <cell r="L774" t="str">
            <v>1.</v>
          </cell>
          <cell r="N774" t="str">
            <v>Tamper</v>
          </cell>
          <cell r="O774" t="str">
            <v>(E25)</v>
          </cell>
          <cell r="P774" t="str">
            <v>Jam</v>
          </cell>
          <cell r="Q774">
            <v>0.76427690046725039</v>
          </cell>
          <cell r="R774">
            <v>18672.16854694486</v>
          </cell>
          <cell r="U774">
            <v>14270.7071020611</v>
          </cell>
        </row>
        <row r="775">
          <cell r="C775" t="str">
            <v>Banyak lintasan</v>
          </cell>
          <cell r="G775" t="str">
            <v>n</v>
          </cell>
          <cell r="H775">
            <v>10</v>
          </cell>
          <cell r="I775" t="str">
            <v>lintasan</v>
          </cell>
          <cell r="L775" t="str">
            <v>2.</v>
          </cell>
          <cell r="N775" t="str">
            <v>Alat  Bantu</v>
          </cell>
          <cell r="P775" t="str">
            <v>Ls</v>
          </cell>
          <cell r="Q775">
            <v>1</v>
          </cell>
          <cell r="R775">
            <v>3500</v>
          </cell>
          <cell r="U775">
            <v>3500</v>
          </cell>
        </row>
        <row r="776">
          <cell r="C776" t="str">
            <v>Tebal lapis hamparan</v>
          </cell>
          <cell r="G776" t="str">
            <v>tp</v>
          </cell>
          <cell r="H776">
            <v>0.2</v>
          </cell>
          <cell r="I776" t="str">
            <v>M</v>
          </cell>
        </row>
        <row r="779">
          <cell r="C779" t="str">
            <v>Kap. Prod. / Jam   =</v>
          </cell>
          <cell r="D779" t="str">
            <v>v x 1000 x Fa x Lb x 60</v>
          </cell>
          <cell r="G779" t="str">
            <v>Q1</v>
          </cell>
          <cell r="H779">
            <v>3.3200000000000003</v>
          </cell>
          <cell r="I779" t="str">
            <v xml:space="preserve">M3 / Jam </v>
          </cell>
        </row>
        <row r="780">
          <cell r="D780" t="str">
            <v xml:space="preserve">    n x tp</v>
          </cell>
        </row>
        <row r="782">
          <cell r="C782" t="str">
            <v>Koefisien Alat / T</v>
          </cell>
          <cell r="D782" t="str">
            <v xml:space="preserve"> =  1  :  Q1 x Vp</v>
          </cell>
          <cell r="G782" t="str">
            <v>(E25)</v>
          </cell>
          <cell r="H782">
            <v>0.76427690046725039</v>
          </cell>
          <cell r="I782" t="str">
            <v>jam</v>
          </cell>
          <cell r="Q782" t="str">
            <v xml:space="preserve">JUMLAH HARGA PERALATAN   </v>
          </cell>
          <cell r="U782">
            <v>17770.7071020611</v>
          </cell>
        </row>
        <row r="784">
          <cell r="L784" t="str">
            <v>D.</v>
          </cell>
          <cell r="N784" t="str">
            <v>JUMLAH HARGA TENAGA, BAHAN DAN PERALATAN  ( A + B + C )</v>
          </cell>
          <cell r="U784">
            <v>9061092.0278914049</v>
          </cell>
        </row>
        <row r="785">
          <cell r="A785" t="str">
            <v>2.c.</v>
          </cell>
          <cell r="C785" t="str">
            <v>ALAT  BANTU</v>
          </cell>
          <cell r="L785" t="str">
            <v>E.</v>
          </cell>
          <cell r="N785" t="str">
            <v>OVERHEAD &amp; PROFIT</v>
          </cell>
          <cell r="P785">
            <v>10</v>
          </cell>
          <cell r="Q785" t="str">
            <v>%  x  D</v>
          </cell>
          <cell r="U785">
            <v>906109.20278914052</v>
          </cell>
        </row>
        <row r="786">
          <cell r="C786" t="str">
            <v>Diperlukan alat-alat bantu kecil</v>
          </cell>
          <cell r="J786" t="str">
            <v>Lump Sump</v>
          </cell>
          <cell r="L786" t="str">
            <v>F.</v>
          </cell>
          <cell r="N786" t="str">
            <v>HARGA SATUAN PEKERJAAN  ( D + E )</v>
          </cell>
          <cell r="U786">
            <v>9967201.2306805458</v>
          </cell>
        </row>
        <row r="787">
          <cell r="C787" t="str">
            <v>- Sekop    =         3   buah</v>
          </cell>
          <cell r="L787" t="str">
            <v>Note: 1</v>
          </cell>
          <cell r="N787" t="str">
            <v>SATUAN dapat berdasarkan atas jam operasi untuk Tenaga Kerja dan Peralatan, volume dan/atau ukuran</v>
          </cell>
        </row>
        <row r="788">
          <cell r="C788" t="str">
            <v>- Pacul     =         3   buah</v>
          </cell>
          <cell r="N788" t="str">
            <v>berat untuk bahan-bahan.</v>
          </cell>
        </row>
        <row r="789">
          <cell r="C789" t="str">
            <v>- Alat-alat kecil lain</v>
          </cell>
          <cell r="L789">
            <v>2</v>
          </cell>
          <cell r="N789" t="str">
            <v>Kuantitas satuan adalah kuantitas setiap komponen untuk menyelesaikan satu satuan pekerjaan dari nomor</v>
          </cell>
        </row>
        <row r="790">
          <cell r="N790" t="str">
            <v>mata pembayaran.</v>
          </cell>
        </row>
        <row r="791">
          <cell r="L791">
            <v>3</v>
          </cell>
          <cell r="N791" t="str">
            <v>Biaya satuan untuk peralatan sudah termasuk bahan bakar, bahan habis dipakai dan operator.</v>
          </cell>
        </row>
        <row r="792">
          <cell r="L792">
            <v>4</v>
          </cell>
          <cell r="N792" t="str">
            <v>Biaya satuan sudah termasuk pengeluaran untuk seluruh pajak yang berkaitan (tetapi tidak termasuk PPN</v>
          </cell>
        </row>
        <row r="793">
          <cell r="N793" t="str">
            <v>yang dibayar dari kontrak) dan biaya-biaya lainnya.</v>
          </cell>
        </row>
        <row r="794">
          <cell r="J794" t="str">
            <v>Berlanjut ke halaman berikut</v>
          </cell>
        </row>
        <row r="795">
          <cell r="A795" t="str">
            <v>ITEM PEMBAYARAN NO.</v>
          </cell>
          <cell r="D795" t="str">
            <v>:  2.3 (7)</v>
          </cell>
          <cell r="J795" t="str">
            <v>Analisa EI-236</v>
          </cell>
        </row>
        <row r="796">
          <cell r="A796" t="str">
            <v>JENIS PEKERJAAN</v>
          </cell>
          <cell r="D796" t="str">
            <v>:  Gorong2 Baja Bergelombang dengan dimensi … (mengacu pada SNI 03-6719-2002)</v>
          </cell>
        </row>
        <row r="797">
          <cell r="A797" t="str">
            <v>SATUAN PEMBAYARAN</v>
          </cell>
          <cell r="D797" t="str">
            <v>:  Ton</v>
          </cell>
          <cell r="J797" t="str">
            <v xml:space="preserve">         URAIAN ANALISA HARGA SATUAN</v>
          </cell>
        </row>
        <row r="798">
          <cell r="J798" t="str">
            <v>Lanjutan</v>
          </cell>
        </row>
        <row r="800">
          <cell r="A800" t="str">
            <v>No.</v>
          </cell>
          <cell r="C800" t="str">
            <v>U R A I A N</v>
          </cell>
          <cell r="G800" t="str">
            <v>KODE</v>
          </cell>
          <cell r="H800" t="str">
            <v>KOEF.</v>
          </cell>
          <cell r="I800" t="str">
            <v>SATUAN</v>
          </cell>
          <cell r="J800" t="str">
            <v>KETERANGAN</v>
          </cell>
        </row>
        <row r="803">
          <cell r="A803" t="str">
            <v xml:space="preserve">   3.</v>
          </cell>
          <cell r="C803" t="str">
            <v>TENAGA</v>
          </cell>
        </row>
        <row r="804">
          <cell r="C804" t="str">
            <v xml:space="preserve">Produksi Gorong-gorong / hari </v>
          </cell>
          <cell r="G804" t="str">
            <v>Qt</v>
          </cell>
          <cell r="H804">
            <v>1.3</v>
          </cell>
          <cell r="I804" t="str">
            <v>Ton</v>
          </cell>
          <cell r="J804">
            <v>10</v>
          </cell>
        </row>
        <row r="805">
          <cell r="J805" t="str">
            <v>M' per hari</v>
          </cell>
        </row>
        <row r="806">
          <cell r="C806" t="str">
            <v>Kebutuhan tenaga :</v>
          </cell>
        </row>
        <row r="807">
          <cell r="D807" t="str">
            <v>- Pekerja</v>
          </cell>
          <cell r="G807" t="str">
            <v>P</v>
          </cell>
          <cell r="H807">
            <v>12</v>
          </cell>
          <cell r="I807" t="str">
            <v>orang</v>
          </cell>
        </row>
        <row r="808">
          <cell r="D808" t="str">
            <v>- Tukang</v>
          </cell>
          <cell r="G808" t="str">
            <v>T</v>
          </cell>
          <cell r="H808">
            <v>1</v>
          </cell>
          <cell r="I808" t="str">
            <v>orang</v>
          </cell>
        </row>
        <row r="809">
          <cell r="D809" t="str">
            <v>- Mandor</v>
          </cell>
          <cell r="G809" t="str">
            <v>M</v>
          </cell>
          <cell r="H809">
            <v>1</v>
          </cell>
          <cell r="I809" t="str">
            <v>orang</v>
          </cell>
        </row>
        <row r="811">
          <cell r="C811" t="str">
            <v>Koefisien tenaga / Ton   :</v>
          </cell>
        </row>
        <row r="812">
          <cell r="D812" t="str">
            <v>- Pekerja</v>
          </cell>
          <cell r="E812" t="str">
            <v>= (Tk x P) : Qt</v>
          </cell>
          <cell r="G812" t="str">
            <v>(L01)</v>
          </cell>
          <cell r="H812">
            <v>64.615384615384613</v>
          </cell>
          <cell r="I812" t="str">
            <v>jam</v>
          </cell>
        </row>
        <row r="813">
          <cell r="D813" t="str">
            <v>- Tukang</v>
          </cell>
          <cell r="E813" t="str">
            <v>= (Tk x T) : Qt</v>
          </cell>
          <cell r="G813" t="str">
            <v>(L02)</v>
          </cell>
          <cell r="H813">
            <v>5.3846153846153841</v>
          </cell>
          <cell r="I813" t="str">
            <v>jam</v>
          </cell>
        </row>
        <row r="814">
          <cell r="D814" t="str">
            <v>- Mandor</v>
          </cell>
          <cell r="E814" t="str">
            <v>= (Tk x M) : Qt</v>
          </cell>
          <cell r="G814" t="str">
            <v>(L03)</v>
          </cell>
          <cell r="H814">
            <v>5.3846153846153841</v>
          </cell>
          <cell r="I814" t="str">
            <v>jam</v>
          </cell>
        </row>
        <row r="816">
          <cell r="A816" t="str">
            <v>4.</v>
          </cell>
          <cell r="C816" t="str">
            <v>HARGA DASAR SATUAN UPAH, BAHAN DAN ALAT</v>
          </cell>
        </row>
        <row r="817">
          <cell r="C817" t="str">
            <v>Lihat lampiran.</v>
          </cell>
        </row>
        <row r="819">
          <cell r="A819" t="str">
            <v>5.</v>
          </cell>
          <cell r="C819" t="str">
            <v>ANALISA HARGA SATUAN PEKERJAAN</v>
          </cell>
        </row>
        <row r="820">
          <cell r="C820" t="str">
            <v>Lihat perhitungan dalam FORMULIR STANDAR UNTUK</v>
          </cell>
        </row>
        <row r="821">
          <cell r="C821" t="str">
            <v>PEREKEMAN ANALISA MASING-MASING HARGA</v>
          </cell>
        </row>
        <row r="822">
          <cell r="C822" t="str">
            <v>SATUAN.</v>
          </cell>
        </row>
        <row r="823">
          <cell r="C823" t="str">
            <v>Didapat Harga Satuan Pekerjaan :</v>
          </cell>
        </row>
        <row r="825">
          <cell r="C825" t="str">
            <v xml:space="preserve">Rp.  </v>
          </cell>
          <cell r="D825">
            <v>9967201.2306805458</v>
          </cell>
          <cell r="E825" t="str">
            <v xml:space="preserve"> / M'</v>
          </cell>
        </row>
        <row r="828">
          <cell r="A828" t="str">
            <v>6.</v>
          </cell>
          <cell r="C828" t="str">
            <v>WAKTU PELAKSANAAN YANG DIPERLUKAN</v>
          </cell>
        </row>
        <row r="829">
          <cell r="C829" t="str">
            <v>Masa Pelaksanaan :</v>
          </cell>
          <cell r="D829" t="str">
            <v>. . . . . . . . . . . .</v>
          </cell>
          <cell r="E829" t="str">
            <v>bulan</v>
          </cell>
        </row>
        <row r="831">
          <cell r="A831" t="str">
            <v>7.</v>
          </cell>
          <cell r="C831" t="str">
            <v>VOLUME PEKERJAAN YANG DIPERLUKAN</v>
          </cell>
        </row>
        <row r="832">
          <cell r="C832" t="str">
            <v>Volume pekerjaan  :</v>
          </cell>
          <cell r="D832">
            <v>1</v>
          </cell>
          <cell r="E832" t="str">
            <v>M'</v>
          </cell>
        </row>
        <row r="854">
          <cell r="A854" t="str">
            <v>ITEM PEMBAYARAN NO.</v>
          </cell>
          <cell r="D854" t="str">
            <v>:  2.3 (8)</v>
          </cell>
          <cell r="J854" t="str">
            <v xml:space="preserve">Analisa EI-235 </v>
          </cell>
        </row>
        <row r="855">
          <cell r="A855" t="str">
            <v>JENIS PEKERJAAN</v>
          </cell>
          <cell r="D855" t="str">
            <v>: Gorong-Gorong Pipa beton tanpa tulangan diameter dalam 100 mm sampai 900 mm</v>
          </cell>
          <cell r="L855" t="str">
            <v>FORMULIR STANDAR UNTUK</v>
          </cell>
        </row>
        <row r="856">
          <cell r="A856" t="str">
            <v>SATUAN PEMBAYARAN</v>
          </cell>
          <cell r="D856" t="str">
            <v>:  M1</v>
          </cell>
          <cell r="J856" t="str">
            <v xml:space="preserve">         URAIAN ANALISA HARGA SATUAN</v>
          </cell>
          <cell r="L856" t="str">
            <v>PEREKAMAN ANALISA MASING-MASING HARGA SATUAN</v>
          </cell>
        </row>
        <row r="857">
          <cell r="L857" t="str">
            <v xml:space="preserve">                                                                                                            </v>
          </cell>
        </row>
        <row r="859">
          <cell r="A859" t="str">
            <v>No.</v>
          </cell>
          <cell r="C859" t="str">
            <v>U R A I A N</v>
          </cell>
          <cell r="G859" t="str">
            <v>KODE</v>
          </cell>
          <cell r="H859" t="str">
            <v>KOEF.</v>
          </cell>
          <cell r="I859" t="str">
            <v>SATUAN</v>
          </cell>
          <cell r="J859" t="str">
            <v>KETERANGAN</v>
          </cell>
        </row>
        <row r="860">
          <cell r="L860" t="str">
            <v>PROYEK</v>
          </cell>
          <cell r="O860" t="str">
            <v>:</v>
          </cell>
        </row>
        <row r="861">
          <cell r="L861" t="str">
            <v>No. PAKET KONTRAK</v>
          </cell>
          <cell r="O861" t="str">
            <v>:</v>
          </cell>
        </row>
        <row r="862">
          <cell r="A862" t="str">
            <v>I.</v>
          </cell>
          <cell r="C862" t="str">
            <v>ASUMSI</v>
          </cell>
          <cell r="L862" t="str">
            <v>NAMA PAKET</v>
          </cell>
          <cell r="O862" t="str">
            <v>:</v>
          </cell>
        </row>
        <row r="863">
          <cell r="A863">
            <v>1</v>
          </cell>
          <cell r="C863" t="str">
            <v>Pekerjaan dilakukan secara mekanik/manual</v>
          </cell>
          <cell r="L863" t="str">
            <v>PROP / KAB / KODYA</v>
          </cell>
          <cell r="O863" t="str">
            <v>:</v>
          </cell>
        </row>
        <row r="864">
          <cell r="A864">
            <v>2</v>
          </cell>
          <cell r="C864" t="str">
            <v>Lokasi pekerjaan : sepanjang jalan</v>
          </cell>
          <cell r="L864" t="str">
            <v>ITEM PEMBAYARAN NO.</v>
          </cell>
          <cell r="O864" t="str">
            <v>:  2.3 (8)</v>
          </cell>
          <cell r="R864" t="str">
            <v>PERKIRAAN VOL. PEK.</v>
          </cell>
          <cell r="T864" t="str">
            <v>:</v>
          </cell>
          <cell r="U864">
            <v>1</v>
          </cell>
        </row>
        <row r="865">
          <cell r="A865">
            <v>3</v>
          </cell>
          <cell r="C865" t="str">
            <v>Diameter bagian dalam gorong-gorong</v>
          </cell>
          <cell r="G865" t="str">
            <v>d</v>
          </cell>
          <cell r="H865">
            <v>0.25</v>
          </cell>
          <cell r="I865" t="str">
            <v>m</v>
          </cell>
          <cell r="L865" t="str">
            <v>JENIS PEKERJAAN</v>
          </cell>
          <cell r="O865" t="str">
            <v>: Gorong-Gorong Pipa beton tanpa tulangan diameter dalam 100 mm sampai 900 mm</v>
          </cell>
          <cell r="R865" t="str">
            <v>TOTAL HARGA (Rp.)</v>
          </cell>
          <cell r="T865" t="str">
            <v>:</v>
          </cell>
          <cell r="U865">
            <v>218715.29344341051</v>
          </cell>
        </row>
        <row r="866">
          <cell r="A866">
            <v>4</v>
          </cell>
          <cell r="C866" t="str">
            <v>Jarak rata-rata Base Camp ke lokasi pekerjaan</v>
          </cell>
          <cell r="G866" t="str">
            <v>L</v>
          </cell>
          <cell r="H866">
            <v>8.7249999999999996</v>
          </cell>
          <cell r="I866" t="str">
            <v>Km</v>
          </cell>
          <cell r="L866" t="str">
            <v>SATUAN PEMBAYARAN</v>
          </cell>
          <cell r="O866" t="str">
            <v>:  M1</v>
          </cell>
          <cell r="Q866">
            <v>0</v>
          </cell>
          <cell r="R866" t="str">
            <v>% THD. BIAYA PROYEK</v>
          </cell>
          <cell r="T866" t="str">
            <v>:</v>
          </cell>
          <cell r="U866" t="e">
            <v>#DIV/0!</v>
          </cell>
        </row>
        <row r="867">
          <cell r="A867">
            <v>5</v>
          </cell>
          <cell r="C867" t="str">
            <v>Jam kerja efektif per-hari</v>
          </cell>
          <cell r="G867" t="str">
            <v>Tk</v>
          </cell>
          <cell r="H867">
            <v>7</v>
          </cell>
          <cell r="I867" t="str">
            <v>jam</v>
          </cell>
        </row>
        <row r="868">
          <cell r="A868">
            <v>6</v>
          </cell>
          <cell r="C868" t="str">
            <v>Tebal gorong-gorong</v>
          </cell>
          <cell r="G868" t="str">
            <v>tg</v>
          </cell>
          <cell r="H868">
            <v>6.5</v>
          </cell>
          <cell r="I868" t="str">
            <v>Cm</v>
          </cell>
        </row>
        <row r="869">
          <cell r="Q869" t="str">
            <v>PERKIRAAN</v>
          </cell>
          <cell r="R869" t="str">
            <v>HARGA</v>
          </cell>
          <cell r="S869" t="str">
            <v>JUMLAH</v>
          </cell>
        </row>
        <row r="870">
          <cell r="A870" t="str">
            <v>II.</v>
          </cell>
          <cell r="C870" t="str">
            <v>URUTAN KERJA</v>
          </cell>
          <cell r="L870" t="str">
            <v>NO.</v>
          </cell>
          <cell r="N870" t="str">
            <v>KOMPONEN</v>
          </cell>
          <cell r="P870" t="str">
            <v>SATUAN</v>
          </cell>
          <cell r="Q870" t="str">
            <v>KUANTITAS</v>
          </cell>
          <cell r="R870" t="str">
            <v>SATUAN</v>
          </cell>
          <cell r="S870" t="str">
            <v>HARGA</v>
          </cell>
        </row>
        <row r="871">
          <cell r="A871">
            <v>1</v>
          </cell>
          <cell r="C871" t="str">
            <v>Gorong-gorong dicetak di Base Camp</v>
          </cell>
          <cell r="R871" t="str">
            <v>(Rp.)</v>
          </cell>
          <cell r="S871" t="str">
            <v>(Rp.)</v>
          </cell>
        </row>
        <row r="872">
          <cell r="A872">
            <v>2</v>
          </cell>
          <cell r="C872" t="str">
            <v>Dump Truck mengangkut gorong-gorong jadi</v>
          </cell>
        </row>
        <row r="873">
          <cell r="C873" t="str">
            <v>ke lapangan</v>
          </cell>
        </row>
        <row r="874">
          <cell r="A874">
            <v>3</v>
          </cell>
          <cell r="C874" t="str">
            <v>Dasar gorong-gorong digali sesuai kebutuhan dan ma-</v>
          </cell>
          <cell r="L874" t="str">
            <v>A.</v>
          </cell>
          <cell r="N874" t="str">
            <v>TENAGA</v>
          </cell>
        </row>
        <row r="875">
          <cell r="C875" t="str">
            <v>terial backfill dipadatkan dengan Tamper</v>
          </cell>
        </row>
        <row r="876">
          <cell r="A876">
            <v>4</v>
          </cell>
          <cell r="C876" t="str">
            <v>Tebal lapis porus pada dasar gorong-gorong pipa baja</v>
          </cell>
          <cell r="G876" t="str">
            <v>tp</v>
          </cell>
          <cell r="H876">
            <v>0.1</v>
          </cell>
          <cell r="I876" t="str">
            <v>M</v>
          </cell>
          <cell r="J876" t="str">
            <v xml:space="preserve"> Sand bedding</v>
          </cell>
          <cell r="L876" t="str">
            <v>1.</v>
          </cell>
          <cell r="N876" t="str">
            <v>Pekerja</v>
          </cell>
          <cell r="O876" t="str">
            <v>(L01)</v>
          </cell>
          <cell r="P876" t="str">
            <v>jam</v>
          </cell>
          <cell r="Q876">
            <v>1.75</v>
          </cell>
          <cell r="R876">
            <v>2857.14</v>
          </cell>
          <cell r="U876">
            <v>4999.9949999999999</v>
          </cell>
        </row>
        <row r="877">
          <cell r="A877">
            <v>5</v>
          </cell>
          <cell r="C877" t="str">
            <v>Material pilihan untuk penimbunan kembali (padat)</v>
          </cell>
          <cell r="L877" t="str">
            <v>2.</v>
          </cell>
          <cell r="N877" t="str">
            <v>Tukang</v>
          </cell>
          <cell r="O877" t="str">
            <v>(L02)</v>
          </cell>
          <cell r="P877" t="str">
            <v>jam</v>
          </cell>
          <cell r="Q877">
            <v>0</v>
          </cell>
          <cell r="R877">
            <v>4285.71</v>
          </cell>
          <cell r="U877">
            <v>0</v>
          </cell>
        </row>
        <row r="878">
          <cell r="A878">
            <v>6</v>
          </cell>
          <cell r="C878" t="str">
            <v>Sekelompok pekerja akan melaksanakan pekerjaan</v>
          </cell>
          <cell r="L878" t="str">
            <v>3.</v>
          </cell>
          <cell r="N878" t="str">
            <v>Mandor</v>
          </cell>
          <cell r="O878" t="str">
            <v>(L03)</v>
          </cell>
          <cell r="P878" t="str">
            <v>jam</v>
          </cell>
          <cell r="Q878">
            <v>0.35</v>
          </cell>
          <cell r="R878">
            <v>3214.29</v>
          </cell>
          <cell r="U878">
            <v>1125.0014999999999</v>
          </cell>
        </row>
        <row r="879">
          <cell r="C879" t="str">
            <v>dengan cara manual dengan menggunakan alat bantu</v>
          </cell>
        </row>
        <row r="880">
          <cell r="Q880" t="str">
            <v xml:space="preserve">JUMLAH HARGA TENAGA   </v>
          </cell>
          <cell r="U880">
            <v>6124.9964999999993</v>
          </cell>
        </row>
        <row r="882">
          <cell r="A882" t="str">
            <v>III.</v>
          </cell>
          <cell r="C882" t="str">
            <v>PEMAKAIAN BAHAN, ALAT DAN TENAGA</v>
          </cell>
          <cell r="L882" t="str">
            <v>B.</v>
          </cell>
          <cell r="N882" t="str">
            <v>BAHAN</v>
          </cell>
        </row>
        <row r="883">
          <cell r="A883" t="str">
            <v xml:space="preserve">   1.</v>
          </cell>
          <cell r="C883" t="str">
            <v>BAHAN</v>
          </cell>
        </row>
        <row r="884">
          <cell r="C884" t="str">
            <v>Untuk mendapatkan 1 M' gorong-gorong diperlukan</v>
          </cell>
          <cell r="L884" t="str">
            <v>1.</v>
          </cell>
          <cell r="N884" t="str">
            <v>Beton K-175</v>
          </cell>
          <cell r="O884" t="str">
            <v>(EI-716)</v>
          </cell>
          <cell r="P884" t="str">
            <v>M3</v>
          </cell>
          <cell r="Q884">
            <v>6.4324109582251016E-2</v>
          </cell>
          <cell r="R884">
            <v>579443.14540291647</v>
          </cell>
          <cell r="U884">
            <v>37272.16438158141</v>
          </cell>
        </row>
        <row r="885">
          <cell r="C885" t="str">
            <v>- Beton K-175 = (22/7*((2*tg/100+d)/2)^2)-(22/7*(d/2)^2))*1</v>
          </cell>
          <cell r="G885" t="str">
            <v>(EI-716)</v>
          </cell>
          <cell r="H885">
            <v>6.4324109582251016E-2</v>
          </cell>
          <cell r="I885" t="str">
            <v>M3</v>
          </cell>
          <cell r="L885" t="str">
            <v>2.</v>
          </cell>
          <cell r="N885" t="str">
            <v>Urugan Porus</v>
          </cell>
          <cell r="O885" t="str">
            <v>(EI-241)</v>
          </cell>
          <cell r="P885" t="str">
            <v>M3</v>
          </cell>
          <cell r="Q885">
            <v>7.1400000000000005E-2</v>
          </cell>
          <cell r="R885">
            <v>186901.40625406182</v>
          </cell>
          <cell r="U885">
            <v>13344.760406540016</v>
          </cell>
        </row>
        <row r="886">
          <cell r="C886" t="str">
            <v>- Timbunan Porus      = {(tp*(0.15+2*tg/100+d+0.15)*1)*1.05}</v>
          </cell>
          <cell r="G886" t="str">
            <v>(EI-241)</v>
          </cell>
          <cell r="H886">
            <v>7.1400000000000005E-2</v>
          </cell>
          <cell r="I886" t="str">
            <v>M3</v>
          </cell>
          <cell r="L886" t="str">
            <v>3.</v>
          </cell>
          <cell r="N886" t="str">
            <v>Mat. Pilihan</v>
          </cell>
          <cell r="O886" t="str">
            <v>(M09)</v>
          </cell>
          <cell r="P886" t="str">
            <v>M3</v>
          </cell>
          <cell r="Q886">
            <v>0.25929000000000008</v>
          </cell>
          <cell r="R886">
            <v>25000</v>
          </cell>
          <cell r="U886">
            <v>6482.2500000000018</v>
          </cell>
        </row>
        <row r="887">
          <cell r="C887" t="str">
            <v>- Material Pilihan  = ((2*tg/100+d+0.15)*(0.15+2*tg/100+d+0.15)</v>
          </cell>
          <cell r="G887" t="str">
            <v>(M09)</v>
          </cell>
          <cell r="H887">
            <v>0.25929000000000008</v>
          </cell>
          <cell r="I887" t="str">
            <v>M3</v>
          </cell>
          <cell r="J887" t="str">
            <v xml:space="preserve"> = Vp</v>
          </cell>
        </row>
        <row r="888">
          <cell r="D888" t="str">
            <v>-(22/7*(0.5*(2*tg/100+d))^2))*1*1.05</v>
          </cell>
        </row>
        <row r="890">
          <cell r="A890" t="str">
            <v xml:space="preserve">   2.</v>
          </cell>
          <cell r="C890" t="str">
            <v>ALAT</v>
          </cell>
          <cell r="Q890" t="str">
            <v xml:space="preserve">JUMLAH HARGA BAHAN   </v>
          </cell>
          <cell r="U890">
            <v>57099.174788121425</v>
          </cell>
        </row>
        <row r="891">
          <cell r="A891" t="str">
            <v>2.a.</v>
          </cell>
          <cell r="C891" t="str">
            <v>TAMPER</v>
          </cell>
          <cell r="G891" t="str">
            <v>(E25)</v>
          </cell>
        </row>
        <row r="892">
          <cell r="C892" t="str">
            <v>Kecepatan</v>
          </cell>
          <cell r="G892" t="str">
            <v>v</v>
          </cell>
          <cell r="H892">
            <v>0.5</v>
          </cell>
          <cell r="I892" t="str">
            <v>Km / Jam</v>
          </cell>
          <cell r="L892" t="str">
            <v>C.</v>
          </cell>
          <cell r="N892" t="str">
            <v>PERALATAN</v>
          </cell>
        </row>
        <row r="893">
          <cell r="C893" t="str">
            <v>Efisiensi alat</v>
          </cell>
          <cell r="G893" t="str">
            <v>Fa</v>
          </cell>
          <cell r="H893">
            <v>0.83</v>
          </cell>
          <cell r="I893" t="str">
            <v>-</v>
          </cell>
        </row>
        <row r="894">
          <cell r="C894" t="str">
            <v>Lebar pemadatan</v>
          </cell>
          <cell r="G894" t="str">
            <v>Lb</v>
          </cell>
          <cell r="H894">
            <v>0.4</v>
          </cell>
          <cell r="I894" t="str">
            <v>M</v>
          </cell>
          <cell r="L894" t="str">
            <v>1.</v>
          </cell>
          <cell r="N894" t="str">
            <v>Tamper</v>
          </cell>
          <cell r="O894" t="str">
            <v>(E25)</v>
          </cell>
          <cell r="P894" t="str">
            <v>jam</v>
          </cell>
          <cell r="Q894">
            <v>7.8099397590361455E-2</v>
          </cell>
          <cell r="R894">
            <v>18672.16854694486</v>
          </cell>
          <cell r="U894">
            <v>1458.2851152220883</v>
          </cell>
        </row>
        <row r="895">
          <cell r="C895" t="str">
            <v>Banyak lintasan</v>
          </cell>
          <cell r="G895" t="str">
            <v>n</v>
          </cell>
          <cell r="H895">
            <v>10</v>
          </cell>
          <cell r="I895" t="str">
            <v>lintasan</v>
          </cell>
          <cell r="L895" t="str">
            <v>2.</v>
          </cell>
          <cell r="N895" t="str">
            <v>Dump Truck</v>
          </cell>
          <cell r="O895" t="str">
            <v>(E08)</v>
          </cell>
          <cell r="P895" t="str">
            <v>jam</v>
          </cell>
          <cell r="Q895">
            <v>7.210090361445784E-2</v>
          </cell>
          <cell r="R895">
            <v>153645.58193291764</v>
          </cell>
          <cell r="U895">
            <v>11077.98529373258</v>
          </cell>
        </row>
        <row r="896">
          <cell r="C896" t="str">
            <v>Tebal lapis hamparan</v>
          </cell>
          <cell r="G896" t="str">
            <v>tp</v>
          </cell>
          <cell r="H896">
            <v>0.2</v>
          </cell>
          <cell r="I896" t="str">
            <v>M</v>
          </cell>
          <cell r="L896" t="str">
            <v>3.</v>
          </cell>
          <cell r="N896" t="str">
            <v>Alat  Bantu</v>
          </cell>
          <cell r="P896" t="str">
            <v>Ls</v>
          </cell>
          <cell r="Q896">
            <v>1</v>
          </cell>
          <cell r="R896">
            <v>150</v>
          </cell>
          <cell r="U896">
            <v>150</v>
          </cell>
        </row>
        <row r="899">
          <cell r="C899" t="str">
            <v>Kap. Prod. / Jam   =</v>
          </cell>
          <cell r="D899" t="str">
            <v>v x 1000 x Fa x Lb x 60</v>
          </cell>
          <cell r="G899" t="str">
            <v>Q1</v>
          </cell>
          <cell r="H899">
            <v>3.3200000000000003</v>
          </cell>
          <cell r="I899" t="str">
            <v xml:space="preserve">M3 / Jam </v>
          </cell>
        </row>
        <row r="900">
          <cell r="D900" t="str">
            <v xml:space="preserve">    n x tp</v>
          </cell>
        </row>
        <row r="902">
          <cell r="C902" t="str">
            <v>Koefisien Alat / m'</v>
          </cell>
          <cell r="D902" t="str">
            <v xml:space="preserve"> =  1  :  Q1 x Vp</v>
          </cell>
          <cell r="G902" t="str">
            <v>(E25)</v>
          </cell>
          <cell r="H902">
            <v>7.8099397590361455E-2</v>
          </cell>
          <cell r="I902" t="str">
            <v>jam</v>
          </cell>
          <cell r="Q902" t="str">
            <v xml:space="preserve">JUMLAH HARGA PERALATAN   </v>
          </cell>
          <cell r="U902">
            <v>12686.270408954668</v>
          </cell>
        </row>
        <row r="904">
          <cell r="A904" t="str">
            <v>2.b.</v>
          </cell>
          <cell r="C904" t="str">
            <v>DUMP TRUCK</v>
          </cell>
          <cell r="G904" t="str">
            <v>(E08)</v>
          </cell>
          <cell r="L904" t="str">
            <v>D.</v>
          </cell>
          <cell r="N904" t="str">
            <v>JUMLAH HARGA TENAGA, BAHAN DAN PERALATAN  ( A + B + C )</v>
          </cell>
          <cell r="U904">
            <v>75910.441697076094</v>
          </cell>
        </row>
        <row r="905">
          <cell r="C905" t="str">
            <v>Kapasitas bak sekali muat</v>
          </cell>
          <cell r="G905" t="str">
            <v>V</v>
          </cell>
          <cell r="H905">
            <v>20</v>
          </cell>
          <cell r="I905" t="str">
            <v>Buah/M'</v>
          </cell>
          <cell r="L905" t="str">
            <v>E.</v>
          </cell>
          <cell r="N905" t="str">
            <v>OVERHEAD &amp; PROFIT</v>
          </cell>
          <cell r="P905">
            <v>10</v>
          </cell>
          <cell r="Q905" t="str">
            <v>%  x  D</v>
          </cell>
          <cell r="U905">
            <v>7591.0441697076094</v>
          </cell>
        </row>
        <row r="906">
          <cell r="C906" t="str">
            <v>Faktor efisiensi alat</v>
          </cell>
          <cell r="G906" t="str">
            <v>Fa</v>
          </cell>
          <cell r="H906">
            <v>0.83</v>
          </cell>
          <cell r="L906" t="str">
            <v>F.</v>
          </cell>
          <cell r="N906" t="str">
            <v>HARGA SATUAN PEKERJAAN  ( D + E )</v>
          </cell>
          <cell r="U906">
            <v>83501.485866783711</v>
          </cell>
        </row>
        <row r="907">
          <cell r="C907" t="str">
            <v>Kecepatanrata-rata bermuatan</v>
          </cell>
          <cell r="G907" t="str">
            <v>v1</v>
          </cell>
          <cell r="H907">
            <v>40</v>
          </cell>
          <cell r="I907" t="str">
            <v>Km/Jam</v>
          </cell>
          <cell r="L907" t="str">
            <v>Note: 1</v>
          </cell>
          <cell r="N907" t="str">
            <v>SATUAN dapat berdasarkan atas jam operasi untuk Tenaga Kerja dan Peralatan, volume dan/atau ukuran</v>
          </cell>
        </row>
        <row r="908">
          <cell r="C908" t="str">
            <v>Kecepatan rata-rata kosong</v>
          </cell>
          <cell r="G908" t="str">
            <v>v2</v>
          </cell>
          <cell r="H908">
            <v>60</v>
          </cell>
          <cell r="I908" t="str">
            <v>Km/Jam</v>
          </cell>
          <cell r="N908" t="str">
            <v>berat untuk bahan-bahan.</v>
          </cell>
        </row>
        <row r="909">
          <cell r="C909" t="str">
            <v>Waktu siklus    :</v>
          </cell>
          <cell r="G909" t="str">
            <v>Ts1</v>
          </cell>
          <cell r="L909">
            <v>2</v>
          </cell>
          <cell r="N909" t="str">
            <v>Kuantitas satuan adalah kuantitas setiap komponen untuk menyelesaikan satu satuan pekerjaan dari nomor</v>
          </cell>
        </row>
        <row r="910">
          <cell r="C910" t="str">
            <v>- Waktu  tempuh in  si  = (L : v1 ) x 60</v>
          </cell>
          <cell r="G910" t="str">
            <v>T1</v>
          </cell>
          <cell r="H910">
            <v>13.087499999999999</v>
          </cell>
          <cell r="I910" t="str">
            <v>menit</v>
          </cell>
          <cell r="N910" t="str">
            <v>mata pembayaran.</v>
          </cell>
        </row>
        <row r="911">
          <cell r="C911" t="str">
            <v>-  Waktutempuh kosong  = (L : v2)  x  60</v>
          </cell>
          <cell r="G911" t="str">
            <v>T2</v>
          </cell>
          <cell r="H911">
            <v>8.7249999999999996</v>
          </cell>
          <cell r="I911" t="str">
            <v>menit</v>
          </cell>
          <cell r="L911">
            <v>3</v>
          </cell>
          <cell r="N911" t="str">
            <v>Biaya satuan untuk peralatan sudah termasuk bahan bakar, bahan habis dipakai dan operator.</v>
          </cell>
        </row>
        <row r="912">
          <cell r="C912" t="str">
            <v>-  Muat, bongkar dan lain-lain</v>
          </cell>
          <cell r="G912" t="str">
            <v>T3</v>
          </cell>
          <cell r="H912">
            <v>50</v>
          </cell>
          <cell r="I912" t="str">
            <v>menit</v>
          </cell>
          <cell r="L912">
            <v>4</v>
          </cell>
          <cell r="N912" t="str">
            <v>Biaya satuan sudah termasuk pengeluaran untuk seluruh pajak yang berkaitan (tetapi tidak termasuk PPN</v>
          </cell>
        </row>
        <row r="913">
          <cell r="G913" t="str">
            <v>Ts1</v>
          </cell>
          <cell r="H913">
            <v>71.8125</v>
          </cell>
          <cell r="I913" t="str">
            <v>menit</v>
          </cell>
          <cell r="N913" t="str">
            <v>yang dibayar dari kontrak) dan biaya-biaya lainnya.</v>
          </cell>
        </row>
        <row r="914">
          <cell r="J914" t="str">
            <v>Berlanjut ke halaman berikut</v>
          </cell>
        </row>
        <row r="915">
          <cell r="A915" t="str">
            <v>ITEM PEMBAYARAN NO.</v>
          </cell>
          <cell r="D915" t="str">
            <v>:  2.3 (8)</v>
          </cell>
          <cell r="J915" t="str">
            <v xml:space="preserve">Analisa EI-235 </v>
          </cell>
        </row>
        <row r="916">
          <cell r="A916" t="str">
            <v>JENIS PEKERJAAN</v>
          </cell>
          <cell r="D916" t="str">
            <v>: Gorong-Gorong Pipa beton tanpa tulangan diameter dalam 100 mm sampai 900 mm</v>
          </cell>
        </row>
        <row r="917">
          <cell r="A917" t="str">
            <v>SATUAN PEMBAYARAN</v>
          </cell>
          <cell r="D917" t="str">
            <v>:  M1</v>
          </cell>
          <cell r="J917" t="str">
            <v xml:space="preserve">         URAIAN ANALISA HARGA SATUAN</v>
          </cell>
        </row>
        <row r="918">
          <cell r="J918" t="str">
            <v>Lanjutan</v>
          </cell>
        </row>
        <row r="920">
          <cell r="A920" t="str">
            <v>No.</v>
          </cell>
          <cell r="C920" t="str">
            <v>U R A I A N</v>
          </cell>
          <cell r="G920" t="str">
            <v>KODE</v>
          </cell>
          <cell r="H920" t="str">
            <v>KOEF.</v>
          </cell>
          <cell r="I920" t="str">
            <v>SATUAN</v>
          </cell>
          <cell r="J920" t="str">
            <v>KETERANGAN</v>
          </cell>
        </row>
        <row r="923">
          <cell r="C923" t="str">
            <v>Kapasitas Produksi / Jam   =</v>
          </cell>
          <cell r="E923" t="str">
            <v>V x Fa x 60</v>
          </cell>
          <cell r="G923" t="str">
            <v>Q2</v>
          </cell>
          <cell r="H923">
            <v>13.869451697127936</v>
          </cell>
          <cell r="I923" t="str">
            <v xml:space="preserve">M' / Jam </v>
          </cell>
        </row>
        <row r="924">
          <cell r="E924" t="str">
            <v>Ts1</v>
          </cell>
        </row>
        <row r="926">
          <cell r="C926" t="str">
            <v>Koefisien Alat / m'</v>
          </cell>
          <cell r="D926" t="str">
            <v xml:space="preserve"> =  1  :  Q2</v>
          </cell>
          <cell r="G926" t="str">
            <v>(E08)</v>
          </cell>
          <cell r="H926">
            <v>7.210090361445784E-2</v>
          </cell>
          <cell r="I926" t="str">
            <v>jam</v>
          </cell>
        </row>
        <row r="929">
          <cell r="A929" t="str">
            <v>2.c.</v>
          </cell>
          <cell r="C929" t="str">
            <v>ALAT  BANTU</v>
          </cell>
        </row>
        <row r="930">
          <cell r="C930" t="str">
            <v>Diperlukan alat-alat bantu kecil</v>
          </cell>
          <cell r="J930" t="str">
            <v>Lump Sump</v>
          </cell>
        </row>
        <row r="931">
          <cell r="C931" t="str">
            <v>- Sekop    =         3   buah</v>
          </cell>
        </row>
        <row r="932">
          <cell r="C932" t="str">
            <v>- Pacul     =         3   buah</v>
          </cell>
        </row>
        <row r="933">
          <cell r="C933" t="str">
            <v>- Alat-alat kecil lain</v>
          </cell>
        </row>
        <row r="935">
          <cell r="A935" t="str">
            <v xml:space="preserve">   3.</v>
          </cell>
          <cell r="C935" t="str">
            <v>TENAGA</v>
          </cell>
        </row>
        <row r="936">
          <cell r="C936" t="str">
            <v>Produksi Gorong-gorong / hari</v>
          </cell>
          <cell r="G936" t="str">
            <v>Qt</v>
          </cell>
          <cell r="H936">
            <v>20</v>
          </cell>
          <cell r="I936" t="str">
            <v>M'</v>
          </cell>
        </row>
        <row r="937">
          <cell r="C937" t="str">
            <v>Kebutuhan tenaga :</v>
          </cell>
        </row>
        <row r="938">
          <cell r="D938" t="str">
            <v>- Pekerja</v>
          </cell>
          <cell r="G938" t="str">
            <v>P</v>
          </cell>
          <cell r="H938">
            <v>5</v>
          </cell>
          <cell r="I938" t="str">
            <v>orang</v>
          </cell>
        </row>
        <row r="939">
          <cell r="D939" t="str">
            <v>- Tukang</v>
          </cell>
          <cell r="G939" t="str">
            <v>T</v>
          </cell>
          <cell r="H939">
            <v>0</v>
          </cell>
          <cell r="I939" t="str">
            <v>orang</v>
          </cell>
        </row>
        <row r="940">
          <cell r="D940" t="str">
            <v>- Mandor</v>
          </cell>
          <cell r="G940" t="str">
            <v>M</v>
          </cell>
          <cell r="H940">
            <v>1</v>
          </cell>
          <cell r="I940" t="str">
            <v>orang</v>
          </cell>
        </row>
        <row r="942">
          <cell r="C942" t="str">
            <v>Koefisien tenaga / M1   :</v>
          </cell>
        </row>
        <row r="943">
          <cell r="D943" t="str">
            <v>- Pekerja</v>
          </cell>
          <cell r="E943" t="str">
            <v>= (Tk x P) : Qt</v>
          </cell>
          <cell r="G943" t="str">
            <v>(L01)</v>
          </cell>
          <cell r="H943">
            <v>1.75</v>
          </cell>
          <cell r="I943" t="str">
            <v>Jam</v>
          </cell>
        </row>
        <row r="944">
          <cell r="D944" t="str">
            <v>- Tukang</v>
          </cell>
          <cell r="E944" t="str">
            <v>= (Tk x T) : Qt</v>
          </cell>
          <cell r="G944" t="str">
            <v>(L02)</v>
          </cell>
          <cell r="H944">
            <v>0</v>
          </cell>
          <cell r="I944" t="str">
            <v>Jam</v>
          </cell>
        </row>
        <row r="945">
          <cell r="D945" t="str">
            <v>- Mandor</v>
          </cell>
          <cell r="E945" t="str">
            <v>= (Tk x M) : Qt</v>
          </cell>
          <cell r="G945" t="str">
            <v>(L03)</v>
          </cell>
          <cell r="H945">
            <v>0.35</v>
          </cell>
          <cell r="I945" t="str">
            <v>Jam</v>
          </cell>
        </row>
        <row r="947">
          <cell r="A947" t="str">
            <v>4.</v>
          </cell>
          <cell r="C947" t="str">
            <v>HARGA DASAR SATUAN UPAH, BAHAN DAN ALAT</v>
          </cell>
        </row>
        <row r="948">
          <cell r="C948" t="str">
            <v>Lihat lampiran.</v>
          </cell>
        </row>
        <row r="951">
          <cell r="A951" t="str">
            <v>5.</v>
          </cell>
          <cell r="C951" t="str">
            <v>ANALISA HARGA SATUAN PEKERJAAN</v>
          </cell>
        </row>
        <row r="952">
          <cell r="C952" t="str">
            <v>Lihat perhitungan dalam FORMULIR STANDAR UNTUK</v>
          </cell>
        </row>
        <row r="953">
          <cell r="C953" t="str">
            <v>PEREKEMAN ANALISA MASING-MASING HARGA</v>
          </cell>
        </row>
        <row r="954">
          <cell r="C954" t="str">
            <v>SATUAN.</v>
          </cell>
        </row>
        <row r="955">
          <cell r="C955" t="str">
            <v>Didapat Harga Satuan Pekerjaan :</v>
          </cell>
        </row>
        <row r="957">
          <cell r="C957" t="str">
            <v xml:space="preserve">Rp.  </v>
          </cell>
          <cell r="D957">
            <v>83501.485866783711</v>
          </cell>
          <cell r="E957" t="str">
            <v xml:space="preserve"> / M'</v>
          </cell>
        </row>
        <row r="960">
          <cell r="A960" t="str">
            <v>6.</v>
          </cell>
          <cell r="C960" t="str">
            <v>WAKTU PELAKSANAAN YANG DIPERLUKAN</v>
          </cell>
        </row>
        <row r="961">
          <cell r="C961" t="str">
            <v>Masa Pelaksanaan :</v>
          </cell>
          <cell r="D961" t="str">
            <v>. . . . . . . . . . . .</v>
          </cell>
          <cell r="E961" t="str">
            <v>bulan</v>
          </cell>
        </row>
        <row r="963">
          <cell r="A963" t="str">
            <v>7.</v>
          </cell>
          <cell r="C963" t="str">
            <v>VOLUME PEKERJAAN YANG DIPERLUKAN</v>
          </cell>
        </row>
        <row r="964">
          <cell r="C964" t="str">
            <v>Volume pekerjaan  :</v>
          </cell>
          <cell r="D964">
            <v>1</v>
          </cell>
          <cell r="E964" t="str">
            <v>M'</v>
          </cell>
        </row>
        <row r="973">
          <cell r="T973" t="str">
            <v>Analisa EI-236</v>
          </cell>
        </row>
        <row r="974">
          <cell r="A974" t="str">
            <v>ITEM PEMBAYARAN NO.</v>
          </cell>
          <cell r="D974" t="str">
            <v>:  2.3 (9)</v>
          </cell>
          <cell r="J974" t="str">
            <v xml:space="preserve">Analisa EI-241 </v>
          </cell>
          <cell r="T974" t="str">
            <v xml:space="preserve">Analisa EI-241 </v>
          </cell>
        </row>
        <row r="975">
          <cell r="A975" t="str">
            <v>JENIS PEKERJAAN</v>
          </cell>
          <cell r="D975" t="str">
            <v>: Gorong-gorong persegi beton bertulang pracetak dengan dimensi………</v>
          </cell>
        </row>
        <row r="976">
          <cell r="A976" t="str">
            <v>SATUAN PEMBAYARAN</v>
          </cell>
          <cell r="D976" t="str">
            <v>:  M1</v>
          </cell>
          <cell r="J976" t="str">
            <v xml:space="preserve">         URAIAN ANALISA HARGA SATUAN</v>
          </cell>
        </row>
        <row r="978">
          <cell r="A978" t="str">
            <v>ITEM PEMBAYARAN NO.</v>
          </cell>
          <cell r="D978" t="str">
            <v>:  2.4 (1)</v>
          </cell>
          <cell r="J978" t="str">
            <v xml:space="preserve">Analisa EI-241 </v>
          </cell>
        </row>
        <row r="979">
          <cell r="A979" t="str">
            <v>JENIS PEKERJAAN</v>
          </cell>
          <cell r="D979" t="str">
            <v>:  Timbunan Porous / Bhn.Penyaring</v>
          </cell>
          <cell r="L979" t="str">
            <v>FORMULIR STANDAR UNTUK</v>
          </cell>
        </row>
        <row r="980">
          <cell r="A980" t="str">
            <v>SATUAN PEMBAYARAN</v>
          </cell>
          <cell r="D980" t="str">
            <v>:  M3</v>
          </cell>
          <cell r="J980" t="str">
            <v xml:space="preserve">         URAIAN ANALISA HARGA SATUAN</v>
          </cell>
          <cell r="L980" t="str">
            <v>PEREKAMAN ANALISA MASING-MASING HARGA SATUAN</v>
          </cell>
        </row>
        <row r="981">
          <cell r="L981" t="str">
            <v xml:space="preserve">                                                                                                            </v>
          </cell>
        </row>
        <row r="983">
          <cell r="A983" t="str">
            <v>No.</v>
          </cell>
          <cell r="C983" t="str">
            <v>U R A I A N</v>
          </cell>
          <cell r="G983" t="str">
            <v>KODE</v>
          </cell>
          <cell r="H983" t="str">
            <v>KOEF.</v>
          </cell>
          <cell r="I983" t="str">
            <v>SATUAN</v>
          </cell>
          <cell r="J983" t="str">
            <v>KETERANGAN</v>
          </cell>
        </row>
        <row r="984">
          <cell r="L984" t="str">
            <v>PROYEK</v>
          </cell>
          <cell r="O984" t="str">
            <v>:</v>
          </cell>
        </row>
        <row r="985">
          <cell r="L985" t="str">
            <v>No. PAKET KONTRAK</v>
          </cell>
          <cell r="O985" t="str">
            <v>:</v>
          </cell>
        </row>
        <row r="986">
          <cell r="A986" t="str">
            <v>I.</v>
          </cell>
          <cell r="C986" t="str">
            <v>ASUMSI</v>
          </cell>
          <cell r="L986" t="str">
            <v>NAMA PAKET</v>
          </cell>
          <cell r="O986" t="str">
            <v>:</v>
          </cell>
        </row>
        <row r="987">
          <cell r="A987">
            <v>1</v>
          </cell>
          <cell r="C987" t="str">
            <v>Pekerjaan dilakukan secara manual</v>
          </cell>
          <cell r="L987" t="str">
            <v>PROP / KAB / KODYA</v>
          </cell>
          <cell r="O987" t="str">
            <v>:</v>
          </cell>
        </row>
        <row r="988">
          <cell r="A988">
            <v>2</v>
          </cell>
          <cell r="C988" t="str">
            <v>Lokasi pekerjaan : sepanjang jalan</v>
          </cell>
          <cell r="L988" t="str">
            <v>ITEM PEMBAYARAN NO.</v>
          </cell>
          <cell r="O988" t="str">
            <v>:  2.4 (1)</v>
          </cell>
          <cell r="R988" t="str">
            <v>PERKIRAAN VOL. PEK.</v>
          </cell>
          <cell r="T988" t="str">
            <v>:</v>
          </cell>
          <cell r="U988">
            <v>1</v>
          </cell>
        </row>
        <row r="989">
          <cell r="A989">
            <v>3</v>
          </cell>
          <cell r="C989" t="str">
            <v>Kondisi Jalan   :  sedang / baik</v>
          </cell>
          <cell r="L989" t="str">
            <v>JENIS PEKERJAAN</v>
          </cell>
          <cell r="O989" t="str">
            <v>:  Timbunan Porous / Bhn.Penyaring</v>
          </cell>
          <cell r="R989" t="str">
            <v>TOTAL HARGA (Rp.)</v>
          </cell>
          <cell r="T989" t="str">
            <v>:</v>
          </cell>
          <cell r="U989">
            <v>83501.485866783711</v>
          </cell>
        </row>
        <row r="990">
          <cell r="A990">
            <v>4</v>
          </cell>
          <cell r="C990" t="str">
            <v>Jam kerja efektif per-hari</v>
          </cell>
          <cell r="G990" t="str">
            <v>Tk</v>
          </cell>
          <cell r="H990">
            <v>7</v>
          </cell>
          <cell r="I990" t="str">
            <v>Jam</v>
          </cell>
          <cell r="L990" t="str">
            <v>SATUAN PEMBAYARAN</v>
          </cell>
          <cell r="O990" t="str">
            <v>:  M3</v>
          </cell>
          <cell r="R990" t="str">
            <v>% THD. BIAYA PROYEK</v>
          </cell>
          <cell r="T990" t="str">
            <v>:</v>
          </cell>
          <cell r="U990" t="e">
            <v>#DIV/0!</v>
          </cell>
        </row>
        <row r="991">
          <cell r="A991">
            <v>5</v>
          </cell>
          <cell r="C991" t="str">
            <v>Faktor kehilangan material</v>
          </cell>
          <cell r="G991" t="str">
            <v>Fh</v>
          </cell>
          <cell r="H991">
            <v>1.1000000000000001</v>
          </cell>
          <cell r="I991" t="str">
            <v>-</v>
          </cell>
        </row>
        <row r="992">
          <cell r="A992">
            <v>6</v>
          </cell>
          <cell r="C992" t="str">
            <v>Material Porous terdiri dari batu pecah dan pasir</v>
          </cell>
        </row>
        <row r="993">
          <cell r="Q993" t="str">
            <v>PERKIRAAN</v>
          </cell>
          <cell r="R993" t="str">
            <v>HARGA</v>
          </cell>
          <cell r="S993" t="str">
            <v>JUMLAH</v>
          </cell>
        </row>
        <row r="994">
          <cell r="A994" t="str">
            <v>II.</v>
          </cell>
          <cell r="C994" t="str">
            <v>URUTAN KERJA</v>
          </cell>
          <cell r="L994" t="str">
            <v>NO.</v>
          </cell>
          <cell r="N994" t="str">
            <v>KOMPONEN</v>
          </cell>
          <cell r="P994" t="str">
            <v>SATUAN</v>
          </cell>
          <cell r="Q994" t="str">
            <v>KUANTITAS</v>
          </cell>
          <cell r="R994" t="str">
            <v>SATUAN</v>
          </cell>
          <cell r="S994" t="str">
            <v>HARGA</v>
          </cell>
        </row>
        <row r="995">
          <cell r="A995">
            <v>1</v>
          </cell>
          <cell r="C995" t="str">
            <v>Material Porous diterima dilokasi pekerjaan</v>
          </cell>
          <cell r="R995" t="str">
            <v>(Rp.)</v>
          </cell>
          <cell r="S995" t="str">
            <v>(Rp.)</v>
          </cell>
        </row>
        <row r="996">
          <cell r="A996">
            <v>2</v>
          </cell>
          <cell r="C996" t="str">
            <v>Material dipadatkan dengan menggunakan</v>
          </cell>
        </row>
        <row r="997">
          <cell r="C997" t="str">
            <v>Tamper</v>
          </cell>
        </row>
        <row r="998">
          <cell r="A998">
            <v>3</v>
          </cell>
          <cell r="C998" t="str">
            <v>Pemadatan dilakukan lapis demi lapis</v>
          </cell>
          <cell r="G998" t="str">
            <v>t</v>
          </cell>
          <cell r="H998">
            <v>0.15</v>
          </cell>
          <cell r="I998" t="str">
            <v>M</v>
          </cell>
          <cell r="L998" t="str">
            <v>A.</v>
          </cell>
          <cell r="N998" t="str">
            <v>TENAGA</v>
          </cell>
        </row>
        <row r="999">
          <cell r="A999">
            <v>4</v>
          </cell>
          <cell r="C999" t="str">
            <v>Pekerjaan galian dilaksanakan oleh pekerja</v>
          </cell>
        </row>
        <row r="1000">
          <cell r="L1000" t="str">
            <v>1.</v>
          </cell>
          <cell r="N1000" t="str">
            <v>Pekerja</v>
          </cell>
          <cell r="O1000" t="str">
            <v>(L01)</v>
          </cell>
          <cell r="P1000" t="str">
            <v>Jam</v>
          </cell>
          <cell r="Q1000">
            <v>2.8</v>
          </cell>
          <cell r="R1000">
            <v>2857.14</v>
          </cell>
          <cell r="U1000">
            <v>7999.9919999999993</v>
          </cell>
        </row>
        <row r="1001">
          <cell r="A1001" t="str">
            <v>III.</v>
          </cell>
          <cell r="C1001" t="str">
            <v>PEMAKAIAN BAHAN, ALAT DAN TENAGA</v>
          </cell>
          <cell r="L1001" t="str">
            <v>2.</v>
          </cell>
          <cell r="N1001" t="str">
            <v>Mandor</v>
          </cell>
          <cell r="O1001" t="str">
            <v>(L03)</v>
          </cell>
          <cell r="P1001" t="str">
            <v>Jam</v>
          </cell>
          <cell r="Q1001">
            <v>0.7</v>
          </cell>
          <cell r="R1001">
            <v>3214.29</v>
          </cell>
          <cell r="U1001">
            <v>2250.0029999999997</v>
          </cell>
        </row>
        <row r="1002">
          <cell r="A1002" t="str">
            <v xml:space="preserve">   1.</v>
          </cell>
          <cell r="C1002" t="str">
            <v>BAHAN</v>
          </cell>
        </row>
        <row r="1003">
          <cell r="C1003" t="str">
            <v>Material Porous terdiri dari :</v>
          </cell>
        </row>
        <row r="1004">
          <cell r="C1004" t="str">
            <v>- Batu pecah</v>
          </cell>
          <cell r="G1004" t="str">
            <v>Bt</v>
          </cell>
          <cell r="H1004">
            <v>50</v>
          </cell>
          <cell r="I1004" t="str">
            <v>%</v>
          </cell>
          <cell r="Q1004" t="str">
            <v xml:space="preserve">JUMLAH HARGA TENAGA   </v>
          </cell>
          <cell r="U1004">
            <v>10249.994999999999</v>
          </cell>
        </row>
        <row r="1005">
          <cell r="C1005" t="str">
            <v>- Pasir</v>
          </cell>
          <cell r="G1005" t="str">
            <v>Ps</v>
          </cell>
          <cell r="H1005">
            <v>50</v>
          </cell>
          <cell r="I1005" t="str">
            <v>%</v>
          </cell>
        </row>
        <row r="1006">
          <cell r="L1006" t="str">
            <v>B.</v>
          </cell>
          <cell r="N1006" t="str">
            <v>BAHAN</v>
          </cell>
        </row>
        <row r="1007">
          <cell r="C1007" t="str">
            <v>Kebutuhan Batu Pecah / M3  = (Bt : 100) x Fh</v>
          </cell>
          <cell r="G1007" t="str">
            <v>(M03)</v>
          </cell>
          <cell r="H1007">
            <v>0.55000000000000004</v>
          </cell>
          <cell r="I1007" t="str">
            <v>M3</v>
          </cell>
          <cell r="J1007" t="str">
            <v xml:space="preserve"> Agregat Kasar</v>
          </cell>
        </row>
        <row r="1008">
          <cell r="C1008" t="str">
            <v>Kebutuhan Pasir / M3   =  (Ps : 100) x Fh</v>
          </cell>
          <cell r="G1008" t="str">
            <v>(M01)</v>
          </cell>
          <cell r="H1008">
            <v>0.55000000000000004</v>
          </cell>
          <cell r="I1008" t="str">
            <v>M3</v>
          </cell>
          <cell r="L1008" t="str">
            <v>1.</v>
          </cell>
          <cell r="N1008" t="str">
            <v>Agregat Kasar</v>
          </cell>
          <cell r="O1008" t="str">
            <v>(M03)</v>
          </cell>
          <cell r="P1008" t="str">
            <v>M3</v>
          </cell>
          <cell r="Q1008">
            <v>0.55000000000000004</v>
          </cell>
          <cell r="R1008">
            <v>222345.54558042376</v>
          </cell>
          <cell r="U1008">
            <v>122290.05006923308</v>
          </cell>
        </row>
        <row r="1009">
          <cell r="L1009" t="str">
            <v>2.</v>
          </cell>
          <cell r="N1009" t="str">
            <v>Pasir</v>
          </cell>
          <cell r="O1009" t="str">
            <v>(M01)</v>
          </cell>
          <cell r="P1009" t="str">
            <v>M3</v>
          </cell>
          <cell r="Q1009">
            <v>0.55000000000000004</v>
          </cell>
          <cell r="R1009">
            <v>54300</v>
          </cell>
          <cell r="U1009">
            <v>29865.000000000004</v>
          </cell>
        </row>
        <row r="1011">
          <cell r="A1011" t="str">
            <v xml:space="preserve">   2.</v>
          </cell>
          <cell r="C1011" t="str">
            <v>ALAT</v>
          </cell>
        </row>
        <row r="1012">
          <cell r="A1012" t="str">
            <v>2.a.</v>
          </cell>
          <cell r="C1012" t="str">
            <v>HAND COMPACTOR</v>
          </cell>
          <cell r="G1012" t="str">
            <v>(E25)</v>
          </cell>
        </row>
        <row r="1013">
          <cell r="C1013" t="str">
            <v>Kecepatan</v>
          </cell>
          <cell r="G1013" t="str">
            <v>v</v>
          </cell>
          <cell r="H1013">
            <v>0.25</v>
          </cell>
          <cell r="I1013" t="str">
            <v>Km / Jam</v>
          </cell>
        </row>
        <row r="1014">
          <cell r="C1014" t="str">
            <v>Efisiensi alat</v>
          </cell>
          <cell r="G1014" t="str">
            <v>Fa</v>
          </cell>
          <cell r="H1014">
            <v>0.83</v>
          </cell>
          <cell r="I1014" t="str">
            <v>-</v>
          </cell>
          <cell r="Q1014" t="str">
            <v xml:space="preserve">JUMLAH HARGA BAHAN   </v>
          </cell>
          <cell r="U1014">
            <v>152155.05006923308</v>
          </cell>
        </row>
        <row r="1015">
          <cell r="C1015" t="str">
            <v>Lebar pemadatan</v>
          </cell>
          <cell r="G1015" t="str">
            <v>b</v>
          </cell>
          <cell r="H1015">
            <v>0.25</v>
          </cell>
          <cell r="I1015" t="str">
            <v>M</v>
          </cell>
        </row>
        <row r="1016">
          <cell r="C1016" t="str">
            <v>Banyak lintasan</v>
          </cell>
          <cell r="G1016" t="str">
            <v>n</v>
          </cell>
          <cell r="H1016">
            <v>10</v>
          </cell>
          <cell r="I1016" t="str">
            <v>lintasan</v>
          </cell>
          <cell r="L1016" t="str">
            <v>C.</v>
          </cell>
          <cell r="N1016" t="str">
            <v>PERALATAN</v>
          </cell>
        </row>
        <row r="1018">
          <cell r="L1018" t="str">
            <v>1.</v>
          </cell>
          <cell r="N1018" t="str">
            <v>Tamper</v>
          </cell>
          <cell r="O1018" t="str">
            <v>(E25)</v>
          </cell>
          <cell r="P1018" t="str">
            <v>Jam</v>
          </cell>
          <cell r="Q1018">
            <v>1.285140562248996</v>
          </cell>
          <cell r="R1018">
            <v>18672.16854694486</v>
          </cell>
          <cell r="U1018">
            <v>23996.361184828736</v>
          </cell>
        </row>
        <row r="1019">
          <cell r="C1019" t="str">
            <v>Kap. Prod. / Jam   =</v>
          </cell>
          <cell r="D1019" t="str">
            <v>v x 1000 x Fa x b x t</v>
          </cell>
          <cell r="G1019" t="str">
            <v>Q1</v>
          </cell>
          <cell r="H1019">
            <v>0.77812499999999996</v>
          </cell>
          <cell r="I1019" t="str">
            <v xml:space="preserve">M3 / Jam </v>
          </cell>
          <cell r="L1019" t="str">
            <v>2.</v>
          </cell>
          <cell r="N1019" t="str">
            <v>Alat  Bantu</v>
          </cell>
          <cell r="P1019" t="str">
            <v>Ls</v>
          </cell>
          <cell r="Q1019">
            <v>1</v>
          </cell>
          <cell r="R1019">
            <v>500</v>
          </cell>
          <cell r="U1019">
            <v>500</v>
          </cell>
        </row>
        <row r="1020">
          <cell r="D1020" t="str">
            <v xml:space="preserve">        n</v>
          </cell>
        </row>
        <row r="1022">
          <cell r="C1022" t="str">
            <v>Koefisien Alat / M3</v>
          </cell>
          <cell r="D1022" t="str">
            <v xml:space="preserve"> =  1  :  Q1</v>
          </cell>
          <cell r="G1022" t="str">
            <v>(E25)</v>
          </cell>
          <cell r="H1022">
            <v>1.285140562248996</v>
          </cell>
          <cell r="I1022" t="str">
            <v>Jam</v>
          </cell>
        </row>
        <row r="1025">
          <cell r="A1025" t="str">
            <v>2.b.</v>
          </cell>
          <cell r="C1025" t="str">
            <v>ALAT  BANTU</v>
          </cell>
        </row>
        <row r="1026">
          <cell r="C1026" t="str">
            <v>Diperlukan alat-alat bantu kecil</v>
          </cell>
          <cell r="J1026" t="str">
            <v>Lump Sump</v>
          </cell>
          <cell r="Q1026" t="str">
            <v xml:space="preserve">JUMLAH HARGA PERALATAN   </v>
          </cell>
          <cell r="U1026">
            <v>24496.361184828736</v>
          </cell>
        </row>
        <row r="1027">
          <cell r="C1027" t="str">
            <v>- Sekop    =         3   buah</v>
          </cell>
        </row>
        <row r="1028">
          <cell r="C1028" t="str">
            <v>- Alat-alat kecil lain</v>
          </cell>
          <cell r="L1028" t="str">
            <v>D.</v>
          </cell>
          <cell r="N1028" t="str">
            <v>JUMLAH HARGA TENAGA, BAHAN DAN PERALATAN  ( A + B + C )</v>
          </cell>
          <cell r="U1028">
            <v>186901.40625406182</v>
          </cell>
        </row>
        <row r="1029">
          <cell r="L1029" t="str">
            <v>E.</v>
          </cell>
          <cell r="N1029" t="str">
            <v>OVERHEAD &amp; PROFIT</v>
          </cell>
          <cell r="P1029">
            <v>10</v>
          </cell>
          <cell r="Q1029" t="str">
            <v>%  x  D</v>
          </cell>
          <cell r="U1029">
            <v>18690.140625406184</v>
          </cell>
        </row>
        <row r="1030">
          <cell r="L1030" t="str">
            <v>F.</v>
          </cell>
          <cell r="N1030" t="str">
            <v>HARGA SATUAN PEKERJAAN  ( D + E )</v>
          </cell>
          <cell r="U1030">
            <v>205591.54687946799</v>
          </cell>
        </row>
        <row r="1031">
          <cell r="L1031" t="str">
            <v>Note: 1</v>
          </cell>
          <cell r="N1031" t="str">
            <v>SATUAN dapat berdasarkan atas jam operasi untuk Tenaga Kerja dan Peralatan, volume dan/atau ukuran</v>
          </cell>
        </row>
        <row r="1032">
          <cell r="N1032" t="str">
            <v>berat untuk bahan-bahan.</v>
          </cell>
        </row>
        <row r="1033">
          <cell r="L1033">
            <v>2</v>
          </cell>
          <cell r="N1033" t="str">
            <v>Kuantitas satuan adalah kuantitas setiap komponen untuk menyelesaikan satu satuan pekerjaan dari nomor</v>
          </cell>
        </row>
        <row r="1034">
          <cell r="N1034" t="str">
            <v>mata pembayaran.</v>
          </cell>
        </row>
        <row r="1035">
          <cell r="L1035">
            <v>3</v>
          </cell>
          <cell r="N1035" t="str">
            <v>Biaya satuan untuk peralatan sudah termasuk bahan bakar, bahan habis dipakai dan operator.</v>
          </cell>
        </row>
        <row r="1036">
          <cell r="L1036">
            <v>4</v>
          </cell>
          <cell r="N1036" t="str">
            <v>Biaya satuan sudah termasuk pengeluaran untuk seluruh pajak yang berkaitan (tetapi tidak termasuk PPN</v>
          </cell>
        </row>
        <row r="1037">
          <cell r="N1037" t="str">
            <v>yang dibayar dari kontrak) dan biaya-biaya lainnya.</v>
          </cell>
        </row>
        <row r="1038">
          <cell r="J1038" t="str">
            <v>Berlanjut ke halaman berikut</v>
          </cell>
        </row>
        <row r="1039">
          <cell r="A1039" t="str">
            <v>ITEM PEMBAYARAN NO.</v>
          </cell>
          <cell r="D1039" t="str">
            <v>:  2.4 (1)</v>
          </cell>
          <cell r="J1039" t="str">
            <v xml:space="preserve">Analisa EI-241 </v>
          </cell>
        </row>
        <row r="1040">
          <cell r="A1040" t="str">
            <v>JENIS PEKERJAAN</v>
          </cell>
          <cell r="D1040" t="str">
            <v>:  Timbunan Porous / Bhn.Penyaring</v>
          </cell>
        </row>
        <row r="1041">
          <cell r="A1041" t="str">
            <v>SATUAN PEMBAYARAN</v>
          </cell>
          <cell r="D1041" t="str">
            <v>:  M3</v>
          </cell>
          <cell r="J1041" t="str">
            <v xml:space="preserve">         URAIAN ANALISA HARGA SATUAN</v>
          </cell>
        </row>
        <row r="1042">
          <cell r="J1042" t="str">
            <v>Lanjutan</v>
          </cell>
        </row>
        <row r="1044">
          <cell r="A1044" t="str">
            <v>No.</v>
          </cell>
          <cell r="C1044" t="str">
            <v>U R A I A N</v>
          </cell>
          <cell r="G1044" t="str">
            <v>KODE</v>
          </cell>
          <cell r="H1044" t="str">
            <v>KOEF.</v>
          </cell>
          <cell r="I1044" t="str">
            <v>SATUAN</v>
          </cell>
          <cell r="J1044" t="str">
            <v>KETERANGAN</v>
          </cell>
        </row>
        <row r="1047">
          <cell r="A1047" t="str">
            <v xml:space="preserve">   3.</v>
          </cell>
          <cell r="C1047" t="str">
            <v>TENAGA</v>
          </cell>
        </row>
        <row r="1048">
          <cell r="C1048" t="str">
            <v>Produksi yang dapat diselesaikan / hari</v>
          </cell>
          <cell r="G1048" t="str">
            <v>Qt</v>
          </cell>
          <cell r="H1048">
            <v>10</v>
          </cell>
          <cell r="I1048" t="str">
            <v>M3</v>
          </cell>
        </row>
        <row r="1049">
          <cell r="C1049" t="str">
            <v>Kebutuhan tenaga :</v>
          </cell>
        </row>
        <row r="1050">
          <cell r="D1050" t="str">
            <v>- Pekerja</v>
          </cell>
          <cell r="G1050" t="str">
            <v>P</v>
          </cell>
          <cell r="H1050">
            <v>4</v>
          </cell>
          <cell r="I1050" t="str">
            <v>orang</v>
          </cell>
        </row>
        <row r="1051">
          <cell r="D1051" t="str">
            <v>- Mandor</v>
          </cell>
          <cell r="G1051" t="str">
            <v>M</v>
          </cell>
          <cell r="H1051">
            <v>1</v>
          </cell>
          <cell r="I1051" t="str">
            <v>orang</v>
          </cell>
        </row>
        <row r="1054">
          <cell r="C1054" t="str">
            <v>Koefisien tenaga / M3   :</v>
          </cell>
        </row>
        <row r="1055">
          <cell r="D1055" t="str">
            <v>- Pekerja</v>
          </cell>
          <cell r="E1055" t="str">
            <v>= (Tk x P) : Qt</v>
          </cell>
          <cell r="G1055" t="str">
            <v>(L01)</v>
          </cell>
          <cell r="H1055">
            <v>2.8</v>
          </cell>
          <cell r="I1055" t="str">
            <v>Jam</v>
          </cell>
        </row>
        <row r="1056">
          <cell r="D1056" t="str">
            <v>- Mandor</v>
          </cell>
          <cell r="E1056" t="str">
            <v>= (Tk x M) : Qt</v>
          </cell>
          <cell r="G1056" t="str">
            <v>(L03)</v>
          </cell>
          <cell r="H1056">
            <v>0.7</v>
          </cell>
          <cell r="I1056" t="str">
            <v>Jam</v>
          </cell>
        </row>
        <row r="1059">
          <cell r="A1059" t="str">
            <v>4.</v>
          </cell>
          <cell r="C1059" t="str">
            <v>HARGA DASAR SATUAN UPAH, BAHAN DAN ALAT</v>
          </cell>
        </row>
        <row r="1060">
          <cell r="C1060" t="str">
            <v>Lihat lampiran.</v>
          </cell>
        </row>
        <row r="1063">
          <cell r="A1063" t="str">
            <v>5.</v>
          </cell>
          <cell r="C1063" t="str">
            <v>ANALISA HARGA SATUAN PEKERJAAN</v>
          </cell>
        </row>
        <row r="1064">
          <cell r="C1064" t="str">
            <v>Lihat perhitungan dalam FORMULIR STANDAR UNTUK</v>
          </cell>
        </row>
        <row r="1065">
          <cell r="C1065" t="str">
            <v>PEREKEMAN ANALISA MASING-MASING HARGA</v>
          </cell>
        </row>
        <row r="1066">
          <cell r="C1066" t="str">
            <v>SATUAN.</v>
          </cell>
        </row>
        <row r="1067">
          <cell r="C1067" t="str">
            <v>Didapat Harga Satuan Pekerjaan :</v>
          </cell>
        </row>
        <row r="1069">
          <cell r="C1069" t="str">
            <v xml:space="preserve">Rp.  </v>
          </cell>
          <cell r="D1069">
            <v>205591.54687946799</v>
          </cell>
          <cell r="E1069" t="str">
            <v xml:space="preserve"> / M3</v>
          </cell>
        </row>
        <row r="1072">
          <cell r="A1072" t="str">
            <v>6.</v>
          </cell>
          <cell r="C1072" t="str">
            <v>WAKTU PELAKSANAAN YANG DIPERLUKAN</v>
          </cell>
        </row>
        <row r="1073">
          <cell r="C1073" t="str">
            <v>Masa Pelaksanaan :</v>
          </cell>
          <cell r="D1073" t="str">
            <v>. . . . . . . . . . . .</v>
          </cell>
          <cell r="E1073" t="str">
            <v>bulan</v>
          </cell>
        </row>
        <row r="1075">
          <cell r="A1075" t="str">
            <v>7.</v>
          </cell>
          <cell r="C1075" t="str">
            <v>VOLUME PEKERJAAN YANG DIPERLUKAN</v>
          </cell>
        </row>
        <row r="1076">
          <cell r="C1076" t="str">
            <v>Volume pekerjaan  :</v>
          </cell>
          <cell r="D1076">
            <v>1</v>
          </cell>
          <cell r="E1076" t="str">
            <v>M3</v>
          </cell>
        </row>
        <row r="1097">
          <cell r="T1097" t="str">
            <v xml:space="preserve">Analisa LI-242 </v>
          </cell>
        </row>
        <row r="1098">
          <cell r="A1098" t="str">
            <v>ITEM PEMBAYARAN NO.</v>
          </cell>
          <cell r="D1098" t="str">
            <v>:  2.4 (2)</v>
          </cell>
          <cell r="J1098" t="str">
            <v xml:space="preserve">Analisa LI-242 </v>
          </cell>
        </row>
        <row r="1099">
          <cell r="A1099" t="str">
            <v>JENIS PEKERJAAN</v>
          </cell>
          <cell r="D1099" t="str">
            <v>:  Anyaman Filter Plastik</v>
          </cell>
          <cell r="L1099" t="str">
            <v>FORMULIR STANDAR UNTUK</v>
          </cell>
        </row>
        <row r="1100">
          <cell r="A1100" t="str">
            <v>SATUAN PEMBAYARAN</v>
          </cell>
          <cell r="D1100" t="str">
            <v>:  M2</v>
          </cell>
          <cell r="J1100" t="str">
            <v xml:space="preserve">         URAIAN ANALISA HARGA SATUAN</v>
          </cell>
          <cell r="L1100" t="str">
            <v>PEREKAMAN ANALISA MASING-MASING HARGA SATUAN</v>
          </cell>
        </row>
        <row r="1101">
          <cell r="L1101" t="str">
            <v xml:space="preserve">                                                                                                            </v>
          </cell>
        </row>
        <row r="1103">
          <cell r="A1103" t="str">
            <v>No.</v>
          </cell>
          <cell r="C1103" t="str">
            <v>U R A I A N</v>
          </cell>
          <cell r="G1103" t="str">
            <v>KODE</v>
          </cell>
          <cell r="H1103" t="str">
            <v>KOEF.</v>
          </cell>
          <cell r="I1103" t="str">
            <v>SATUAN</v>
          </cell>
          <cell r="J1103" t="str">
            <v>KETERANGAN</v>
          </cell>
        </row>
        <row r="1104">
          <cell r="L1104" t="str">
            <v>PROYEK</v>
          </cell>
          <cell r="O1104" t="str">
            <v>:</v>
          </cell>
        </row>
        <row r="1105">
          <cell r="L1105" t="str">
            <v>No. PAKET KONTRAK</v>
          </cell>
          <cell r="O1105" t="str">
            <v>:</v>
          </cell>
        </row>
        <row r="1106">
          <cell r="A1106" t="str">
            <v>I.</v>
          </cell>
          <cell r="C1106" t="str">
            <v>ASUMSI</v>
          </cell>
          <cell r="L1106" t="str">
            <v>NAMA PAKET</v>
          </cell>
          <cell r="O1106" t="str">
            <v>:</v>
          </cell>
        </row>
        <row r="1107">
          <cell r="A1107">
            <v>1</v>
          </cell>
          <cell r="C1107" t="str">
            <v>Pekerjaan dilakukan secara manual</v>
          </cell>
          <cell r="L1107" t="str">
            <v>PROP / KAB / KODYA</v>
          </cell>
          <cell r="O1107" t="str">
            <v>:</v>
          </cell>
        </row>
        <row r="1108">
          <cell r="A1108">
            <v>2</v>
          </cell>
          <cell r="C1108" t="str">
            <v>Lokasi pekerjaan : sepanjang jalan</v>
          </cell>
          <cell r="L1108" t="str">
            <v>ITEM PEMBAYARAN NO.</v>
          </cell>
          <cell r="O1108" t="str">
            <v>:  2.4 (2)</v>
          </cell>
          <cell r="R1108" t="str">
            <v>PERKIRAAN VOL. PEK.</v>
          </cell>
          <cell r="T1108" t="str">
            <v>:</v>
          </cell>
          <cell r="U1108">
            <v>1</v>
          </cell>
        </row>
        <row r="1109">
          <cell r="A1109">
            <v>3</v>
          </cell>
          <cell r="C1109" t="str">
            <v>Kondisi Jalan   :  sedang / baik</v>
          </cell>
          <cell r="L1109" t="str">
            <v>JENIS PEKERJAAN</v>
          </cell>
          <cell r="O1109" t="str">
            <v>:  Anyaman Filter Plastik</v>
          </cell>
          <cell r="R1109" t="str">
            <v>TOTAL HARGA (Rp.)</v>
          </cell>
          <cell r="T1109" t="str">
            <v>:</v>
          </cell>
          <cell r="U1109">
            <v>0</v>
          </cell>
        </row>
        <row r="1110">
          <cell r="A1110">
            <v>4</v>
          </cell>
          <cell r="C1110" t="str">
            <v>Jam kerja efektif per-hari</v>
          </cell>
          <cell r="G1110" t="str">
            <v>Tk</v>
          </cell>
          <cell r="H1110">
            <v>7</v>
          </cell>
          <cell r="I1110" t="str">
            <v>Jam</v>
          </cell>
          <cell r="L1110" t="str">
            <v>SATUAN PEMBAYARAN</v>
          </cell>
          <cell r="O1110" t="str">
            <v>:  M2</v>
          </cell>
          <cell r="R1110" t="str">
            <v>% THD. BIAYA PROYEK</v>
          </cell>
          <cell r="T1110" t="str">
            <v>:</v>
          </cell>
          <cell r="U1110" t="e">
            <v>#DIV/0!</v>
          </cell>
        </row>
        <row r="1113">
          <cell r="A1113" t="str">
            <v>II.</v>
          </cell>
          <cell r="C1113" t="str">
            <v>URUTAN KERJA</v>
          </cell>
          <cell r="Q1113" t="str">
            <v>PERKIRAAN</v>
          </cell>
          <cell r="R1113" t="str">
            <v>HARGA</v>
          </cell>
          <cell r="S1113" t="str">
            <v>JUMLAH</v>
          </cell>
        </row>
        <row r="1114">
          <cell r="A1114">
            <v>1</v>
          </cell>
          <cell r="C1114" t="str">
            <v>Material Filter Plastik diterima dilokasi pekerjaan</v>
          </cell>
          <cell r="L1114" t="str">
            <v>NO.</v>
          </cell>
          <cell r="N1114" t="str">
            <v>KOMPONEN</v>
          </cell>
          <cell r="P1114" t="str">
            <v>SATUAN</v>
          </cell>
          <cell r="Q1114" t="str">
            <v>KUANTITAS</v>
          </cell>
          <cell r="R1114" t="str">
            <v>SATUAN</v>
          </cell>
          <cell r="S1114" t="str">
            <v>HARGA</v>
          </cell>
        </row>
        <row r="1115">
          <cell r="A1115">
            <v>2</v>
          </cell>
          <cell r="C1115" t="str">
            <v>Pemasangan dilaksanakan sesuai dengan prosedur</v>
          </cell>
          <cell r="R1115" t="str">
            <v>(Rp.)</v>
          </cell>
          <cell r="S1115" t="str">
            <v>(Rp.)</v>
          </cell>
        </row>
        <row r="1116">
          <cell r="C1116" t="str">
            <v>yang direkomendasikan oleh pabriknya</v>
          </cell>
        </row>
        <row r="1117">
          <cell r="A1117">
            <v>3</v>
          </cell>
          <cell r="C1117" t="str">
            <v>Pekerjaan galian dibayar tersendiri</v>
          </cell>
        </row>
        <row r="1118">
          <cell r="L1118" t="str">
            <v>A.</v>
          </cell>
          <cell r="N1118" t="str">
            <v>TENAGA</v>
          </cell>
        </row>
        <row r="1120">
          <cell r="A1120" t="str">
            <v>III.</v>
          </cell>
          <cell r="C1120" t="str">
            <v>PEMAKAIAN BAHAN, ALAT DAN TENAGA</v>
          </cell>
          <cell r="L1120" t="str">
            <v>1.</v>
          </cell>
          <cell r="N1120" t="str">
            <v>Pekerja</v>
          </cell>
          <cell r="O1120" t="str">
            <v>(L01)</v>
          </cell>
          <cell r="P1120" t="str">
            <v>Jam</v>
          </cell>
          <cell r="Q1120">
            <v>0.56000000000000005</v>
          </cell>
          <cell r="R1120">
            <v>2857.14</v>
          </cell>
          <cell r="U1120">
            <v>1599.9984000000002</v>
          </cell>
        </row>
        <row r="1121">
          <cell r="A1121" t="str">
            <v xml:space="preserve">   1.</v>
          </cell>
          <cell r="C1121" t="str">
            <v>BAHAN</v>
          </cell>
          <cell r="L1121" t="str">
            <v>2.</v>
          </cell>
          <cell r="N1121" t="str">
            <v>Tukang</v>
          </cell>
          <cell r="O1121" t="str">
            <v>(L02)</v>
          </cell>
          <cell r="P1121" t="str">
            <v>Jam</v>
          </cell>
          <cell r="Q1121">
            <v>0.28000000000000003</v>
          </cell>
          <cell r="R1121">
            <v>4285.71</v>
          </cell>
          <cell r="U1121">
            <v>1199.9988000000001</v>
          </cell>
        </row>
        <row r="1122">
          <cell r="C1122" t="str">
            <v>Kebutuhan Filter Plastik / M2</v>
          </cell>
          <cell r="G1122" t="str">
            <v>(M23)</v>
          </cell>
          <cell r="H1122">
            <v>1.05</v>
          </cell>
          <cell r="I1122" t="str">
            <v>M2</v>
          </cell>
          <cell r="L1122" t="str">
            <v>3.</v>
          </cell>
          <cell r="N1122" t="str">
            <v>Mandor</v>
          </cell>
          <cell r="O1122" t="str">
            <v>(L03)</v>
          </cell>
          <cell r="P1122" t="str">
            <v>Jam</v>
          </cell>
          <cell r="Q1122">
            <v>0.28000000000000003</v>
          </cell>
          <cell r="R1122">
            <v>3214.29</v>
          </cell>
          <cell r="U1122">
            <v>900.00120000000004</v>
          </cell>
        </row>
        <row r="1124">
          <cell r="A1124" t="str">
            <v xml:space="preserve">   2.</v>
          </cell>
          <cell r="C1124" t="str">
            <v>ALAT</v>
          </cell>
          <cell r="Q1124" t="str">
            <v xml:space="preserve">JUMLAH HARGA TENAGA   </v>
          </cell>
          <cell r="U1124">
            <v>3699.9984000000004</v>
          </cell>
        </row>
        <row r="1125">
          <cell r="A1125" t="str">
            <v>2.b.</v>
          </cell>
          <cell r="C1125" t="str">
            <v>ALAT  BANTU</v>
          </cell>
        </row>
        <row r="1126">
          <cell r="C1126" t="str">
            <v>Diperlukan alat-alat bantu kecil : alat pemotong, dll.</v>
          </cell>
          <cell r="J1126" t="str">
            <v>Lump Sump</v>
          </cell>
          <cell r="L1126" t="str">
            <v>B.</v>
          </cell>
          <cell r="N1126" t="str">
            <v>BAHAN</v>
          </cell>
        </row>
        <row r="1128">
          <cell r="L1128" t="str">
            <v>1.</v>
          </cell>
          <cell r="N1128" t="str">
            <v>Filter Plastik</v>
          </cell>
          <cell r="O1128" t="str">
            <v>(M23)</v>
          </cell>
          <cell r="P1128" t="str">
            <v>M2</v>
          </cell>
          <cell r="Q1128">
            <v>1.05</v>
          </cell>
          <cell r="R1128">
            <v>10500</v>
          </cell>
          <cell r="U1128">
            <v>11025</v>
          </cell>
        </row>
        <row r="1129">
          <cell r="A1129" t="str">
            <v xml:space="preserve">   3.</v>
          </cell>
          <cell r="C1129" t="str">
            <v>TENAGA</v>
          </cell>
        </row>
        <row r="1130">
          <cell r="C1130" t="str">
            <v>Produksi yang dapat diselesaikan / hari</v>
          </cell>
          <cell r="G1130" t="str">
            <v>Qt</v>
          </cell>
          <cell r="H1130">
            <v>25</v>
          </cell>
          <cell r="I1130" t="str">
            <v>M2</v>
          </cell>
        </row>
        <row r="1131">
          <cell r="C1131" t="str">
            <v>Kebutuhan tenaga :</v>
          </cell>
        </row>
        <row r="1132">
          <cell r="D1132" t="str">
            <v>- Pekerja</v>
          </cell>
          <cell r="G1132" t="str">
            <v>P</v>
          </cell>
          <cell r="H1132">
            <v>2</v>
          </cell>
          <cell r="I1132" t="str">
            <v>orang</v>
          </cell>
        </row>
        <row r="1133">
          <cell r="D1133" t="str">
            <v>- Tukang</v>
          </cell>
          <cell r="G1133" t="str">
            <v>T</v>
          </cell>
          <cell r="H1133">
            <v>1</v>
          </cell>
          <cell r="I1133" t="str">
            <v>orang</v>
          </cell>
        </row>
        <row r="1134">
          <cell r="D1134" t="str">
            <v>- Mandor</v>
          </cell>
          <cell r="G1134" t="str">
            <v>M</v>
          </cell>
          <cell r="H1134">
            <v>1</v>
          </cell>
          <cell r="I1134" t="str">
            <v>orang</v>
          </cell>
          <cell r="Q1134" t="str">
            <v xml:space="preserve">JUMLAH HARGA BAHAN   </v>
          </cell>
          <cell r="U1134">
            <v>11025</v>
          </cell>
        </row>
        <row r="1136">
          <cell r="C1136" t="str">
            <v>Koefisien tenaga / M2</v>
          </cell>
        </row>
        <row r="1137">
          <cell r="D1137" t="str">
            <v>- Pekerja</v>
          </cell>
          <cell r="E1137" t="str">
            <v>= (Tk x P) : Qt</v>
          </cell>
          <cell r="G1137" t="str">
            <v>(L01)</v>
          </cell>
          <cell r="H1137">
            <v>0.56000000000000005</v>
          </cell>
          <cell r="I1137" t="str">
            <v>Jam</v>
          </cell>
        </row>
        <row r="1138">
          <cell r="D1138" t="str">
            <v>- Tukang</v>
          </cell>
          <cell r="E1138" t="str">
            <v>= (Tk x T) : Qt</v>
          </cell>
          <cell r="G1138" t="str">
            <v>(L02)</v>
          </cell>
          <cell r="H1138">
            <v>0.28000000000000003</v>
          </cell>
          <cell r="I1138" t="str">
            <v>Jam</v>
          </cell>
          <cell r="L1138" t="str">
            <v>C.</v>
          </cell>
          <cell r="N1138" t="str">
            <v>PERALATAN</v>
          </cell>
        </row>
        <row r="1139">
          <cell r="D1139" t="str">
            <v>- Mandor</v>
          </cell>
          <cell r="E1139" t="str">
            <v>= (Tk x M) : Qt</v>
          </cell>
          <cell r="G1139" t="str">
            <v>(L03)</v>
          </cell>
          <cell r="H1139">
            <v>0.28000000000000003</v>
          </cell>
          <cell r="I1139" t="str">
            <v>Jam</v>
          </cell>
          <cell r="L1139" t="str">
            <v>1.</v>
          </cell>
          <cell r="N1139" t="str">
            <v>Alat  Bantu</v>
          </cell>
          <cell r="P1139" t="str">
            <v>Ls</v>
          </cell>
          <cell r="Q1139">
            <v>1</v>
          </cell>
          <cell r="R1139">
            <v>600</v>
          </cell>
          <cell r="U1139">
            <v>600</v>
          </cell>
        </row>
        <row r="1141">
          <cell r="A1141" t="str">
            <v>4.</v>
          </cell>
          <cell r="C1141" t="str">
            <v>HARGA DASAR SATUAN UPAH, BAHAN DAN ALAT</v>
          </cell>
        </row>
        <row r="1142">
          <cell r="C1142" t="str">
            <v>Lihat lampiran.</v>
          </cell>
        </row>
        <row r="1144">
          <cell r="A1144" t="str">
            <v>5.</v>
          </cell>
          <cell r="C1144" t="str">
            <v>ANALISA HARGA SATUAN PEKERJAAN</v>
          </cell>
        </row>
        <row r="1145">
          <cell r="C1145" t="str">
            <v>Lihat perhitungan dalam FORMULIR STANDAR UNTUK</v>
          </cell>
        </row>
        <row r="1146">
          <cell r="C1146" t="str">
            <v>PEREKEMAN ANALISA MASING-MASING HARGA</v>
          </cell>
          <cell r="Q1146" t="str">
            <v xml:space="preserve">JUMLAH HARGA PERALATAN   </v>
          </cell>
          <cell r="U1146">
            <v>600</v>
          </cell>
        </row>
        <row r="1147">
          <cell r="C1147" t="str">
            <v>SATUAN.</v>
          </cell>
        </row>
        <row r="1148">
          <cell r="C1148" t="str">
            <v>Didapat Harga Satuan Pekerjaan :</v>
          </cell>
          <cell r="L1148" t="str">
            <v>D.</v>
          </cell>
          <cell r="N1148" t="str">
            <v>JUMLAH HARGA TENAGA, BAHAN DAN PERALATAN  ( A + B + C )</v>
          </cell>
          <cell r="U1148">
            <v>15324.9984</v>
          </cell>
        </row>
        <row r="1149">
          <cell r="L1149" t="str">
            <v>E.</v>
          </cell>
          <cell r="N1149" t="str">
            <v>OVERHEAD &amp; PROFIT</v>
          </cell>
          <cell r="P1149">
            <v>10</v>
          </cell>
          <cell r="Q1149" t="str">
            <v>%  x  D</v>
          </cell>
          <cell r="U1149">
            <v>1532.4998400000002</v>
          </cell>
        </row>
        <row r="1150">
          <cell r="C1150" t="str">
            <v xml:space="preserve">Rp.  </v>
          </cell>
          <cell r="D1150">
            <v>16857.498240000001</v>
          </cell>
          <cell r="E1150" t="str">
            <v xml:space="preserve"> / M2</v>
          </cell>
          <cell r="L1150" t="str">
            <v>F.</v>
          </cell>
          <cell r="N1150" t="str">
            <v>HARGA SATUAN PEKERJAAN  ( D + E )</v>
          </cell>
          <cell r="U1150">
            <v>16857.498240000001</v>
          </cell>
        </row>
        <row r="1151">
          <cell r="L1151" t="str">
            <v>Note: 1</v>
          </cell>
          <cell r="N1151" t="str">
            <v>SATUAN dapat berdasarkan atas jam operasi untuk Tenaga Kerja dan Peralatan, volume dan/atau ukuran</v>
          </cell>
        </row>
        <row r="1152">
          <cell r="N1152" t="str">
            <v>berat untuk bahan-bahan.</v>
          </cell>
        </row>
        <row r="1153">
          <cell r="A1153" t="str">
            <v>6.</v>
          </cell>
          <cell r="C1153" t="str">
            <v>WAKTU PELAKSANAAN YANG DIPERLUKAN</v>
          </cell>
          <cell r="L1153">
            <v>2</v>
          </cell>
          <cell r="N1153" t="str">
            <v>Kuantitas satuan adalah kuantitas setiap komponen untuk menyelesaikan satu satuan pekerjaan dari nomor</v>
          </cell>
        </row>
        <row r="1154">
          <cell r="C1154" t="str">
            <v>Masa Pelaksanaan :</v>
          </cell>
          <cell r="D1154" t="str">
            <v>. . . . . . . . . . . .</v>
          </cell>
          <cell r="E1154" t="str">
            <v>bulan</v>
          </cell>
          <cell r="N1154" t="str">
            <v>mata pembayaran.</v>
          </cell>
        </row>
        <row r="1155">
          <cell r="A1155" t="str">
            <v>7.</v>
          </cell>
          <cell r="C1155" t="str">
            <v>VOLUME PEKERJAAN YANG DIPERLUKAN</v>
          </cell>
          <cell r="L1155">
            <v>3</v>
          </cell>
          <cell r="N1155" t="str">
            <v>Biaya satuan untuk peralatan sudah termasuk bahan bakar, bahan habis dipakai dan operator.</v>
          </cell>
        </row>
        <row r="1156">
          <cell r="C1156" t="str">
            <v>Volume pekerjaan  :</v>
          </cell>
          <cell r="D1156">
            <v>1</v>
          </cell>
          <cell r="E1156" t="str">
            <v>M2</v>
          </cell>
          <cell r="L1156">
            <v>4</v>
          </cell>
          <cell r="N1156" t="str">
            <v>Biaya satuan sudah termasuk pengeluaran untuk seluruh pajak yang berkaitan (tetapi tidak termasuk PPN</v>
          </cell>
        </row>
        <row r="1159">
          <cell r="A1159" t="str">
            <v>ITEM PEMBAYARAN NO.</v>
          </cell>
          <cell r="D1159" t="str">
            <v>:  2.4 (3)</v>
          </cell>
          <cell r="J1159" t="str">
            <v xml:space="preserve">Analisa LI-243 </v>
          </cell>
        </row>
        <row r="1160">
          <cell r="A1160" t="str">
            <v>JENIS PEKERJAAN</v>
          </cell>
          <cell r="D1160" t="str">
            <v>:  Pipa Berlubang Banyak</v>
          </cell>
        </row>
        <row r="1161">
          <cell r="A1161" t="str">
            <v>SATUAN PEMBAYARAN</v>
          </cell>
          <cell r="D1161" t="str">
            <v>:  M'</v>
          </cell>
          <cell r="J1161" t="str">
            <v xml:space="preserve">         URAIAN ANALISA HARGA SATUAN</v>
          </cell>
        </row>
        <row r="1164">
          <cell r="A1164" t="str">
            <v>No.</v>
          </cell>
          <cell r="C1164" t="str">
            <v>U R A I A N</v>
          </cell>
          <cell r="G1164" t="str">
            <v>KODE</v>
          </cell>
          <cell r="H1164" t="str">
            <v>KOEF.</v>
          </cell>
          <cell r="I1164" t="str">
            <v>SATUAN</v>
          </cell>
          <cell r="J1164" t="str">
            <v>KETERANGAN</v>
          </cell>
        </row>
        <row r="1167">
          <cell r="A1167" t="str">
            <v>I.</v>
          </cell>
          <cell r="C1167" t="str">
            <v>ASUMSI</v>
          </cell>
        </row>
        <row r="1168">
          <cell r="A1168">
            <v>1</v>
          </cell>
          <cell r="C1168" t="str">
            <v>Pekerjaan dilakukan secara manual</v>
          </cell>
        </row>
        <row r="1169">
          <cell r="A1169">
            <v>2</v>
          </cell>
          <cell r="C1169" t="str">
            <v>Lokasi pekerjaan : sepanjang jalan</v>
          </cell>
        </row>
        <row r="1170">
          <cell r="A1170">
            <v>3</v>
          </cell>
          <cell r="C1170" t="str">
            <v>Kondisi Jalan   :  sedang / baik</v>
          </cell>
        </row>
        <row r="1171">
          <cell r="A1171">
            <v>4</v>
          </cell>
          <cell r="C1171" t="str">
            <v>Jam kerja efektif per-hari</v>
          </cell>
          <cell r="G1171" t="str">
            <v>Tk</v>
          </cell>
          <cell r="H1171">
            <v>7</v>
          </cell>
          <cell r="I1171" t="str">
            <v>Jam</v>
          </cell>
        </row>
        <row r="1172">
          <cell r="A1172">
            <v>5</v>
          </cell>
          <cell r="C1172" t="str">
            <v>Diameter dalam pipa</v>
          </cell>
          <cell r="G1172" t="str">
            <v>d</v>
          </cell>
          <cell r="H1172">
            <v>0.1</v>
          </cell>
          <cell r="I1172" t="str">
            <v>M</v>
          </cell>
        </row>
        <row r="1173">
          <cell r="A1173">
            <v>6</v>
          </cell>
          <cell r="C1173" t="str">
            <v>Material penyaring terdiri dari material porus</v>
          </cell>
        </row>
        <row r="1174">
          <cell r="A1174">
            <v>7</v>
          </cell>
          <cell r="C1174" t="str">
            <v>Penyangga sambungan pipa dengan mortar</v>
          </cell>
        </row>
        <row r="1175">
          <cell r="A1175" t="str">
            <v>II.</v>
          </cell>
          <cell r="C1175" t="str">
            <v>URUTAN KERJA</v>
          </cell>
        </row>
        <row r="1176">
          <cell r="A1176">
            <v>1</v>
          </cell>
          <cell r="C1176" t="str">
            <v>Semua material diterima di lokasi pekerjaan</v>
          </cell>
        </row>
        <row r="1177">
          <cell r="A1177">
            <v>2</v>
          </cell>
          <cell r="C1177" t="str">
            <v>Pekerjaan dilakukan secara manual dengan</v>
          </cell>
        </row>
        <row r="1178">
          <cell r="C1178" t="str">
            <v>menggunakan alat bantu kecil</v>
          </cell>
        </row>
        <row r="1179">
          <cell r="A1179">
            <v>3</v>
          </cell>
          <cell r="C1179" t="str">
            <v>Pekerjaan galian dibayar tersendiri.</v>
          </cell>
        </row>
        <row r="1180">
          <cell r="A1180" t="str">
            <v>III.</v>
          </cell>
          <cell r="C1180" t="str">
            <v>PEMAKAIAN BAHAN, ALAT DAN TENAGA</v>
          </cell>
        </row>
        <row r="1181">
          <cell r="A1181" t="str">
            <v xml:space="preserve">   1.</v>
          </cell>
          <cell r="C1181" t="str">
            <v>BAHAN</v>
          </cell>
        </row>
        <row r="1182">
          <cell r="C1182" t="str">
            <v>Diperlukan material :</v>
          </cell>
        </row>
        <row r="1183">
          <cell r="C1183" t="str">
            <v>- Pipa Porous</v>
          </cell>
          <cell r="G1183" t="str">
            <v>(M25)</v>
          </cell>
          <cell r="H1183">
            <v>1.05</v>
          </cell>
          <cell r="I1183" t="str">
            <v>M'</v>
          </cell>
        </row>
        <row r="1184">
          <cell r="C1184" t="str">
            <v>- Mortar (penyangga sambungan pipa) = 2 x (0.05x0.05x0.05)</v>
          </cell>
          <cell r="G1184" t="str">
            <v>Mr</v>
          </cell>
          <cell r="H1184">
            <v>2.5000000000000006E-4</v>
          </cell>
          <cell r="I1184" t="str">
            <v>M3</v>
          </cell>
        </row>
        <row r="1185">
          <cell r="C1185" t="str">
            <v>- Semen</v>
          </cell>
          <cell r="D1185" t="str">
            <v>= 20% x Mr x Bj Mortar 1.8 T/m3</v>
          </cell>
          <cell r="G1185" t="str">
            <v>(M12)</v>
          </cell>
          <cell r="H1185">
            <v>9.0000000000000038E-2</v>
          </cell>
          <cell r="I1185" t="str">
            <v>Kg</v>
          </cell>
        </row>
        <row r="1186">
          <cell r="C1186" t="str">
            <v>- Pasir</v>
          </cell>
          <cell r="D1186" t="str">
            <v>= 80% x Mr</v>
          </cell>
          <cell r="G1186" t="str">
            <v>(M01)</v>
          </cell>
          <cell r="H1186">
            <v>2.0000000000000006E-4</v>
          </cell>
          <cell r="I1186" t="str">
            <v>M3</v>
          </cell>
        </row>
        <row r="1187">
          <cell r="C1187" t="str">
            <v>- Filter stripe dan lain2 (pada sambungan)</v>
          </cell>
          <cell r="G1187" t="str">
            <v>-</v>
          </cell>
          <cell r="H1187" t="str">
            <v>-</v>
          </cell>
          <cell r="I1187" t="str">
            <v>Ls</v>
          </cell>
        </row>
        <row r="1188">
          <cell r="A1188" t="str">
            <v xml:space="preserve">   2.</v>
          </cell>
          <cell r="C1188" t="str">
            <v>ALAT</v>
          </cell>
        </row>
        <row r="1189">
          <cell r="A1189" t="str">
            <v>2.b.</v>
          </cell>
          <cell r="C1189" t="str">
            <v>ALAT  BANTU</v>
          </cell>
          <cell r="J1189" t="str">
            <v>Lump Sump</v>
          </cell>
        </row>
        <row r="1190">
          <cell r="C1190" t="str">
            <v>Diperlukan alat-alat bantu kecil</v>
          </cell>
        </row>
        <row r="1191">
          <cell r="C1191" t="str">
            <v>- Sekop  =   2   buah</v>
          </cell>
        </row>
        <row r="1192">
          <cell r="C1192" t="str">
            <v>- Pacul   =   2   buah</v>
          </cell>
        </row>
        <row r="1193">
          <cell r="C1193" t="str">
            <v>- Alat-alat kecil lain</v>
          </cell>
        </row>
        <row r="1194">
          <cell r="A1194" t="str">
            <v xml:space="preserve">   3.</v>
          </cell>
          <cell r="C1194" t="str">
            <v>TENAGA</v>
          </cell>
        </row>
        <row r="1195">
          <cell r="C1195" t="str">
            <v>Produksi yang dapat diselesaikan / hari</v>
          </cell>
          <cell r="G1195" t="str">
            <v>Qt</v>
          </cell>
          <cell r="H1195">
            <v>12</v>
          </cell>
          <cell r="I1195" t="str">
            <v>M'</v>
          </cell>
        </row>
        <row r="1196">
          <cell r="C1196" t="str">
            <v>Kebutuhan tenaga :</v>
          </cell>
        </row>
        <row r="1197">
          <cell r="D1197" t="str">
            <v>- Pekerja</v>
          </cell>
          <cell r="G1197" t="str">
            <v>P</v>
          </cell>
          <cell r="H1197">
            <v>2</v>
          </cell>
          <cell r="I1197" t="str">
            <v>orang</v>
          </cell>
        </row>
        <row r="1198">
          <cell r="D1198" t="str">
            <v>- Tukang</v>
          </cell>
          <cell r="G1198" t="str">
            <v>T</v>
          </cell>
          <cell r="H1198">
            <v>1</v>
          </cell>
          <cell r="I1198" t="str">
            <v>orang</v>
          </cell>
        </row>
        <row r="1199">
          <cell r="D1199" t="str">
            <v>- Mandor</v>
          </cell>
          <cell r="G1199" t="str">
            <v>M</v>
          </cell>
          <cell r="H1199">
            <v>1</v>
          </cell>
          <cell r="I1199" t="str">
            <v>orang</v>
          </cell>
        </row>
        <row r="1200">
          <cell r="C1200" t="str">
            <v>Koefisien tenaga / M1   :</v>
          </cell>
        </row>
        <row r="1201">
          <cell r="D1201" t="str">
            <v>- Pekerja</v>
          </cell>
          <cell r="E1201" t="str">
            <v>= (Tk x P) : Qt</v>
          </cell>
          <cell r="G1201" t="str">
            <v>(L01)</v>
          </cell>
          <cell r="H1201">
            <v>1.1666666666666667</v>
          </cell>
          <cell r="I1201" t="str">
            <v>Jam</v>
          </cell>
        </row>
        <row r="1202">
          <cell r="D1202" t="str">
            <v>- Tukang</v>
          </cell>
          <cell r="E1202" t="str">
            <v>= (Tk x T) : Qt</v>
          </cell>
          <cell r="G1202" t="str">
            <v>(L02)</v>
          </cell>
          <cell r="H1202">
            <v>0.58333333333333337</v>
          </cell>
          <cell r="I1202" t="str">
            <v>Jam</v>
          </cell>
        </row>
        <row r="1203">
          <cell r="D1203" t="str">
            <v>- Mandor</v>
          </cell>
          <cell r="E1203" t="str">
            <v>= (Tk x M) : Qt</v>
          </cell>
          <cell r="G1203" t="str">
            <v>(L03)</v>
          </cell>
          <cell r="H1203">
            <v>0.58333333333333337</v>
          </cell>
          <cell r="I1203" t="str">
            <v>Jam</v>
          </cell>
        </row>
        <row r="1205">
          <cell r="A1205" t="str">
            <v>4.</v>
          </cell>
          <cell r="C1205" t="str">
            <v>HARGA DASAR SATUAN UPAH, BAHAN DAN ALAT</v>
          </cell>
        </row>
        <row r="1206">
          <cell r="C1206" t="str">
            <v>Lihat lampiran.</v>
          </cell>
        </row>
        <row r="1207">
          <cell r="A1207" t="str">
            <v>5.</v>
          </cell>
          <cell r="C1207" t="str">
            <v>ANALISA HARGA SATUAN PEKERJAAN</v>
          </cell>
        </row>
        <row r="1208">
          <cell r="C1208" t="str">
            <v>Lihat perhitungan dalam FORMULIR STANDAR UNTUK</v>
          </cell>
          <cell r="Q1208" t="str">
            <v xml:space="preserve">JUMLAH HARGA PERALATAN   </v>
          </cell>
          <cell r="U1208">
            <v>550</v>
          </cell>
        </row>
        <row r="1209">
          <cell r="C1209" t="str">
            <v>PEREKEMAN ANALISA MASING-MASING HARGA</v>
          </cell>
        </row>
        <row r="1210">
          <cell r="C1210" t="str">
            <v>SATUAN.</v>
          </cell>
          <cell r="L1210" t="str">
            <v>D.</v>
          </cell>
          <cell r="N1210" t="str">
            <v>JUMLAH HARGA TENAGA, BAHAN DAN PERALATAN  ( A + B + C )</v>
          </cell>
          <cell r="U1210">
            <v>22303.669062500001</v>
          </cell>
        </row>
        <row r="1211">
          <cell r="C1211" t="str">
            <v>Didapat Harga Satuan Pekerjaan :</v>
          </cell>
          <cell r="L1211" t="str">
            <v>E.</v>
          </cell>
          <cell r="N1211" t="str">
            <v>OVERHEAD &amp; PROFIT</v>
          </cell>
          <cell r="P1211">
            <v>10</v>
          </cell>
          <cell r="Q1211" t="str">
            <v>%  x  D</v>
          </cell>
          <cell r="U1211">
            <v>2230.3669062500003</v>
          </cell>
        </row>
        <row r="1212">
          <cell r="L1212" t="str">
            <v>F.</v>
          </cell>
          <cell r="N1212" t="str">
            <v>HARGA SATUAN PEKERJAAN  ( D + E )</v>
          </cell>
          <cell r="U1212">
            <v>24534.035968750002</v>
          </cell>
        </row>
        <row r="1213">
          <cell r="C1213" t="str">
            <v xml:space="preserve">Rp.  </v>
          </cell>
          <cell r="D1213">
            <v>24534.035968750002</v>
          </cell>
          <cell r="E1213" t="str">
            <v xml:space="preserve"> / M'</v>
          </cell>
          <cell r="L1213" t="str">
            <v>Note: 1</v>
          </cell>
          <cell r="N1213" t="str">
            <v>SATUAN dapat berdasarkan atas jam operasi untuk Tenaga Kerja dan Peralatan, volume dan/atau ukuran</v>
          </cell>
        </row>
        <row r="1214">
          <cell r="N1214" t="str">
            <v>berat untuk bahan-bahan.</v>
          </cell>
        </row>
        <row r="1215">
          <cell r="A1215" t="str">
            <v>6.</v>
          </cell>
          <cell r="C1215" t="str">
            <v>WAKTU PELAKSANAAN YANG DIPERLUKAN</v>
          </cell>
          <cell r="L1215">
            <v>2</v>
          </cell>
          <cell r="N1215" t="str">
            <v>Kuantitas satuan adalah kuantitas setiap komponen untuk menyelesaikan satu satuan pekerjaan dari nomor</v>
          </cell>
        </row>
        <row r="1216">
          <cell r="C1216" t="str">
            <v>Masa Pelaksanaan :</v>
          </cell>
          <cell r="D1216" t="str">
            <v>. . . . . . . . . . . .</v>
          </cell>
          <cell r="E1216" t="str">
            <v>bulan</v>
          </cell>
          <cell r="N1216" t="str">
            <v>mata pembayaran.</v>
          </cell>
        </row>
        <row r="1217">
          <cell r="A1217" t="str">
            <v>7.</v>
          </cell>
          <cell r="C1217" t="str">
            <v>VOLUME PEKERJAAN YANG DIPERLUKAN</v>
          </cell>
          <cell r="L1217">
            <v>3</v>
          </cell>
          <cell r="N1217" t="str">
            <v>Biaya satuan untuk peralatan sudah termasuk bahan bakar, bahan habis dipakai dan operator.</v>
          </cell>
        </row>
        <row r="1218">
          <cell r="C1218" t="str">
            <v>Volume pekerjaan  :</v>
          </cell>
          <cell r="D1218">
            <v>1</v>
          </cell>
          <cell r="E1218" t="str">
            <v>M'</v>
          </cell>
          <cell r="L1218">
            <v>4</v>
          </cell>
          <cell r="N1218" t="str">
            <v>Biaya satuan sudah termasuk pengeluaran untuk seluruh pajak yang berkaitan (tetapi tidak termasuk PPN</v>
          </cell>
        </row>
        <row r="1219">
          <cell r="N1219" t="str">
            <v>yang dibayar dari kontrak) dan biaya-biaya lainnya.</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B Global"/>
      <sheetName val="Sheet4"/>
      <sheetName val="Sheet3"/>
      <sheetName val="Rek. RAP Total"/>
      <sheetName val="RAP Total"/>
      <sheetName val="harga bahan"/>
      <sheetName val="Analisa"/>
      <sheetName val="Rek. Thp I + Thp II"/>
      <sheetName val="Rek. Thp I"/>
      <sheetName val="RAP Thp I"/>
      <sheetName val="Rek. Thp II"/>
      <sheetName val="RAP Thp II"/>
      <sheetName val="Landscape"/>
      <sheetName val="Telp"/>
      <sheetName val="TV"/>
      <sheetName val="Elektrikal"/>
      <sheetName val="fire alarm dipakai"/>
      <sheetName val="fire alarm"/>
      <sheetName val="Gas Medis"/>
      <sheetName val="CCTV dipakai"/>
      <sheetName val="CCTV"/>
      <sheetName val="Sound"/>
      <sheetName val="petir"/>
      <sheetName val="Gensetdipakai"/>
      <sheetName val="Genset"/>
      <sheetName val="IPALdipakai"/>
      <sheetName val="Rek.IPAL"/>
      <sheetName val="Rinc.IPAL"/>
      <sheetName val="Hit"/>
      <sheetName val="anal btn"/>
      <sheetName val="Tandon"/>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Total"/>
      <sheetName val="Persiapan"/>
      <sheetName val="Rinc. Struktur"/>
      <sheetName val="Rinci Ars"/>
      <sheetName val="Rekap ME"/>
      <sheetName val="Penerangan"/>
      <sheetName val="AC"/>
      <sheetName val="Petir"/>
      <sheetName val="harga bahan"/>
      <sheetName val="analisa harga"/>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Total"/>
      <sheetName val="Hitung Volume"/>
      <sheetName val="Analisa "/>
      <sheetName val="Hitung Tulangan"/>
      <sheetName val="Harga Bahan "/>
      <sheetName val="Harga Upah"/>
      <sheetName val="Tabel Bes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Pekerjaan"/>
      <sheetName val="Rinci Pekerjaan"/>
      <sheetName val="Analisa "/>
      <sheetName val="Volume Tanah"/>
      <sheetName val="Volume Beton"/>
      <sheetName val="Volume Baja"/>
      <sheetName val="Hitung Tulangan"/>
      <sheetName val="Harga Bahan"/>
      <sheetName val="Upah - peralatan"/>
      <sheetName val="Tabel Besi"/>
      <sheetName val="Rinci 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I-KAMAR"/>
      <sheetName val="I_KAMAR"/>
      <sheetName val="boq"/>
      <sheetName val="Analisa"/>
      <sheetName val="Rek_SA"/>
      <sheetName val="ES_T_B_C"/>
      <sheetName val="AFORM-BQR"/>
      <sheetName val="Currency Rate"/>
      <sheetName val="BOW"/>
      <sheetName val="RINC FIN T4  _3_"/>
      <sheetName val="RINC FIN T4  _2_"/>
      <sheetName val="STR"/>
      <sheetName val="p_luar"/>
      <sheetName val="fin SB"/>
      <sheetName val="FIN PARKIR"/>
      <sheetName val="RINC FIN T4 "/>
      <sheetName val="daffin"/>
      <sheetName val="AHAS1"/>
      <sheetName val="struktur tdk dipakai"/>
      <sheetName val="schalt"/>
      <sheetName val="schtng"/>
      <sheetName val="schbhn"/>
      <sheetName val="GTS_I_PS"/>
      <sheetName val="BQ_AC-_SEMANAN"/>
      <sheetName val="Currency_Rate"/>
      <sheetName val="Bill.1.VAC-Supply-A"/>
      <sheetName val="AC"/>
      <sheetName val="Markup"/>
      <sheetName val="GTS_I_PS1"/>
      <sheetName val="BQ_AC-_SEMANAN1"/>
      <sheetName val="Currency_Rate1"/>
      <sheetName val="capacity"/>
      <sheetName val="Man power"/>
      <sheetName val="luar Apart"/>
      <sheetName val="Anal"/>
      <sheetName val="RAB-NEGO"/>
      <sheetName val="Harsat"/>
      <sheetName val="Bill rekap"/>
      <sheetName val="L-Mechanical"/>
      <sheetName val="Cash Flow bulanan"/>
      <sheetName val="Menu"/>
      <sheetName val="Daf Harga"/>
      <sheetName val="Bill"/>
      <sheetName val="Rekap Bill"/>
      <sheetName val="An_ Harga"/>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Rekap Addendum"/>
      <sheetName val="BAG_2"/>
      <sheetName val="INDEKS"/>
      <sheetName val="JABATAN"/>
      <sheetName val="DATA"/>
      <sheetName val="LOADDAT"/>
      <sheetName val="Z"/>
      <sheetName val="Cash2"/>
      <sheetName val="BANGUNAN PENUNJANG"/>
      <sheetName val="dasboard"/>
      <sheetName val="AHS_Kusen"/>
      <sheetName val="harsat&amp;upah"/>
      <sheetName val="Plat"/>
      <sheetName val="TOTAL"/>
      <sheetName val="Harsat Bahan"/>
      <sheetName val="Harsat Upah"/>
      <sheetName val="r.tank"/>
      <sheetName val="prelim"/>
      <sheetName val="BQ ARS"/>
      <sheetName val="SAT-BHN"/>
      <sheetName val="A"/>
      <sheetName val="TENAGA"/>
      <sheetName val="LISTRIK"/>
      <sheetName val="F ALARM"/>
      <sheetName val="Rekapitulasi"/>
      <sheetName val="Rekap RAB_kl"/>
      <sheetName val="RAB_KL"/>
      <sheetName val="Rekap RAB_Amd"/>
      <sheetName val="RAB_Amd"/>
      <sheetName val="REKAP_Dftr_Kuan_Hrg_Amd"/>
      <sheetName val="Dftr_Kuan_Hrg Amd"/>
      <sheetName val="Perm. Test"/>
      <sheetName val="Cover"/>
      <sheetName val="GTS_I_PS2"/>
      <sheetName val="BQ_AC-_SEMANAN2"/>
      <sheetName val="Currency_Rate2"/>
      <sheetName val="Man_power"/>
      <sheetName val="BID"/>
      <sheetName val="luar"/>
      <sheetName val="RINC hotel"/>
      <sheetName val="PROTECTION "/>
      <sheetName val="bahan-mos"/>
      <sheetName val="Ch"/>
      <sheetName val="SDY"/>
      <sheetName val="Perhitungan RAB"/>
      <sheetName val="Rencana Anggaran Biaya"/>
      <sheetName val="Harga Satuan"/>
      <sheetName val="H.Satuan"/>
      <sheetName val="Urai _Resap pengikat"/>
      <sheetName val="STAF"/>
      <sheetName val="jadw"/>
      <sheetName val="Perhit.Alat"/>
      <sheetName val="PNT"/>
      <sheetName val="대비표"/>
      <sheetName val="SAP"/>
      <sheetName val="Jurnal"/>
      <sheetName val="Kolom UT"/>
      <sheetName val="Public Area"/>
      <sheetName val="tifico"/>
      <sheetName val="BasicPrice"/>
      <sheetName val="AnConW"/>
      <sheetName val="AnEarthW"/>
      <sheetName val="AnStoneW"/>
      <sheetName val="Inpu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erpolasi"/>
      <sheetName val="Rek. Total"/>
      <sheetName val="Estimasi pake"/>
      <sheetName val="analisa harga "/>
      <sheetName val="harga bahan"/>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hn FINAL"/>
      <sheetName val="Rinc.Ged.A (G.Utama)"/>
      <sheetName val="TAHAP TOTAL"/>
      <sheetName val="TAHAPI"/>
      <sheetName val="TAHAPII"/>
      <sheetName val="Lands. THP I"/>
      <sheetName val="Lnds.THP II"/>
      <sheetName val="Rek.Ged.Total"/>
      <sheetName val="Rek.Ged.Utama.Total"/>
      <sheetName val="Rinc.Ged.Utama.Total"/>
      <sheetName val="Rek.Ged A (G.Utama)"/>
      <sheetName val="Rek.Ged.B (Conv.Hall)"/>
      <sheetName val="Rinc.Ged.B (Conv.Hall)"/>
      <sheetName val="Rekap Hotel C1 FINAL"/>
      <sheetName val="Rinc.Hotel C1 FINAL"/>
      <sheetName val="Rek.Hotel C2 FINAL"/>
      <sheetName val="Rinc.Hotel C2 FINAL"/>
      <sheetName val="Rek.Hotel D FINAL"/>
      <sheetName val="Rinc.Hotel D FINAL"/>
      <sheetName val="Rek . Sport Center &amp; Karaoke"/>
      <sheetName val="Rinc . Sport Cent &amp; Karaoke"/>
      <sheetName val="Rekap Asrama FINAL"/>
      <sheetName val="Rinc.Asrama FINAL"/>
      <sheetName val="RAP GLOBAL"/>
      <sheetName val="Urugan Tanah THP II"/>
      <sheetName val="Urugan Tanah THP I"/>
      <sheetName val="analisa FINAL"/>
      <sheetName val="rek.PeRgola"/>
      <sheetName val="PeRgola SportC"/>
      <sheetName val="Rek.Selasar"/>
      <sheetName val="Rinc.Selasar"/>
      <sheetName val="Rek.Sumur Artesis"/>
      <sheetName val="Rinc.Sumur Artesis"/>
      <sheetName val="FireHydrant"/>
      <sheetName val="FIRE ALARM"/>
      <sheetName val="petir"/>
      <sheetName val="Drain"/>
      <sheetName val="rek.genset"/>
      <sheetName val="rinc.Genset"/>
      <sheetName val="cctv"/>
      <sheetName val="Anal.Rinc."/>
      <sheetName val="Sheet1"/>
      <sheetName val="rab1.4"/>
      <sheetName val="Rinc.A2"/>
      <sheetName val="telp."/>
      <sheetName val="Rinc_Ged_A _G_Utama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DIV3"/>
      <sheetName val="3_DIV3"/>
    </sheetNames>
    <sheetDataSet>
      <sheetData sheetId="0" refreshError="1">
        <row r="1">
          <cell r="A1" t="str">
            <v>ITEM PEMBAYARAN NO.</v>
          </cell>
          <cell r="D1" t="str">
            <v>:  3.1 (1)</v>
          </cell>
          <cell r="J1" t="str">
            <v>Analisa EI-311</v>
          </cell>
          <cell r="T1" t="str">
            <v>Analisa EI-311</v>
          </cell>
        </row>
        <row r="2">
          <cell r="A2" t="str">
            <v>JENIS PEKERJAAN</v>
          </cell>
          <cell r="D2" t="str">
            <v>:  Galian Biasa</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3.1 (1)</v>
          </cell>
          <cell r="R12" t="str">
            <v>PERKIRAAN VOL. PEK.</v>
          </cell>
          <cell r="T12" t="str">
            <v>:</v>
          </cell>
          <cell r="U12">
            <v>0</v>
          </cell>
        </row>
        <row r="13">
          <cell r="A13">
            <v>4</v>
          </cell>
          <cell r="C13" t="str">
            <v>Jam kerja efektif per-hari</v>
          </cell>
          <cell r="G13" t="str">
            <v>Tk</v>
          </cell>
          <cell r="H13">
            <v>7</v>
          </cell>
          <cell r="I13" t="str">
            <v>Jam</v>
          </cell>
          <cell r="L13" t="str">
            <v>JENIS PEKERJAAN</v>
          </cell>
          <cell r="O13" t="str">
            <v>:  Galian Biasa</v>
          </cell>
          <cell r="R13" t="str">
            <v>TOTAL HARGA (Rp.)</v>
          </cell>
          <cell r="T13" t="str">
            <v>:</v>
          </cell>
          <cell r="U13">
            <v>0</v>
          </cell>
        </row>
        <row r="14">
          <cell r="A14">
            <v>5</v>
          </cell>
          <cell r="C14" t="str">
            <v>Faktor pengembangan bahan</v>
          </cell>
          <cell r="G14" t="str">
            <v>Fk</v>
          </cell>
          <cell r="H14">
            <v>1.2</v>
          </cell>
          <cell r="I14" t="str">
            <v>-</v>
          </cell>
          <cell r="L14" t="str">
            <v>SATUAN PEMBAYARAN</v>
          </cell>
          <cell r="O14" t="str">
            <v>:  M3</v>
          </cell>
          <cell r="R14" t="str">
            <v>% THD. BIAYA PROYEK</v>
          </cell>
          <cell r="T14" t="str">
            <v>:</v>
          </cell>
          <cell r="U14" t="e">
            <v>#DIV/0!</v>
          </cell>
        </row>
        <row r="17">
          <cell r="A17" t="str">
            <v>II.</v>
          </cell>
          <cell r="C17" t="str">
            <v>URUTAN KERJA</v>
          </cell>
          <cell r="Q17" t="str">
            <v>PERKIRAAN</v>
          </cell>
          <cell r="R17" t="str">
            <v>HARGA</v>
          </cell>
          <cell r="S17" t="str">
            <v>JUMLAH</v>
          </cell>
        </row>
        <row r="18">
          <cell r="A18">
            <v>1</v>
          </cell>
          <cell r="C18" t="str">
            <v>Tanah yang dipotong umumnya berada disisi jalan</v>
          </cell>
          <cell r="L18" t="str">
            <v>NO.</v>
          </cell>
          <cell r="N18" t="str">
            <v>KOMPONEN</v>
          </cell>
          <cell r="P18" t="str">
            <v>SATUAN</v>
          </cell>
          <cell r="Q18" t="str">
            <v>KUANTITAS</v>
          </cell>
          <cell r="R18" t="str">
            <v>SATUAN</v>
          </cell>
          <cell r="S18" t="str">
            <v>HARGA</v>
          </cell>
        </row>
        <row r="19">
          <cell r="A19">
            <v>2</v>
          </cell>
          <cell r="C19" t="str">
            <v>Penggalian dilakukan dengan menggunakan Excavator</v>
          </cell>
          <cell r="R19" t="str">
            <v>(Rp.)</v>
          </cell>
          <cell r="S19" t="str">
            <v>(Rp.)</v>
          </cell>
        </row>
        <row r="20">
          <cell r="A20">
            <v>3</v>
          </cell>
          <cell r="C20" t="str">
            <v>Selanjutnya Excavator menuangkan material hasil</v>
          </cell>
        </row>
        <row r="21">
          <cell r="C21" t="str">
            <v>galian kedalam Dump Truck</v>
          </cell>
        </row>
        <row r="22">
          <cell r="A22">
            <v>4</v>
          </cell>
          <cell r="C22" t="str">
            <v>Dump Truck membuang material hasil galian keluar</v>
          </cell>
          <cell r="L22" t="str">
            <v>A.</v>
          </cell>
          <cell r="N22" t="str">
            <v>TENAGA</v>
          </cell>
        </row>
        <row r="23">
          <cell r="C23" t="str">
            <v>lokasi jalan sejauh</v>
          </cell>
          <cell r="G23" t="str">
            <v>L</v>
          </cell>
          <cell r="H23">
            <v>5</v>
          </cell>
          <cell r="I23" t="str">
            <v>Km</v>
          </cell>
        </row>
        <row r="24">
          <cell r="L24" t="str">
            <v>1.</v>
          </cell>
          <cell r="N24" t="str">
            <v>Pekerja</v>
          </cell>
          <cell r="O24" t="str">
            <v>(L01)</v>
          </cell>
          <cell r="P24" t="str">
            <v>Jam</v>
          </cell>
          <cell r="Q24">
            <v>1.6426998315844023E-2</v>
          </cell>
          <cell r="R24">
            <v>2857.14</v>
          </cell>
          <cell r="U24">
            <v>46.934233968130592</v>
          </cell>
        </row>
        <row r="25">
          <cell r="L25" t="str">
            <v>2.</v>
          </cell>
          <cell r="N25" t="str">
            <v>Mandor</v>
          </cell>
          <cell r="O25" t="str">
            <v>(L03)</v>
          </cell>
          <cell r="P25" t="str">
            <v>Jam</v>
          </cell>
          <cell r="Q25">
            <v>8.2134991579220114E-3</v>
          </cell>
          <cell r="R25">
            <v>3214.29</v>
          </cell>
          <cell r="U25">
            <v>26.400568208317143</v>
          </cell>
        </row>
        <row r="26">
          <cell r="A26" t="str">
            <v>III.</v>
          </cell>
          <cell r="C26" t="str">
            <v>PEMAKAIAN BAHAN, ALAT DAN TENAGA</v>
          </cell>
        </row>
        <row r="28">
          <cell r="A28" t="str">
            <v xml:space="preserve">   1.</v>
          </cell>
          <cell r="C28" t="str">
            <v>BAHAN</v>
          </cell>
          <cell r="Q28" t="str">
            <v xml:space="preserve">JUMLAH HARGA TENAGA   </v>
          </cell>
          <cell r="U28">
            <v>73.334802176447738</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8">
          <cell r="C38" t="str">
            <v>Waktu siklus</v>
          </cell>
          <cell r="G38" t="str">
            <v>Ts1</v>
          </cell>
          <cell r="I38" t="str">
            <v>menit</v>
          </cell>
          <cell r="Q38" t="str">
            <v xml:space="preserve">JUMLAH HARGA BAHAN   </v>
          </cell>
          <cell r="U38">
            <v>0</v>
          </cell>
        </row>
        <row r="39">
          <cell r="C39" t="str">
            <v>- Menggali / memuat</v>
          </cell>
          <cell r="G39" t="str">
            <v>T1</v>
          </cell>
          <cell r="H39">
            <v>0.317</v>
          </cell>
          <cell r="I39" t="str">
            <v>menit</v>
          </cell>
        </row>
        <row r="40">
          <cell r="C40" t="str">
            <v>- Lain-lain</v>
          </cell>
          <cell r="G40" t="str">
            <v>T2</v>
          </cell>
          <cell r="I40" t="str">
            <v>menit</v>
          </cell>
        </row>
        <row r="41">
          <cell r="G41" t="str">
            <v>Ts1</v>
          </cell>
          <cell r="H41">
            <v>0.317</v>
          </cell>
          <cell r="I41" t="str">
            <v>menit</v>
          </cell>
          <cell r="L41" t="str">
            <v>C.</v>
          </cell>
          <cell r="N41" t="str">
            <v>PERALATAN</v>
          </cell>
        </row>
        <row r="43">
          <cell r="C43" t="str">
            <v>Kap. Prod. / jam =</v>
          </cell>
          <cell r="D43" t="str">
            <v>V  x Fb x Fa x 60</v>
          </cell>
          <cell r="G43" t="str">
            <v>Q1</v>
          </cell>
          <cell r="H43">
            <v>121.75078864353311</v>
          </cell>
          <cell r="I43" t="str">
            <v>M3/Jam</v>
          </cell>
          <cell r="L43" t="str">
            <v>1.</v>
          </cell>
          <cell r="N43" t="str">
            <v>Excavator</v>
          </cell>
          <cell r="O43" t="str">
            <v>(E10)</v>
          </cell>
          <cell r="P43" t="str">
            <v>Jam</v>
          </cell>
          <cell r="Q43">
            <v>8.2134991579220114E-3</v>
          </cell>
          <cell r="R43">
            <v>238185.05650827778</v>
          </cell>
          <cell r="U43">
            <v>1956.3327610603462</v>
          </cell>
        </row>
        <row r="44">
          <cell r="D44" t="str">
            <v>Ts1 x Fh</v>
          </cell>
          <cell r="L44" t="str">
            <v>2.</v>
          </cell>
          <cell r="N44" t="str">
            <v>Dump Truck</v>
          </cell>
          <cell r="O44" t="str">
            <v>(E08)</v>
          </cell>
          <cell r="P44" t="str">
            <v>Jam</v>
          </cell>
          <cell r="Q44">
            <v>5.7658071071694475E-2</v>
          </cell>
          <cell r="R44">
            <v>153645.58193291764</v>
          </cell>
          <cell r="U44">
            <v>8858.9078829400223</v>
          </cell>
        </row>
        <row r="45">
          <cell r="L45" t="str">
            <v>3.</v>
          </cell>
          <cell r="N45" t="str">
            <v>Alat Bantu</v>
          </cell>
          <cell r="P45" t="str">
            <v>Ls</v>
          </cell>
          <cell r="Q45">
            <v>1</v>
          </cell>
          <cell r="R45">
            <v>75</v>
          </cell>
          <cell r="U45">
            <v>75</v>
          </cell>
        </row>
        <row r="46">
          <cell r="C46" t="str">
            <v>Koefisien Alat / M3</v>
          </cell>
          <cell r="D46" t="str">
            <v xml:space="preserve"> =  1  :  Q1</v>
          </cell>
          <cell r="G46" t="str">
            <v>(E10)</v>
          </cell>
          <cell r="H46">
            <v>8.2134991579220114E-3</v>
          </cell>
          <cell r="I46" t="str">
            <v>Jam</v>
          </cell>
        </row>
        <row r="50">
          <cell r="A50" t="str">
            <v xml:space="preserve">   2.b.</v>
          </cell>
          <cell r="C50" t="str">
            <v>DUMP TRUCK</v>
          </cell>
          <cell r="G50" t="str">
            <v>(E08)</v>
          </cell>
          <cell r="Q50" t="str">
            <v xml:space="preserve">JUMLAH HARGA PERALATAN   </v>
          </cell>
          <cell r="U50">
            <v>10890.240644000369</v>
          </cell>
        </row>
        <row r="51">
          <cell r="C51" t="str">
            <v>Kapasitas bak</v>
          </cell>
          <cell r="G51" t="str">
            <v>V</v>
          </cell>
          <cell r="H51">
            <v>6.666666666666667</v>
          </cell>
          <cell r="I51" t="str">
            <v>M3</v>
          </cell>
        </row>
        <row r="52">
          <cell r="C52" t="str">
            <v>Faktor  efisiensi alat</v>
          </cell>
          <cell r="G52" t="str">
            <v>Fa</v>
          </cell>
          <cell r="H52">
            <v>0.83</v>
          </cell>
          <cell r="I52" t="str">
            <v>-</v>
          </cell>
          <cell r="L52" t="str">
            <v>D.</v>
          </cell>
          <cell r="N52" t="str">
            <v>JUMLAH HARGA TENAGA, BAHAN DAN PERALATAN  ( A + B + C )</v>
          </cell>
          <cell r="U52">
            <v>10963.575446176816</v>
          </cell>
        </row>
        <row r="53">
          <cell r="C53" t="str">
            <v>Kecepatan rata-rata bermuatan</v>
          </cell>
          <cell r="G53" t="str">
            <v>v1</v>
          </cell>
          <cell r="H53">
            <v>45</v>
          </cell>
          <cell r="I53" t="str">
            <v>KM/Jam</v>
          </cell>
          <cell r="L53" t="str">
            <v>E.</v>
          </cell>
          <cell r="N53" t="str">
            <v>OVERHEAD &amp; PROFIT</v>
          </cell>
          <cell r="P53">
            <v>10</v>
          </cell>
          <cell r="Q53" t="str">
            <v>%  x  D</v>
          </cell>
          <cell r="U53">
            <v>1096.3575446176817</v>
          </cell>
        </row>
        <row r="54">
          <cell r="C54" t="str">
            <v>Kecepatan rata-rata kosong</v>
          </cell>
          <cell r="G54" t="str">
            <v>v2</v>
          </cell>
          <cell r="H54">
            <v>60</v>
          </cell>
          <cell r="I54" t="str">
            <v>KM/Jam</v>
          </cell>
          <cell r="L54" t="str">
            <v>F.</v>
          </cell>
          <cell r="N54" t="str">
            <v>HARGA SATUAN PEKERJAAN  ( D + E )</v>
          </cell>
          <cell r="U54">
            <v>12059.932990794498</v>
          </cell>
        </row>
        <row r="55">
          <cell r="C55" t="str">
            <v>Waktu  siklus</v>
          </cell>
          <cell r="G55" t="str">
            <v>Ts2</v>
          </cell>
          <cell r="I55" t="str">
            <v>menit</v>
          </cell>
          <cell r="L55" t="str">
            <v>Note: 1</v>
          </cell>
          <cell r="N55" t="str">
            <v>SATUAN dapat berdasarkan atas jam operasi untuk Tenaga Kerja dan Peralatan, volume dan/atau ukuran</v>
          </cell>
        </row>
        <row r="56">
          <cell r="C56" t="str">
            <v>- Waktu tempuh isi</v>
          </cell>
          <cell r="E56" t="str">
            <v>=   (L  :  v1)  x  60</v>
          </cell>
          <cell r="G56" t="str">
            <v>T1</v>
          </cell>
          <cell r="H56">
            <v>6.6666666666666661</v>
          </cell>
          <cell r="I56" t="str">
            <v>menit</v>
          </cell>
          <cell r="N56" t="str">
            <v>berat untuk bahan-bahan.</v>
          </cell>
        </row>
        <row r="57">
          <cell r="C57" t="str">
            <v>- Waktu tempuh kosong</v>
          </cell>
          <cell r="E57" t="str">
            <v>=   (L  :  v2)  x  60</v>
          </cell>
          <cell r="G57" t="str">
            <v>T2</v>
          </cell>
          <cell r="H57">
            <v>5</v>
          </cell>
          <cell r="I57" t="str">
            <v>menit</v>
          </cell>
          <cell r="L57">
            <v>2</v>
          </cell>
          <cell r="N57" t="str">
            <v>Kuantitas satuan adalah kuantitas setiap komponen untuk menyelesaikan satu satuan pekerjaan dari nomor</v>
          </cell>
        </row>
        <row r="58">
          <cell r="C58" t="str">
            <v>- Muat</v>
          </cell>
          <cell r="E58" t="str">
            <v>=   (V  :  Q1) x 60</v>
          </cell>
          <cell r="G58" t="str">
            <v>T3</v>
          </cell>
          <cell r="H58">
            <v>3.2853996631688047</v>
          </cell>
          <cell r="I58" t="str">
            <v>menit</v>
          </cell>
          <cell r="N58" t="str">
            <v>mata pembayaran.</v>
          </cell>
        </row>
        <row r="59">
          <cell r="C59" t="str">
            <v>- Lain-lain</v>
          </cell>
          <cell r="G59" t="str">
            <v>T4</v>
          </cell>
          <cell r="H59">
            <v>1</v>
          </cell>
          <cell r="I59" t="str">
            <v>menit</v>
          </cell>
          <cell r="L59">
            <v>3</v>
          </cell>
          <cell r="N59" t="str">
            <v>Biaya satuan untuk peralatan sudah termasuk bahan bakar, bahan habis dipakai dan operator.</v>
          </cell>
        </row>
        <row r="60">
          <cell r="G60" t="str">
            <v>Ts2</v>
          </cell>
          <cell r="H60">
            <v>15.952066329835471</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3.1 (1)</v>
          </cell>
          <cell r="J62" t="str">
            <v>Analisa EI-311</v>
          </cell>
        </row>
        <row r="63">
          <cell r="A63" t="str">
            <v>JENIS PEKERJAAN</v>
          </cell>
          <cell r="D63" t="str">
            <v>:  Galian Biasa</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Kapasitas Produksi / Jam   =</v>
          </cell>
          <cell r="E70" t="str">
            <v>V x Fa x 60</v>
          </cell>
          <cell r="G70" t="str">
            <v>Q2</v>
          </cell>
          <cell r="H70">
            <v>17.343625643607776</v>
          </cell>
          <cell r="I70" t="str">
            <v xml:space="preserve">M3/Jam </v>
          </cell>
        </row>
        <row r="71">
          <cell r="E71" t="str">
            <v xml:space="preserve">    Fk x Ts2</v>
          </cell>
        </row>
        <row r="74">
          <cell r="C74" t="str">
            <v>Koefisien Alat / M3</v>
          </cell>
          <cell r="D74" t="str">
            <v xml:space="preserve"> =  1  :  Q2</v>
          </cell>
          <cell r="G74" t="str">
            <v>(E08)</v>
          </cell>
          <cell r="H74">
            <v>5.7658071071694475E-2</v>
          </cell>
          <cell r="I74" t="str">
            <v>Jam</v>
          </cell>
        </row>
        <row r="77">
          <cell r="A77" t="str">
            <v>2.d.</v>
          </cell>
          <cell r="C77" t="str">
            <v>ALAT  BANTU</v>
          </cell>
        </row>
        <row r="78">
          <cell r="C78" t="str">
            <v>Diperlukan alat-alat bantu kecil</v>
          </cell>
          <cell r="J78" t="str">
            <v>Lump Sump</v>
          </cell>
        </row>
        <row r="79">
          <cell r="C79" t="str">
            <v>- Sekop</v>
          </cell>
        </row>
        <row r="80">
          <cell r="C80" t="str">
            <v>- Keranjang</v>
          </cell>
        </row>
        <row r="82">
          <cell r="A82" t="str">
            <v xml:space="preserve">   3.</v>
          </cell>
          <cell r="C82" t="str">
            <v>TENAGA</v>
          </cell>
        </row>
        <row r="83">
          <cell r="C83" t="str">
            <v>Produksi menentukan : EXCAVATOR</v>
          </cell>
          <cell r="G83" t="str">
            <v>Q1</v>
          </cell>
          <cell r="H83">
            <v>121.75078864353311</v>
          </cell>
          <cell r="I83" t="str">
            <v>M3/Jam</v>
          </cell>
        </row>
        <row r="84">
          <cell r="C84" t="str">
            <v>Produksi Galian / hari  =  Tk x Q1</v>
          </cell>
          <cell r="G84" t="str">
            <v>Qt</v>
          </cell>
          <cell r="H84">
            <v>852.25552050473175</v>
          </cell>
          <cell r="I84" t="str">
            <v>M3</v>
          </cell>
        </row>
        <row r="85">
          <cell r="C85" t="str">
            <v>Kebutuhan tenaga :</v>
          </cell>
        </row>
        <row r="86">
          <cell r="D86" t="str">
            <v>- Pekerja</v>
          </cell>
          <cell r="G86" t="str">
            <v>P</v>
          </cell>
          <cell r="H86">
            <v>2</v>
          </cell>
          <cell r="I86" t="str">
            <v>orang</v>
          </cell>
        </row>
        <row r="87">
          <cell r="D87" t="str">
            <v>- Mandor</v>
          </cell>
          <cell r="G87" t="str">
            <v>M</v>
          </cell>
          <cell r="H87">
            <v>1</v>
          </cell>
          <cell r="I87" t="str">
            <v>orang</v>
          </cell>
        </row>
        <row r="89">
          <cell r="C89" t="str">
            <v>Koefisien tenaga / M3   :</v>
          </cell>
        </row>
        <row r="90">
          <cell r="D90" t="str">
            <v>- Pekerja</v>
          </cell>
          <cell r="E90" t="str">
            <v>= (Tk x P) : Qt</v>
          </cell>
          <cell r="G90" t="str">
            <v>(L01)</v>
          </cell>
          <cell r="H90">
            <v>1.6426998315844023E-2</v>
          </cell>
          <cell r="I90" t="str">
            <v>Jam</v>
          </cell>
        </row>
        <row r="91">
          <cell r="D91" t="str">
            <v>- Mandor</v>
          </cell>
          <cell r="E91" t="str">
            <v>= (Tk x M) : Qt</v>
          </cell>
          <cell r="G91" t="str">
            <v>(L03)</v>
          </cell>
          <cell r="H91">
            <v>8.2134991579220114E-3</v>
          </cell>
          <cell r="I91" t="str">
            <v>Jam</v>
          </cell>
        </row>
        <row r="93">
          <cell r="A93" t="str">
            <v>4.</v>
          </cell>
          <cell r="C93" t="str">
            <v>HARGA DASAR SATUAN UPAH, BAHAN DAN ALAT</v>
          </cell>
        </row>
        <row r="94">
          <cell r="C94" t="str">
            <v>Lihat lampiran.</v>
          </cell>
        </row>
        <row r="96">
          <cell r="A96" t="str">
            <v>5.</v>
          </cell>
          <cell r="C96" t="str">
            <v>ANALISA HARGA SATUAN PEKERJAAN</v>
          </cell>
        </row>
        <row r="97">
          <cell r="C97" t="str">
            <v>Lihat perhitungan dalam FORMULIR STANDAR UNTUK</v>
          </cell>
        </row>
        <row r="98">
          <cell r="C98" t="str">
            <v>PEREKEMAN ANALISA MASING-MASING HARGA</v>
          </cell>
        </row>
        <row r="99">
          <cell r="C99" t="str">
            <v>SATUAN.</v>
          </cell>
        </row>
        <row r="100">
          <cell r="C100" t="str">
            <v>Didapat Harga Satuan Pekerjaan :</v>
          </cell>
        </row>
        <row r="102">
          <cell r="C102" t="str">
            <v xml:space="preserve">Rp.  </v>
          </cell>
          <cell r="D102">
            <v>12059.932990794498</v>
          </cell>
          <cell r="E102" t="str">
            <v xml:space="preserve"> / M3</v>
          </cell>
        </row>
        <row r="105">
          <cell r="A105" t="str">
            <v>6.</v>
          </cell>
          <cell r="C105" t="str">
            <v>WAKTU PELAKSANAAN YANG DIPERLUKAN</v>
          </cell>
        </row>
        <row r="106">
          <cell r="C106" t="str">
            <v>Masa Pelaksanaan :</v>
          </cell>
          <cell r="D106" t="str">
            <v>. . . . . . . . . . . .</v>
          </cell>
          <cell r="E106" t="str">
            <v>bulan</v>
          </cell>
        </row>
        <row r="108">
          <cell r="A108" t="str">
            <v>7.</v>
          </cell>
          <cell r="C108" t="str">
            <v>VOLUME PEKERJAAN YANG DIPERLUKAN</v>
          </cell>
        </row>
        <row r="109">
          <cell r="C109" t="str">
            <v>Volume pekerjaan  :</v>
          </cell>
          <cell r="D109">
            <v>0</v>
          </cell>
          <cell r="E109" t="str">
            <v>M3</v>
          </cell>
        </row>
        <row r="121">
          <cell r="A121" t="str">
            <v>ITEM PEMBAYARAN NO.</v>
          </cell>
          <cell r="D121" t="str">
            <v>:  3.1 (2)</v>
          </cell>
          <cell r="J121" t="str">
            <v>Analisa EI-312</v>
          </cell>
          <cell r="T121" t="str">
            <v>Analisa EI-312</v>
          </cell>
        </row>
        <row r="122">
          <cell r="A122" t="str">
            <v>JENIS PEKERJAAN</v>
          </cell>
          <cell r="D122" t="str">
            <v>:  Galian Batu</v>
          </cell>
        </row>
        <row r="123">
          <cell r="A123" t="str">
            <v>SATUAN PEMBAYARAN</v>
          </cell>
          <cell r="D123" t="str">
            <v>:  M3</v>
          </cell>
          <cell r="H123" t="str">
            <v xml:space="preserve">         URAIAN ANALISA HARGA SATUAN</v>
          </cell>
          <cell r="L123" t="str">
            <v>FORMULIR STANDAR UNTUK</v>
          </cell>
        </row>
        <row r="124">
          <cell r="L124" t="str">
            <v>PEREKAMAN ANALISA MASING-MASING HARGA SATUAN</v>
          </cell>
        </row>
        <row r="125">
          <cell r="L125" t="str">
            <v xml:space="preserve">                                                                                                            </v>
          </cell>
        </row>
        <row r="126">
          <cell r="A126" t="str">
            <v>No.</v>
          </cell>
          <cell r="C126" t="str">
            <v>U R A I A N</v>
          </cell>
          <cell r="G126" t="str">
            <v>KODE</v>
          </cell>
          <cell r="H126" t="str">
            <v>KOEF.</v>
          </cell>
          <cell r="I126" t="str">
            <v>SATUAN</v>
          </cell>
          <cell r="J126" t="str">
            <v>KETERANGAN</v>
          </cell>
        </row>
        <row r="128">
          <cell r="L128" t="str">
            <v>PROYEK</v>
          </cell>
          <cell r="O128" t="str">
            <v>:</v>
          </cell>
        </row>
        <row r="129">
          <cell r="A129" t="str">
            <v>I.</v>
          </cell>
          <cell r="C129" t="str">
            <v>ASUMSI</v>
          </cell>
          <cell r="L129" t="str">
            <v>No. PAKET KONTRAK</v>
          </cell>
          <cell r="O129" t="str">
            <v>:</v>
          </cell>
        </row>
        <row r="130">
          <cell r="A130">
            <v>1</v>
          </cell>
          <cell r="C130" t="str">
            <v>Pekerjaan dilakukan secara manual</v>
          </cell>
          <cell r="L130" t="str">
            <v>NAMA PAKET</v>
          </cell>
          <cell r="O130" t="str">
            <v>:</v>
          </cell>
        </row>
        <row r="131">
          <cell r="A131">
            <v>2</v>
          </cell>
          <cell r="C131" t="str">
            <v>Lokasi pekerjaan : sepanjang jalan</v>
          </cell>
          <cell r="L131" t="str">
            <v>PROP / KAB / KODYA</v>
          </cell>
          <cell r="O131" t="str">
            <v>:</v>
          </cell>
        </row>
        <row r="132">
          <cell r="A132">
            <v>3</v>
          </cell>
          <cell r="C132" t="str">
            <v>Kondisi Jalan   :  sedang / baik</v>
          </cell>
          <cell r="L132" t="str">
            <v>ITEM PEMBAYARAN NO.</v>
          </cell>
          <cell r="O132" t="str">
            <v>:  3.1 (2)</v>
          </cell>
          <cell r="R132" t="str">
            <v>PERKIRAAN VOL. PEK.</v>
          </cell>
          <cell r="T132" t="str">
            <v>:</v>
          </cell>
          <cell r="U132">
            <v>0</v>
          </cell>
        </row>
        <row r="133">
          <cell r="A133">
            <v>4</v>
          </cell>
          <cell r="C133" t="str">
            <v>Jam kerja efektif per-hari</v>
          </cell>
          <cell r="G133" t="str">
            <v>Tk</v>
          </cell>
          <cell r="H133">
            <v>7</v>
          </cell>
          <cell r="I133" t="str">
            <v>Jam</v>
          </cell>
          <cell r="L133" t="str">
            <v>JENIS PEKERJAAN</v>
          </cell>
          <cell r="O133" t="str">
            <v>:  Galian Batu</v>
          </cell>
          <cell r="R133" t="str">
            <v>TOTAL HARGA (Rp.)</v>
          </cell>
          <cell r="T133" t="str">
            <v>:</v>
          </cell>
          <cell r="U133">
            <v>0</v>
          </cell>
        </row>
        <row r="134">
          <cell r="A134">
            <v>5</v>
          </cell>
          <cell r="C134" t="str">
            <v>Faktor pengembangan bahan</v>
          </cell>
          <cell r="G134" t="str">
            <v>Fk</v>
          </cell>
          <cell r="H134">
            <v>1.2</v>
          </cell>
          <cell r="I134" t="str">
            <v>-</v>
          </cell>
          <cell r="L134" t="str">
            <v>SATUAN PEMBAYARAN</v>
          </cell>
          <cell r="O134" t="str">
            <v>:  M3</v>
          </cell>
          <cell r="R134" t="str">
            <v>% THD. BIAYA PROYEK</v>
          </cell>
          <cell r="T134" t="str">
            <v>:</v>
          </cell>
          <cell r="U134" t="e">
            <v>#DIV/0!</v>
          </cell>
        </row>
        <row r="137">
          <cell r="A137" t="str">
            <v>II.</v>
          </cell>
          <cell r="C137" t="str">
            <v>URUTAN KERJA</v>
          </cell>
          <cell r="Q137" t="str">
            <v>PERKIRAAN</v>
          </cell>
          <cell r="R137" t="str">
            <v>HARGA</v>
          </cell>
          <cell r="S137" t="str">
            <v>JUMLAH</v>
          </cell>
        </row>
        <row r="138">
          <cell r="A138">
            <v>1</v>
          </cell>
          <cell r="C138" t="str">
            <v>Batu yg dipotong umumnya berada disisi jalan</v>
          </cell>
          <cell r="L138" t="str">
            <v>NO.</v>
          </cell>
          <cell r="N138" t="str">
            <v>KOMPONEN</v>
          </cell>
          <cell r="P138" t="str">
            <v>SATUAN</v>
          </cell>
          <cell r="Q138" t="str">
            <v>KUANTITAS</v>
          </cell>
          <cell r="R138" t="str">
            <v>SATUAN</v>
          </cell>
          <cell r="S138" t="str">
            <v>HARGA</v>
          </cell>
        </row>
        <row r="139">
          <cell r="A139">
            <v>2</v>
          </cell>
          <cell r="C139" t="str">
            <v>Penggalian dilakukan dengan Excavator, Compresor</v>
          </cell>
          <cell r="R139" t="str">
            <v>(Rp.)</v>
          </cell>
          <cell r="S139" t="str">
            <v>(Rp.)</v>
          </cell>
        </row>
        <row r="140">
          <cell r="C140" t="str">
            <v>dan Jack Hammer, dimuat ke dlm Truk dengan Loader.</v>
          </cell>
        </row>
        <row r="141">
          <cell r="A141">
            <v>3</v>
          </cell>
          <cell r="C141" t="str">
            <v>Dump Truck membuang material hasil galian keluar</v>
          </cell>
        </row>
        <row r="142">
          <cell r="C142" t="str">
            <v>lokasi jalan sejauh :</v>
          </cell>
          <cell r="G142" t="str">
            <v>L</v>
          </cell>
          <cell r="H142">
            <v>5</v>
          </cell>
          <cell r="I142" t="str">
            <v>Km</v>
          </cell>
          <cell r="L142" t="str">
            <v>A.</v>
          </cell>
          <cell r="N142" t="str">
            <v>TENAGA</v>
          </cell>
        </row>
        <row r="144">
          <cell r="L144" t="str">
            <v>1.</v>
          </cell>
          <cell r="N144" t="str">
            <v>Pekerja</v>
          </cell>
          <cell r="O144" t="str">
            <v>(L01)</v>
          </cell>
          <cell r="P144" t="str">
            <v>Jam</v>
          </cell>
          <cell r="Q144">
            <v>1</v>
          </cell>
          <cell r="R144">
            <v>2857.14</v>
          </cell>
          <cell r="U144">
            <v>2857.14</v>
          </cell>
        </row>
        <row r="145">
          <cell r="L145" t="str">
            <v>2.</v>
          </cell>
          <cell r="N145" t="str">
            <v>Mandor</v>
          </cell>
          <cell r="O145" t="str">
            <v>(L03)</v>
          </cell>
          <cell r="P145" t="str">
            <v>Jam</v>
          </cell>
          <cell r="Q145">
            <v>0.125</v>
          </cell>
          <cell r="R145">
            <v>3214.29</v>
          </cell>
          <cell r="U145">
            <v>401.78625</v>
          </cell>
        </row>
        <row r="146">
          <cell r="A146" t="str">
            <v>III.</v>
          </cell>
          <cell r="C146" t="str">
            <v>PEMAKAIAN BAHAN, ALAT DAN TENAGA</v>
          </cell>
        </row>
        <row r="148">
          <cell r="A148" t="str">
            <v xml:space="preserve">   1.</v>
          </cell>
          <cell r="C148" t="str">
            <v>BAHAN</v>
          </cell>
          <cell r="Q148" t="str">
            <v xml:space="preserve">JUMLAH HARGA TENAGA   </v>
          </cell>
          <cell r="U148">
            <v>3258.92625</v>
          </cell>
        </row>
        <row r="149">
          <cell r="C149" t="str">
            <v>Tidak ada bahan yang diperlukan</v>
          </cell>
        </row>
        <row r="150">
          <cell r="L150" t="str">
            <v>B.</v>
          </cell>
          <cell r="N150" t="str">
            <v>BAHAN</v>
          </cell>
        </row>
        <row r="152">
          <cell r="A152" t="str">
            <v xml:space="preserve">   2.</v>
          </cell>
          <cell r="C152" t="str">
            <v>ALAT</v>
          </cell>
        </row>
        <row r="153">
          <cell r="A153" t="str">
            <v xml:space="preserve">   2.a.</v>
          </cell>
          <cell r="C153" t="str">
            <v>COMPRESSOR, EXCAVATOR, JACK HAMMER &amp; LOADER</v>
          </cell>
          <cell r="J153" t="str">
            <v xml:space="preserve"> (E05/26/10/15)</v>
          </cell>
        </row>
        <row r="154">
          <cell r="C154" t="str">
            <v>Produksi per jam</v>
          </cell>
          <cell r="G154" t="str">
            <v>Q1</v>
          </cell>
          <cell r="H154">
            <v>8</v>
          </cell>
          <cell r="I154" t="str">
            <v>M3 / Jam</v>
          </cell>
        </row>
        <row r="156">
          <cell r="C156" t="str">
            <v>Koefisien Alat / m3</v>
          </cell>
          <cell r="D156" t="str">
            <v xml:space="preserve"> =  1  :  Q1</v>
          </cell>
          <cell r="G156" t="str">
            <v>(E05/26)</v>
          </cell>
          <cell r="H156">
            <v>0.125</v>
          </cell>
          <cell r="I156" t="str">
            <v>Jam</v>
          </cell>
        </row>
        <row r="158">
          <cell r="Q158" t="str">
            <v xml:space="preserve">JUMLAH HARGA BAHAN   </v>
          </cell>
          <cell r="U158">
            <v>0</v>
          </cell>
        </row>
        <row r="159">
          <cell r="A159" t="str">
            <v xml:space="preserve">   2.b.</v>
          </cell>
          <cell r="C159" t="str">
            <v>DUMP TRUCK</v>
          </cell>
          <cell r="G159" t="str">
            <v>(E08)</v>
          </cell>
        </row>
        <row r="160">
          <cell r="C160" t="str">
            <v>Kapasitas bak</v>
          </cell>
          <cell r="G160" t="str">
            <v>V</v>
          </cell>
          <cell r="H160">
            <v>4</v>
          </cell>
          <cell r="I160" t="str">
            <v>M3</v>
          </cell>
          <cell r="L160" t="str">
            <v>C.</v>
          </cell>
          <cell r="N160" t="str">
            <v>PERALATAN</v>
          </cell>
        </row>
        <row r="161">
          <cell r="C161" t="str">
            <v>Faktor  efisiensi alat</v>
          </cell>
          <cell r="G161" t="str">
            <v>Fa</v>
          </cell>
          <cell r="H161">
            <v>0.83</v>
          </cell>
          <cell r="I161" t="str">
            <v>-</v>
          </cell>
          <cell r="L161" t="str">
            <v>1.</v>
          </cell>
          <cell r="N161" t="str">
            <v>Compressor</v>
          </cell>
          <cell r="O161" t="str">
            <v>(E05)</v>
          </cell>
          <cell r="P161" t="str">
            <v>Jam</v>
          </cell>
          <cell r="Q161">
            <v>0.125</v>
          </cell>
          <cell r="R161">
            <v>53840.365312835944</v>
          </cell>
          <cell r="U161">
            <v>6730.045664104493</v>
          </cell>
        </row>
        <row r="162">
          <cell r="C162" t="str">
            <v>Kecepatan rata-rata bermuatan</v>
          </cell>
          <cell r="G162" t="str">
            <v>v1</v>
          </cell>
          <cell r="H162">
            <v>45</v>
          </cell>
          <cell r="I162" t="str">
            <v>KM/Jam</v>
          </cell>
          <cell r="L162" t="str">
            <v>2.</v>
          </cell>
          <cell r="N162" t="str">
            <v>Jack Hammer</v>
          </cell>
          <cell r="O162" t="str">
            <v>(E26)</v>
          </cell>
          <cell r="P162" t="str">
            <v>Jam</v>
          </cell>
          <cell r="Q162">
            <v>0.125</v>
          </cell>
          <cell r="R162">
            <v>16417.550326811437</v>
          </cell>
          <cell r="U162">
            <v>2052.1937908514296</v>
          </cell>
        </row>
        <row r="163">
          <cell r="C163" t="str">
            <v>Kecepatan rata-rata kosong</v>
          </cell>
          <cell r="G163" t="str">
            <v>v2</v>
          </cell>
          <cell r="H163">
            <v>60</v>
          </cell>
          <cell r="I163" t="str">
            <v>KM/Jam</v>
          </cell>
          <cell r="L163" t="str">
            <v>3.</v>
          </cell>
          <cell r="N163" t="str">
            <v>Wheel Loader</v>
          </cell>
          <cell r="O163" t="str">
            <v>(E15)</v>
          </cell>
          <cell r="P163" t="str">
            <v>Jam</v>
          </cell>
          <cell r="Q163">
            <v>0.125</v>
          </cell>
          <cell r="R163">
            <v>163808.13869490434</v>
          </cell>
          <cell r="U163">
            <v>20476.017336863042</v>
          </cell>
        </row>
        <row r="164">
          <cell r="C164" t="str">
            <v>Waktu  siklus</v>
          </cell>
          <cell r="G164" t="str">
            <v>Ts1</v>
          </cell>
          <cell r="I164" t="str">
            <v>menit</v>
          </cell>
          <cell r="L164" t="str">
            <v>4.</v>
          </cell>
          <cell r="N164" t="str">
            <v>Excavator</v>
          </cell>
          <cell r="O164" t="str">
            <v>(E10)</v>
          </cell>
          <cell r="P164" t="str">
            <v>Jam</v>
          </cell>
          <cell r="Q164">
            <v>0.125</v>
          </cell>
          <cell r="R164">
            <v>238185.05650827778</v>
          </cell>
          <cell r="U164">
            <v>29773.132063534722</v>
          </cell>
        </row>
        <row r="165">
          <cell r="C165" t="str">
            <v>- Waktu tempuh isi</v>
          </cell>
          <cell r="E165" t="str">
            <v>=   (L  :  v1)  x  60</v>
          </cell>
          <cell r="G165" t="str">
            <v>T1</v>
          </cell>
          <cell r="H165">
            <v>6.6666666666666661</v>
          </cell>
          <cell r="I165" t="str">
            <v>menit</v>
          </cell>
          <cell r="L165">
            <v>5</v>
          </cell>
          <cell r="N165" t="str">
            <v>Dump Truck</v>
          </cell>
          <cell r="O165" t="str">
            <v>(E08)</v>
          </cell>
          <cell r="P165" t="str">
            <v>Jam</v>
          </cell>
          <cell r="Q165">
            <v>0.26305220883534136</v>
          </cell>
          <cell r="R165">
            <v>153645.58193291764</v>
          </cell>
          <cell r="U165">
            <v>40416.809705245403</v>
          </cell>
        </row>
        <row r="166">
          <cell r="C166" t="str">
            <v>- Waktu tempuh kosong</v>
          </cell>
          <cell r="E166" t="str">
            <v>=   (L  :  v2)  x  60</v>
          </cell>
          <cell r="G166" t="str">
            <v>T2</v>
          </cell>
          <cell r="H166">
            <v>5</v>
          </cell>
          <cell r="I166" t="str">
            <v>menit</v>
          </cell>
          <cell r="N166" t="str">
            <v>Alat  bantu</v>
          </cell>
          <cell r="P166" t="str">
            <v>Ls</v>
          </cell>
          <cell r="Q166">
            <v>1</v>
          </cell>
          <cell r="R166">
            <v>225</v>
          </cell>
          <cell r="U166">
            <v>225</v>
          </cell>
        </row>
        <row r="167">
          <cell r="C167" t="str">
            <v>- Muat</v>
          </cell>
          <cell r="E167" t="str">
            <v>=   (V  :  Q1) x 60</v>
          </cell>
          <cell r="G167" t="str">
            <v>T3</v>
          </cell>
          <cell r="H167">
            <v>30</v>
          </cell>
          <cell r="I167" t="str">
            <v>menit</v>
          </cell>
        </row>
        <row r="168">
          <cell r="C168" t="str">
            <v>- Lain-lain</v>
          </cell>
          <cell r="G168" t="str">
            <v>T4</v>
          </cell>
          <cell r="H168">
            <v>2</v>
          </cell>
          <cell r="I168" t="str">
            <v>menit</v>
          </cell>
        </row>
        <row r="169">
          <cell r="G169" t="str">
            <v>Ts1</v>
          </cell>
          <cell r="H169">
            <v>43.666666666666664</v>
          </cell>
          <cell r="I169" t="str">
            <v>menit</v>
          </cell>
        </row>
        <row r="170">
          <cell r="Q170" t="str">
            <v xml:space="preserve">JUMLAH HARGA PERALATAN   </v>
          </cell>
          <cell r="U170">
            <v>99673.198560599092</v>
          </cell>
        </row>
        <row r="172">
          <cell r="C172" t="str">
            <v>Kapasitas Produksi / Jam   =</v>
          </cell>
          <cell r="E172" t="str">
            <v>V x Fa x 60</v>
          </cell>
          <cell r="G172" t="str">
            <v>Q2</v>
          </cell>
          <cell r="H172">
            <v>3.8015267175572518</v>
          </cell>
          <cell r="I172" t="str">
            <v xml:space="preserve">M3 / Jam </v>
          </cell>
          <cell r="L172" t="str">
            <v>D.</v>
          </cell>
          <cell r="N172" t="str">
            <v>JUMLAH HARGA TENAGA, BAHAN DAN PERALATAN  ( A + B + C )</v>
          </cell>
          <cell r="U172">
            <v>102932.1248105991</v>
          </cell>
        </row>
        <row r="173">
          <cell r="E173" t="str">
            <v xml:space="preserve">    Fk x Ts1</v>
          </cell>
          <cell r="L173" t="str">
            <v>E.</v>
          </cell>
          <cell r="N173" t="str">
            <v>OVERHEAD &amp; PROFIT</v>
          </cell>
          <cell r="P173">
            <v>10</v>
          </cell>
          <cell r="Q173" t="str">
            <v>%  x  D</v>
          </cell>
          <cell r="U173">
            <v>10293.212481059911</v>
          </cell>
        </row>
        <row r="174">
          <cell r="L174" t="str">
            <v>F.</v>
          </cell>
          <cell r="N174" t="str">
            <v>HARGA SATUAN PEKERJAAN  ( D + E )</v>
          </cell>
          <cell r="U174">
            <v>113225.337291659</v>
          </cell>
        </row>
        <row r="175">
          <cell r="L175" t="str">
            <v>Note: 1</v>
          </cell>
          <cell r="N175" t="str">
            <v>SATUAN dapat berdasarkan atas jam operasi untuk Tenaga Kerja dan Peralatan, volume dan/atau ukuran</v>
          </cell>
        </row>
        <row r="176">
          <cell r="C176" t="str">
            <v>Koefisien Alat / m3</v>
          </cell>
          <cell r="D176" t="str">
            <v xml:space="preserve"> =  1  :  Q2</v>
          </cell>
          <cell r="G176" t="str">
            <v>(E08)</v>
          </cell>
          <cell r="H176">
            <v>0.26305220883534136</v>
          </cell>
          <cell r="I176" t="str">
            <v>Jam</v>
          </cell>
          <cell r="N176" t="str">
            <v>berat untuk bahan-bahan.</v>
          </cell>
        </row>
        <row r="177">
          <cell r="L177">
            <v>2</v>
          </cell>
          <cell r="N177" t="str">
            <v>Kuantitas satuan adalah kuantitas setiap komponen untuk menyelesaikan satu satuan pekerjaan dari nomor</v>
          </cell>
        </row>
        <row r="178">
          <cell r="N178" t="str">
            <v>mata pembayaran.</v>
          </cell>
        </row>
        <row r="179">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halaman berikut</v>
          </cell>
          <cell r="N181" t="str">
            <v>yang dibayar dari kontrak) dan biaya-biaya lainnya.</v>
          </cell>
        </row>
        <row r="182">
          <cell r="A182" t="str">
            <v>ITEM PEMBAYARAN NO.</v>
          </cell>
          <cell r="D182" t="str">
            <v>:  3.1 (2)</v>
          </cell>
          <cell r="J182" t="str">
            <v>Analisa EI-312</v>
          </cell>
        </row>
        <row r="183">
          <cell r="A183" t="str">
            <v>JENIS PEKERJAAN</v>
          </cell>
          <cell r="D183" t="str">
            <v>:  Galian Batu</v>
          </cell>
        </row>
        <row r="184">
          <cell r="A184" t="str">
            <v>SATUAN PEMBAYARAN</v>
          </cell>
          <cell r="D184" t="str">
            <v>:  M3</v>
          </cell>
          <cell r="H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0">
          <cell r="A190" t="str">
            <v>2.d.</v>
          </cell>
          <cell r="C190" t="str">
            <v>ALAT  BANTU</v>
          </cell>
        </row>
        <row r="191">
          <cell r="C191" t="str">
            <v>Diperlukan alat-alat bantu kecil</v>
          </cell>
          <cell r="J191" t="str">
            <v>Lump Sump</v>
          </cell>
        </row>
        <row r="192">
          <cell r="C192" t="str">
            <v>- Pahat / Tatah</v>
          </cell>
          <cell r="D192" t="str">
            <v>=  2  buah</v>
          </cell>
        </row>
        <row r="193">
          <cell r="C193" t="str">
            <v>- Palu Besar</v>
          </cell>
          <cell r="D193" t="str">
            <v>=  2  buah</v>
          </cell>
        </row>
        <row r="195">
          <cell r="A195" t="str">
            <v xml:space="preserve">   3.</v>
          </cell>
          <cell r="C195" t="str">
            <v>TENAGA</v>
          </cell>
        </row>
        <row r="196">
          <cell r="C196" t="str">
            <v>Produksi menentukan : JACK HAMMER</v>
          </cell>
          <cell r="G196" t="str">
            <v>Q1</v>
          </cell>
          <cell r="H196">
            <v>8</v>
          </cell>
          <cell r="I196" t="str">
            <v>M3/Jam</v>
          </cell>
        </row>
        <row r="197">
          <cell r="C197" t="str">
            <v>Produksi Galian / hari  =  Tk x Q1</v>
          </cell>
          <cell r="G197" t="str">
            <v>Qt</v>
          </cell>
          <cell r="H197">
            <v>56</v>
          </cell>
          <cell r="I197" t="str">
            <v>M3</v>
          </cell>
        </row>
        <row r="198">
          <cell r="C198" t="str">
            <v>Kebutuhan tenaga :</v>
          </cell>
        </row>
        <row r="199">
          <cell r="D199" t="str">
            <v>- Pekerja</v>
          </cell>
          <cell r="G199" t="str">
            <v>P</v>
          </cell>
          <cell r="H199">
            <v>8</v>
          </cell>
          <cell r="I199" t="str">
            <v>orang</v>
          </cell>
        </row>
        <row r="200">
          <cell r="D200" t="str">
            <v>- Mandor</v>
          </cell>
          <cell r="G200" t="str">
            <v>M</v>
          </cell>
          <cell r="H200">
            <v>1</v>
          </cell>
          <cell r="I200" t="str">
            <v>orang</v>
          </cell>
        </row>
        <row r="202">
          <cell r="C202" t="str">
            <v>Koefisien tenaga / M3   :</v>
          </cell>
        </row>
        <row r="203">
          <cell r="D203" t="str">
            <v>- Pekerja</v>
          </cell>
          <cell r="E203" t="str">
            <v>= (Tk x P) : Qt</v>
          </cell>
          <cell r="G203" t="str">
            <v>(L01)</v>
          </cell>
          <cell r="H203">
            <v>1</v>
          </cell>
          <cell r="I203" t="str">
            <v>Jam</v>
          </cell>
        </row>
        <row r="204">
          <cell r="D204" t="str">
            <v>- Mandor</v>
          </cell>
          <cell r="E204" t="str">
            <v>= (Tk x M) : Qt</v>
          </cell>
          <cell r="G204" t="str">
            <v>(L03)</v>
          </cell>
          <cell r="H204">
            <v>0.125</v>
          </cell>
          <cell r="I204" t="str">
            <v>Jam</v>
          </cell>
        </row>
        <row r="206">
          <cell r="A206" t="str">
            <v>4.</v>
          </cell>
          <cell r="C206" t="str">
            <v>HARGA DASAR SATUAN UPAH, BAHAN DAN ALAT</v>
          </cell>
        </row>
        <row r="207">
          <cell r="C207" t="str">
            <v>Lihat lampiran.</v>
          </cell>
        </row>
        <row r="209">
          <cell r="A209" t="str">
            <v>5.</v>
          </cell>
          <cell r="C209" t="str">
            <v>ANALISA HARGA SATUAN PEKERJAAN</v>
          </cell>
        </row>
        <row r="210">
          <cell r="C210" t="str">
            <v>Lihat perhitungan dalam FORMULIR STANDAR UNTUK</v>
          </cell>
        </row>
        <row r="211">
          <cell r="C211" t="str">
            <v>PEREKEMAN ANALISA MASING-MASING HARGA</v>
          </cell>
        </row>
        <row r="212">
          <cell r="C212" t="str">
            <v>SATUAN.</v>
          </cell>
        </row>
        <row r="213">
          <cell r="C213" t="str">
            <v>Didapat Harga Satuan Pekerjaan :</v>
          </cell>
        </row>
        <row r="215">
          <cell r="C215" t="str">
            <v xml:space="preserve">Rp.  </v>
          </cell>
          <cell r="D215">
            <v>113225.337291659</v>
          </cell>
          <cell r="E215" t="str">
            <v xml:space="preserve"> / M3</v>
          </cell>
        </row>
        <row r="218">
          <cell r="A218" t="str">
            <v>6.</v>
          </cell>
          <cell r="C218" t="str">
            <v>WAKTU PELAKSANAAN YANG DIPERLUKAN</v>
          </cell>
        </row>
        <row r="219">
          <cell r="C219" t="str">
            <v>Masa Pelaksanaan :</v>
          </cell>
          <cell r="D219" t="str">
            <v>. . . . . . . . . . . .</v>
          </cell>
          <cell r="E219" t="str">
            <v>bulan</v>
          </cell>
        </row>
        <row r="221">
          <cell r="A221" t="str">
            <v>7.</v>
          </cell>
          <cell r="C221" t="str">
            <v>VOLUME PEKERJAAN YANG DIPERLUKAN</v>
          </cell>
        </row>
        <row r="222">
          <cell r="C222" t="str">
            <v>Volume pekerjaan  :</v>
          </cell>
          <cell r="D222">
            <v>0</v>
          </cell>
          <cell r="E222" t="str">
            <v>M3</v>
          </cell>
        </row>
        <row r="241">
          <cell r="A241" t="str">
            <v>ITEM PEMBAYARAN NO.</v>
          </cell>
          <cell r="D241" t="str">
            <v>:  3.1 (3)</v>
          </cell>
          <cell r="J241" t="str">
            <v>Analisa EI-313</v>
          </cell>
        </row>
        <row r="242">
          <cell r="A242" t="str">
            <v>JENIS PEKERJAAN</v>
          </cell>
          <cell r="D242" t="str">
            <v>:  Galian untuk dibuang (maksimum radius 5 km)</v>
          </cell>
        </row>
        <row r="243">
          <cell r="A243" t="str">
            <v>SATUAN PEMBAYARAN</v>
          </cell>
          <cell r="D243" t="str">
            <v>:  M3</v>
          </cell>
          <cell r="H243" t="str">
            <v xml:space="preserve">         URAIAN ANALISA HARGA SATUAN</v>
          </cell>
        </row>
        <row r="245">
          <cell r="A245" t="str">
            <v>ITEM PEMBAYARAN NO.</v>
          </cell>
          <cell r="D245" t="str">
            <v>:  3.1 (4)</v>
          </cell>
          <cell r="J245" t="str">
            <v>Analisa EI-313</v>
          </cell>
        </row>
        <row r="246">
          <cell r="A246" t="str">
            <v>JENIS PEKERJAAN</v>
          </cell>
          <cell r="D246" t="str">
            <v>: Galian borrow yang lokasinya disediakan oleh proyek</v>
          </cell>
        </row>
        <row r="247">
          <cell r="A247" t="str">
            <v>SATUAN PEMBAYARAN</v>
          </cell>
          <cell r="D247" t="str">
            <v>:  M3</v>
          </cell>
          <cell r="H247" t="str">
            <v xml:space="preserve">         URAIAN ANALISA HARGA SATUAN</v>
          </cell>
        </row>
        <row r="249">
          <cell r="A249" t="str">
            <v>ITEM PEMBAYARAN NO.</v>
          </cell>
          <cell r="D249" t="str">
            <v>:  3.1 (5)</v>
          </cell>
          <cell r="J249" t="str">
            <v>Analisa EI-313</v>
          </cell>
        </row>
        <row r="250">
          <cell r="A250" t="str">
            <v>JENIS PEKERJAAN</v>
          </cell>
          <cell r="D250" t="str">
            <v>: Galian borrow yang lokasinya disediakan oleh Penyedia Jasa</v>
          </cell>
        </row>
        <row r="251">
          <cell r="A251" t="str">
            <v>SATUAN PEMBAYARAN</v>
          </cell>
          <cell r="D251" t="str">
            <v>:  M3</v>
          </cell>
          <cell r="H251" t="str">
            <v xml:space="preserve">         URAIAN ANALISA HARGA SATUAN</v>
          </cell>
        </row>
        <row r="255">
          <cell r="A255" t="str">
            <v>ITEM PEMBAYARAN NO.</v>
          </cell>
          <cell r="D255" t="str">
            <v>:  3.1 (6)</v>
          </cell>
          <cell r="J255" t="str">
            <v>Analisa EI-313</v>
          </cell>
          <cell r="T255" t="str">
            <v>Analisa EI-313</v>
          </cell>
        </row>
        <row r="256">
          <cell r="A256" t="str">
            <v>JENIS PEKERJAAN</v>
          </cell>
          <cell r="D256" t="str">
            <v>:  Galian Struktur dengan Kedalaman 0 - 2 M</v>
          </cell>
        </row>
        <row r="257">
          <cell r="A257" t="str">
            <v>SATUAN PEMBAYARAN</v>
          </cell>
          <cell r="D257" t="str">
            <v>:  M3</v>
          </cell>
          <cell r="H257" t="str">
            <v xml:space="preserve">         URAIAN ANALISA HARGA SATUAN</v>
          </cell>
          <cell r="L257" t="str">
            <v>FORMULIR STANDAR UNTUK</v>
          </cell>
        </row>
        <row r="258">
          <cell r="L258" t="str">
            <v>PEREKAMAN ANALISA MASING-MASING HARGA SATUAN</v>
          </cell>
        </row>
        <row r="259">
          <cell r="L259" t="str">
            <v xml:space="preserve">                                                                                                            </v>
          </cell>
        </row>
        <row r="260">
          <cell r="A260" t="str">
            <v>No.</v>
          </cell>
          <cell r="C260" t="str">
            <v>U R A I A N</v>
          </cell>
          <cell r="G260" t="str">
            <v>KODE</v>
          </cell>
          <cell r="H260" t="str">
            <v>KOEF.</v>
          </cell>
          <cell r="I260" t="str">
            <v>SATUAN</v>
          </cell>
          <cell r="J260" t="str">
            <v>KETERANGAN</v>
          </cell>
        </row>
        <row r="262">
          <cell r="L262" t="str">
            <v>PROYEK</v>
          </cell>
          <cell r="O262" t="str">
            <v>:</v>
          </cell>
        </row>
        <row r="263">
          <cell r="A263" t="str">
            <v>I.</v>
          </cell>
          <cell r="C263" t="str">
            <v>ASUMSI</v>
          </cell>
          <cell r="L263" t="str">
            <v>No. PAKET KONTRAK</v>
          </cell>
          <cell r="O263" t="str">
            <v>:</v>
          </cell>
        </row>
        <row r="264">
          <cell r="A264">
            <v>1</v>
          </cell>
          <cell r="C264" t="str">
            <v>Pekerjaan dilakukan secara manual</v>
          </cell>
          <cell r="L264" t="str">
            <v>NAMA PAKET</v>
          </cell>
          <cell r="O264" t="str">
            <v>:</v>
          </cell>
        </row>
        <row r="265">
          <cell r="A265">
            <v>2</v>
          </cell>
          <cell r="C265" t="str">
            <v>Lokasi pekerjaan : sekitar jembatan</v>
          </cell>
          <cell r="L265" t="str">
            <v>PROP / KAB / KODYA</v>
          </cell>
          <cell r="O265" t="str">
            <v>:</v>
          </cell>
        </row>
        <row r="266">
          <cell r="A266">
            <v>3</v>
          </cell>
          <cell r="C266" t="str">
            <v>Kondisi Jalan   :  sedang / baik</v>
          </cell>
          <cell r="L266" t="str">
            <v>ITEM PEMBAYARAN NO.</v>
          </cell>
          <cell r="O266" t="str">
            <v>:  3.1 (6)</v>
          </cell>
          <cell r="R266" t="str">
            <v>PERKIRAAN VOL. PEK.</v>
          </cell>
          <cell r="T266" t="str">
            <v>:</v>
          </cell>
          <cell r="U266">
            <v>0</v>
          </cell>
        </row>
        <row r="267">
          <cell r="A267">
            <v>4</v>
          </cell>
          <cell r="C267" t="str">
            <v>Jam kerja efektif per-hari</v>
          </cell>
          <cell r="G267" t="str">
            <v>Tk</v>
          </cell>
          <cell r="H267">
            <v>7</v>
          </cell>
          <cell r="I267" t="str">
            <v>Jam</v>
          </cell>
          <cell r="L267" t="str">
            <v>JENIS PEKERJAAN</v>
          </cell>
          <cell r="O267" t="str">
            <v>:  Galian Struktur dengan Kedalaman 0 - 2 M</v>
          </cell>
          <cell r="R267" t="str">
            <v>TOTAL HARGA (Rp.)</v>
          </cell>
          <cell r="T267" t="str">
            <v>:</v>
          </cell>
          <cell r="U267">
            <v>0</v>
          </cell>
        </row>
        <row r="268">
          <cell r="A268">
            <v>5</v>
          </cell>
          <cell r="C268" t="str">
            <v>Faktor pengembangan bahan</v>
          </cell>
          <cell r="G268" t="str">
            <v>Fh</v>
          </cell>
          <cell r="H268">
            <v>1.2</v>
          </cell>
          <cell r="I268" t="str">
            <v>-</v>
          </cell>
          <cell r="L268" t="str">
            <v>SATUAN PEMBAYARAN</v>
          </cell>
          <cell r="O268" t="str">
            <v>:  M3</v>
          </cell>
          <cell r="R268" t="str">
            <v>% THD. BIAYA PROYEK</v>
          </cell>
          <cell r="T268" t="str">
            <v>:</v>
          </cell>
          <cell r="U268" t="e">
            <v>#DIV/0!</v>
          </cell>
        </row>
        <row r="269">
          <cell r="A269">
            <v>6</v>
          </cell>
          <cell r="C269" t="str">
            <v>Pengurugan kembali (backfill) untuk struktur</v>
          </cell>
          <cell r="G269" t="str">
            <v>Uk</v>
          </cell>
          <cell r="H269">
            <v>50</v>
          </cell>
          <cell r="I269" t="str">
            <v>%/M3</v>
          </cell>
        </row>
        <row r="271">
          <cell r="A271" t="str">
            <v>II.</v>
          </cell>
          <cell r="C271" t="str">
            <v>METHODE PELAKSANAAN</v>
          </cell>
          <cell r="Q271" t="str">
            <v>PERKIRAAN</v>
          </cell>
          <cell r="R271" t="str">
            <v>HARGA</v>
          </cell>
          <cell r="S271" t="str">
            <v>JUMLAH</v>
          </cell>
        </row>
        <row r="272">
          <cell r="A272">
            <v>1</v>
          </cell>
          <cell r="C272" t="str">
            <v>Tanah yang dipotong berada disekitar lokasi</v>
          </cell>
          <cell r="L272" t="str">
            <v>NO.</v>
          </cell>
          <cell r="N272" t="str">
            <v>KOMPONEN</v>
          </cell>
          <cell r="P272" t="str">
            <v>SATUAN</v>
          </cell>
          <cell r="Q272" t="str">
            <v>KUANTITAS</v>
          </cell>
          <cell r="R272" t="str">
            <v>SATUAN</v>
          </cell>
          <cell r="S272" t="str">
            <v>HARGA</v>
          </cell>
        </row>
        <row r="273">
          <cell r="A273">
            <v>2</v>
          </cell>
          <cell r="C273" t="str">
            <v>Penggalian dilakukan dengan menggunakan alat</v>
          </cell>
          <cell r="R273" t="str">
            <v>(Rp.)</v>
          </cell>
          <cell r="S273" t="str">
            <v>(Rp.)</v>
          </cell>
        </row>
        <row r="274">
          <cell r="C274" t="str">
            <v>Excavator</v>
          </cell>
        </row>
        <row r="275">
          <cell r="A275">
            <v>3</v>
          </cell>
          <cell r="C275" t="str">
            <v>Bulldozer mengangkut/mengusur hasil galian ke tempat</v>
          </cell>
        </row>
        <row r="276">
          <cell r="C276" t="str">
            <v>pembuangan di sekitar lokasi pekerjaan</v>
          </cell>
          <cell r="G276" t="str">
            <v>L</v>
          </cell>
          <cell r="H276">
            <v>0.1</v>
          </cell>
          <cell r="I276" t="str">
            <v>Km</v>
          </cell>
          <cell r="L276" t="str">
            <v>A.</v>
          </cell>
          <cell r="N276" t="str">
            <v>TENAGA</v>
          </cell>
        </row>
        <row r="278">
          <cell r="A278" t="str">
            <v>III.</v>
          </cell>
          <cell r="C278" t="str">
            <v>PEMAKAIAN BAHAN, ALAT DAN TENAGA</v>
          </cell>
          <cell r="L278" t="str">
            <v>1.</v>
          </cell>
          <cell r="N278" t="str">
            <v>Pekerja</v>
          </cell>
          <cell r="O278" t="str">
            <v>(L01)</v>
          </cell>
          <cell r="P278" t="str">
            <v>Jam</v>
          </cell>
          <cell r="Q278">
            <v>0.12701025480797318</v>
          </cell>
          <cell r="R278">
            <v>2857.14</v>
          </cell>
          <cell r="U278">
            <v>362.88607942205249</v>
          </cell>
        </row>
        <row r="279">
          <cell r="L279" t="str">
            <v>2.</v>
          </cell>
          <cell r="N279" t="str">
            <v>Mandor</v>
          </cell>
          <cell r="O279" t="str">
            <v>(L03)</v>
          </cell>
          <cell r="P279" t="str">
            <v>Jam</v>
          </cell>
          <cell r="Q279">
            <v>3.1752563701993294E-2</v>
          </cell>
          <cell r="R279">
            <v>3214.29</v>
          </cell>
          <cell r="U279">
            <v>102.06194798168002</v>
          </cell>
        </row>
        <row r="280">
          <cell r="A280" t="str">
            <v xml:space="preserve">   1.</v>
          </cell>
          <cell r="C280" t="str">
            <v>BAHAN</v>
          </cell>
        </row>
        <row r="281">
          <cell r="C281" t="str">
            <v>- Urugan Pilihan (untuk backfill)</v>
          </cell>
          <cell r="E281" t="str">
            <v>= Uk x 1M3</v>
          </cell>
          <cell r="G281" t="str">
            <v>(EI-322)</v>
          </cell>
          <cell r="H281">
            <v>0.5</v>
          </cell>
          <cell r="I281" t="str">
            <v>M3</v>
          </cell>
        </row>
        <row r="282">
          <cell r="Q282" t="str">
            <v xml:space="preserve">JUMLAH HARGA TENAGA   </v>
          </cell>
          <cell r="U282">
            <v>464.94802740373251</v>
          </cell>
        </row>
        <row r="283">
          <cell r="A283" t="str">
            <v xml:space="preserve">   2.</v>
          </cell>
          <cell r="C283" t="str">
            <v>ALAT</v>
          </cell>
        </row>
        <row r="284">
          <cell r="A284" t="str">
            <v xml:space="preserve">   2.a.</v>
          </cell>
          <cell r="C284" t="str">
            <v>EXCAVATOR</v>
          </cell>
          <cell r="G284" t="str">
            <v>(E10)</v>
          </cell>
          <cell r="L284" t="str">
            <v>B.</v>
          </cell>
          <cell r="N284" t="str">
            <v>BAHAN</v>
          </cell>
        </row>
        <row r="285">
          <cell r="C285" t="str">
            <v>Kapasitas Bucket</v>
          </cell>
          <cell r="G285" t="str">
            <v>V</v>
          </cell>
          <cell r="H285">
            <v>0.93</v>
          </cell>
          <cell r="I285" t="str">
            <v>M3</v>
          </cell>
        </row>
        <row r="286">
          <cell r="C286" t="str">
            <v>Faktor Bucket</v>
          </cell>
          <cell r="G286" t="str">
            <v>Fb</v>
          </cell>
          <cell r="H286">
            <v>0.9</v>
          </cell>
          <cell r="I286" t="str">
            <v>-</v>
          </cell>
          <cell r="L286" t="str">
            <v>1.</v>
          </cell>
          <cell r="N286" t="str">
            <v xml:space="preserve">Urugan Pilihan </v>
          </cell>
          <cell r="O286" t="str">
            <v>(EI-322)</v>
          </cell>
          <cell r="P286" t="str">
            <v>M3</v>
          </cell>
          <cell r="Q286">
            <v>0.5</v>
          </cell>
          <cell r="R286">
            <v>455558.60740011773</v>
          </cell>
          <cell r="U286">
            <v>227779.30370005887</v>
          </cell>
        </row>
        <row r="287">
          <cell r="C287" t="str">
            <v>Faktor  Efisiensi alat</v>
          </cell>
          <cell r="G287" t="str">
            <v>Fa</v>
          </cell>
          <cell r="H287">
            <v>0.83</v>
          </cell>
          <cell r="I287" t="str">
            <v>-</v>
          </cell>
        </row>
        <row r="288">
          <cell r="C288" t="str">
            <v>Faktor kedalaman</v>
          </cell>
          <cell r="G288" t="str">
            <v>Fd</v>
          </cell>
          <cell r="H288">
            <v>0.8</v>
          </cell>
          <cell r="I288" t="str">
            <v>-</v>
          </cell>
        </row>
        <row r="289">
          <cell r="C289" t="str">
            <v>Berat isi material</v>
          </cell>
          <cell r="G289" t="str">
            <v>Bim</v>
          </cell>
          <cell r="H289">
            <v>0.85</v>
          </cell>
          <cell r="I289" t="str">
            <v>-</v>
          </cell>
        </row>
        <row r="291">
          <cell r="C291" t="str">
            <v>Waktu siklus</v>
          </cell>
        </row>
        <row r="292">
          <cell r="C292" t="str">
            <v>- Menggali / memuat</v>
          </cell>
          <cell r="G292" t="str">
            <v>Te1</v>
          </cell>
          <cell r="H292">
            <v>0.5</v>
          </cell>
          <cell r="I292" t="str">
            <v>menit</v>
          </cell>
          <cell r="Q292" t="str">
            <v xml:space="preserve">JUMLAH HARGA BAHAN   </v>
          </cell>
          <cell r="U292">
            <v>227779.30370005887</v>
          </cell>
        </row>
        <row r="293">
          <cell r="C293" t="str">
            <v>- Lain-lain</v>
          </cell>
          <cell r="G293" t="str">
            <v>Te2</v>
          </cell>
          <cell r="H293">
            <v>0.25</v>
          </cell>
          <cell r="I293" t="str">
            <v>menit</v>
          </cell>
        </row>
        <row r="294">
          <cell r="G294" t="str">
            <v>Te</v>
          </cell>
          <cell r="H294">
            <v>0.75</v>
          </cell>
          <cell r="I294" t="str">
            <v>menit</v>
          </cell>
          <cell r="L294" t="str">
            <v>C.</v>
          </cell>
          <cell r="N294" t="str">
            <v>PERALATAN</v>
          </cell>
        </row>
        <row r="295">
          <cell r="L295" t="str">
            <v>1.</v>
          </cell>
          <cell r="N295" t="str">
            <v>Excavator</v>
          </cell>
          <cell r="O295" t="str">
            <v>(E10)</v>
          </cell>
          <cell r="P295" t="str">
            <v>Jam</v>
          </cell>
          <cell r="Q295">
            <v>3.1752563701993294E-2</v>
          </cell>
          <cell r="R295">
            <v>238185.05650827778</v>
          </cell>
          <cell r="U295">
            <v>7562.9861796419627</v>
          </cell>
        </row>
        <row r="296">
          <cell r="L296" t="str">
            <v>2.</v>
          </cell>
          <cell r="N296" t="str">
            <v>Bulldozer</v>
          </cell>
          <cell r="O296" t="str">
            <v>(E04)</v>
          </cell>
          <cell r="P296" t="str">
            <v>Jam</v>
          </cell>
          <cell r="Q296">
            <v>1.0213694283306062E-4</v>
          </cell>
          <cell r="R296">
            <v>256721.09983229413</v>
          </cell>
          <cell r="U296">
            <v>26.220708297611473</v>
          </cell>
        </row>
        <row r="297">
          <cell r="C297" t="str">
            <v>Kap. Prod. / jam =</v>
          </cell>
          <cell r="D297" t="str">
            <v>V  x Fb x Fa x Fd x Bim x 60</v>
          </cell>
          <cell r="G297" t="str">
            <v>Q1</v>
          </cell>
          <cell r="H297">
            <v>31.493520000000004</v>
          </cell>
          <cell r="I297" t="str">
            <v>M3/Jam</v>
          </cell>
          <cell r="L297" t="str">
            <v>3.</v>
          </cell>
          <cell r="N297" t="str">
            <v>Alat  bantu</v>
          </cell>
          <cell r="P297" t="str">
            <v>Ls</v>
          </cell>
          <cell r="Q297">
            <v>1</v>
          </cell>
          <cell r="R297">
            <v>100</v>
          </cell>
          <cell r="U297">
            <v>100</v>
          </cell>
        </row>
        <row r="298">
          <cell r="D298" t="str">
            <v>Te x Fh</v>
          </cell>
        </row>
        <row r="300">
          <cell r="C300" t="str">
            <v>Koefisien Alat / M3</v>
          </cell>
          <cell r="D300" t="str">
            <v xml:space="preserve"> =  1  :  Q1</v>
          </cell>
          <cell r="G300" t="str">
            <v>(E10)</v>
          </cell>
          <cell r="H300">
            <v>3.1752563701993294E-2</v>
          </cell>
          <cell r="I300" t="str">
            <v>Jam</v>
          </cell>
        </row>
        <row r="303">
          <cell r="A303" t="str">
            <v>2.a.</v>
          </cell>
          <cell r="C303" t="str">
            <v>BULLDOZER</v>
          </cell>
          <cell r="G303" t="str">
            <v>(E04)</v>
          </cell>
        </row>
        <row r="304">
          <cell r="C304" t="str">
            <v>Faktor pisau (blade)</v>
          </cell>
          <cell r="G304" t="str">
            <v>Fb</v>
          </cell>
          <cell r="H304">
            <v>1</v>
          </cell>
          <cell r="I304" t="str">
            <v>-</v>
          </cell>
          <cell r="Q304" t="str">
            <v xml:space="preserve">JUMLAH HARGA PERALATAN   </v>
          </cell>
          <cell r="U304">
            <v>7689.2068879395738</v>
          </cell>
        </row>
        <row r="305">
          <cell r="C305" t="str">
            <v>Faktor  efisiensi kerja</v>
          </cell>
          <cell r="G305" t="str">
            <v>Fa</v>
          </cell>
          <cell r="H305">
            <v>0.83</v>
          </cell>
          <cell r="I305" t="str">
            <v>-</v>
          </cell>
        </row>
        <row r="306">
          <cell r="C306" t="str">
            <v>Kecepatan mengupas</v>
          </cell>
          <cell r="G306" t="str">
            <v>Vf</v>
          </cell>
          <cell r="H306">
            <v>3</v>
          </cell>
          <cell r="I306" t="str">
            <v>Km/Jam</v>
          </cell>
          <cell r="L306" t="str">
            <v>D.</v>
          </cell>
          <cell r="N306" t="str">
            <v>JUMLAH HARGA TENAGA, BAHAN DAN PERALATAN  ( A + B + C )</v>
          </cell>
          <cell r="U306">
            <v>235933.45861540217</v>
          </cell>
        </row>
        <row r="307">
          <cell r="C307" t="str">
            <v>Kecepatan mundur</v>
          </cell>
          <cell r="G307" t="str">
            <v>Vr</v>
          </cell>
          <cell r="H307">
            <v>5</v>
          </cell>
          <cell r="I307" t="str">
            <v>Km/Jam</v>
          </cell>
          <cell r="L307" t="str">
            <v>E.</v>
          </cell>
          <cell r="N307" t="str">
            <v>OVERHEAD &amp; PROFIT</v>
          </cell>
          <cell r="P307">
            <v>10</v>
          </cell>
          <cell r="Q307" t="str">
            <v>%  x  D</v>
          </cell>
          <cell r="U307">
            <v>23593.34586154022</v>
          </cell>
        </row>
        <row r="308">
          <cell r="C308" t="str">
            <v>Kapasitas pisau</v>
          </cell>
          <cell r="G308" t="str">
            <v>q</v>
          </cell>
          <cell r="H308">
            <v>5.4</v>
          </cell>
          <cell r="I308" t="str">
            <v>M3</v>
          </cell>
          <cell r="L308" t="str">
            <v>F.</v>
          </cell>
          <cell r="N308" t="str">
            <v>HARGA SATUAN PEKERJAAN  ( D + E )</v>
          </cell>
          <cell r="U308">
            <v>259526.8044769424</v>
          </cell>
        </row>
        <row r="309">
          <cell r="A309" t="str">
            <v>`</v>
          </cell>
          <cell r="C309" t="str">
            <v>Faktor kemiringan (grade)</v>
          </cell>
          <cell r="G309" t="str">
            <v>Fm</v>
          </cell>
          <cell r="H309">
            <v>1</v>
          </cell>
          <cell r="L309" t="str">
            <v>Note: 1</v>
          </cell>
          <cell r="N309" t="str">
            <v>SATUAN dapat berdasarkan atas jam operasi untuk Tenaga Kerja dan Peralatan, volume dan/atau ukuran</v>
          </cell>
        </row>
        <row r="310">
          <cell r="N310" t="str">
            <v>berat untuk bahan-bahan.</v>
          </cell>
        </row>
        <row r="311">
          <cell r="L311">
            <v>2</v>
          </cell>
          <cell r="N311" t="str">
            <v>Kuantitas satuan adalah kuantitas setiap komponen untuk menyelesaikan satu satuan pekerjaan dari nomor</v>
          </cell>
        </row>
        <row r="312">
          <cell r="N312" t="str">
            <v>mata pembayaran.</v>
          </cell>
        </row>
        <row r="313">
          <cell r="L313">
            <v>3</v>
          </cell>
          <cell r="N313" t="str">
            <v>Biaya satuan untuk peralatan sudah termasuk bahan bakar, bahan habis dipakai dan operator.</v>
          </cell>
        </row>
        <row r="314">
          <cell r="L314">
            <v>4</v>
          </cell>
          <cell r="N314" t="str">
            <v>Biaya satuan sudah termasuk pengeluaran untuk seluruh pajak yang berkaitan (tetapi tidak termasuk PPN</v>
          </cell>
        </row>
        <row r="315">
          <cell r="J315" t="str">
            <v>Berlanjut ke halaman berikut</v>
          </cell>
          <cell r="N315" t="str">
            <v>yang dibayar dari kontrak) dan biaya-biaya lainnya.</v>
          </cell>
        </row>
        <row r="316">
          <cell r="A316" t="str">
            <v>ITEM PEMBAYARAN NO.</v>
          </cell>
          <cell r="D316" t="str">
            <v>:  3.1 (6)</v>
          </cell>
          <cell r="J316" t="str">
            <v>Analisa EI-313</v>
          </cell>
        </row>
        <row r="317">
          <cell r="A317" t="str">
            <v>JENIS PEKERJAAN</v>
          </cell>
          <cell r="D317" t="str">
            <v>:  Galian Struktur dengan Kedalaman 0 - 2 M</v>
          </cell>
        </row>
        <row r="318">
          <cell r="A318" t="str">
            <v>SATUAN PEMBAYARAN</v>
          </cell>
          <cell r="D318" t="str">
            <v>:  M3</v>
          </cell>
          <cell r="H318" t="str">
            <v xml:space="preserve">         URAIAN ANALISA HARGA SATUAN</v>
          </cell>
        </row>
        <row r="319">
          <cell r="J319" t="str">
            <v>Lanjutan</v>
          </cell>
        </row>
        <row r="321">
          <cell r="A321" t="str">
            <v>No.</v>
          </cell>
          <cell r="C321" t="str">
            <v>U R A I A N</v>
          </cell>
          <cell r="G321" t="str">
            <v>KODE</v>
          </cell>
          <cell r="H321" t="str">
            <v>KOEF.</v>
          </cell>
          <cell r="I321" t="str">
            <v>SATUAN</v>
          </cell>
          <cell r="J321" t="str">
            <v>KETERANGAN</v>
          </cell>
        </row>
        <row r="324">
          <cell r="C324" t="str">
            <v>Waktu Siklus</v>
          </cell>
          <cell r="G324" t="str">
            <v>Ts</v>
          </cell>
        </row>
        <row r="325">
          <cell r="C325" t="str">
            <v>- Waktu gusur</v>
          </cell>
          <cell r="D325" t="str">
            <v>= l / Vf</v>
          </cell>
          <cell r="G325" t="str">
            <v>T1</v>
          </cell>
          <cell r="H325">
            <v>1.6666666666666666E-2</v>
          </cell>
          <cell r="I325" t="str">
            <v>menit</v>
          </cell>
        </row>
        <row r="326">
          <cell r="C326" t="str">
            <v>- Waktu kembali</v>
          </cell>
          <cell r="D326" t="str">
            <v>= l / Vr</v>
          </cell>
          <cell r="G326" t="str">
            <v>T2</v>
          </cell>
          <cell r="H326">
            <v>0.01</v>
          </cell>
          <cell r="I326" t="str">
            <v>menit</v>
          </cell>
        </row>
        <row r="327">
          <cell r="C327" t="str">
            <v>- Waktu lain-lain</v>
          </cell>
          <cell r="G327" t="str">
            <v>T3</v>
          </cell>
          <cell r="H327">
            <v>8.0000000000000004E-4</v>
          </cell>
          <cell r="I327" t="str">
            <v>menit</v>
          </cell>
        </row>
        <row r="328">
          <cell r="G328" t="str">
            <v>Ts</v>
          </cell>
          <cell r="H328">
            <v>2.7466666666666664E-2</v>
          </cell>
          <cell r="I328" t="str">
            <v>menit</v>
          </cell>
        </row>
        <row r="330">
          <cell r="C330" t="str">
            <v>Kapasitas Produksi / Jam   =</v>
          </cell>
          <cell r="E330" t="str">
            <v>q x Fb x Fm x Fa x 60/Ts</v>
          </cell>
          <cell r="G330" t="str">
            <v>Q2</v>
          </cell>
          <cell r="H330">
            <v>9790.7766990291275</v>
          </cell>
          <cell r="I330" t="str">
            <v>M3</v>
          </cell>
        </row>
        <row r="333">
          <cell r="C333" t="str">
            <v>Koefisien Alat / M3</v>
          </cell>
          <cell r="D333" t="str">
            <v xml:space="preserve"> =  1  :  Q2</v>
          </cell>
          <cell r="G333" t="str">
            <v>(E04)</v>
          </cell>
          <cell r="H333">
            <v>1.0213694283306062E-4</v>
          </cell>
          <cell r="I333" t="str">
            <v>Jam</v>
          </cell>
        </row>
        <row r="336">
          <cell r="A336" t="str">
            <v>2.d.</v>
          </cell>
          <cell r="C336" t="str">
            <v>ALAT  BANTU</v>
          </cell>
        </row>
        <row r="337">
          <cell r="C337" t="str">
            <v>Diperlukan alat-alat bantu kecil</v>
          </cell>
          <cell r="J337" t="str">
            <v>Lump Sump</v>
          </cell>
        </row>
        <row r="338">
          <cell r="C338" t="str">
            <v>- Pacul</v>
          </cell>
          <cell r="D338" t="str">
            <v>=  2  buah</v>
          </cell>
        </row>
        <row r="339">
          <cell r="C339" t="str">
            <v>- Sekop</v>
          </cell>
          <cell r="D339" t="str">
            <v>=  2  buah</v>
          </cell>
        </row>
        <row r="342">
          <cell r="A342" t="str">
            <v xml:space="preserve">   3.</v>
          </cell>
          <cell r="C342" t="str">
            <v>TENAGA</v>
          </cell>
        </row>
        <row r="343">
          <cell r="C343" t="str">
            <v>Produksi menentukan : EXCAVATOR</v>
          </cell>
          <cell r="G343" t="str">
            <v>Q1</v>
          </cell>
          <cell r="H343">
            <v>31.493520000000004</v>
          </cell>
          <cell r="I343" t="str">
            <v>M3/Jam</v>
          </cell>
        </row>
        <row r="344">
          <cell r="C344" t="str">
            <v>Produksi Galian / hari  =  Tk x Q1</v>
          </cell>
          <cell r="G344" t="str">
            <v>Qt</v>
          </cell>
          <cell r="H344">
            <v>220.45464000000004</v>
          </cell>
          <cell r="I344" t="str">
            <v>M3</v>
          </cell>
        </row>
        <row r="345">
          <cell r="C345" t="str">
            <v>Kebutuhan tenaga :</v>
          </cell>
        </row>
        <row r="346">
          <cell r="D346" t="str">
            <v>- Pekerja</v>
          </cell>
          <cell r="G346" t="str">
            <v>P</v>
          </cell>
          <cell r="H346">
            <v>4</v>
          </cell>
          <cell r="I346" t="str">
            <v>orang</v>
          </cell>
        </row>
        <row r="347">
          <cell r="D347" t="str">
            <v>- Mandor</v>
          </cell>
          <cell r="G347" t="str">
            <v>M</v>
          </cell>
          <cell r="H347">
            <v>1</v>
          </cell>
          <cell r="I347" t="str">
            <v>orang</v>
          </cell>
        </row>
        <row r="349">
          <cell r="C349" t="str">
            <v>Koefisien tenaga / M3   :</v>
          </cell>
        </row>
        <row r="350">
          <cell r="D350" t="str">
            <v>- Pekerja</v>
          </cell>
          <cell r="E350" t="str">
            <v>= (Tk x P) : Qt</v>
          </cell>
          <cell r="G350" t="str">
            <v>(L01)</v>
          </cell>
          <cell r="H350">
            <v>0.12701025480797318</v>
          </cell>
          <cell r="I350" t="str">
            <v>Jam</v>
          </cell>
        </row>
        <row r="351">
          <cell r="D351" t="str">
            <v>- Mandor</v>
          </cell>
          <cell r="E351" t="str">
            <v>= (Tk x M) : Qt</v>
          </cell>
          <cell r="G351" t="str">
            <v>(L03)</v>
          </cell>
          <cell r="H351">
            <v>3.1752563701993294E-2</v>
          </cell>
          <cell r="I351" t="str">
            <v>Jam</v>
          </cell>
        </row>
        <row r="353">
          <cell r="A353" t="str">
            <v>4.</v>
          </cell>
          <cell r="C353" t="str">
            <v>HARGA DASAR SATUAN UPAH, BAHAN DAN ALAT</v>
          </cell>
        </row>
        <row r="354">
          <cell r="C354" t="str">
            <v>Lihat lampiran.</v>
          </cell>
        </row>
        <row r="356">
          <cell r="A356" t="str">
            <v>5.</v>
          </cell>
          <cell r="C356" t="str">
            <v>ANALISA HARGA SATUAN PEKERJAAN</v>
          </cell>
        </row>
        <row r="357">
          <cell r="C357" t="str">
            <v>Lihat perhitungan dalam FORMULIR STANDAR UNTUK</v>
          </cell>
        </row>
        <row r="358">
          <cell r="C358" t="str">
            <v>PEREKEMAN ANALISA MASING-MASING HARGA</v>
          </cell>
        </row>
        <row r="359">
          <cell r="C359" t="str">
            <v>SATUAN.</v>
          </cell>
        </row>
        <row r="360">
          <cell r="C360" t="str">
            <v>Didapat Harga Satuan Pekerjaan :</v>
          </cell>
        </row>
        <row r="362">
          <cell r="C362" t="str">
            <v xml:space="preserve">Rp.  </v>
          </cell>
          <cell r="D362">
            <v>259526.8044769424</v>
          </cell>
          <cell r="E362" t="str">
            <v xml:space="preserve"> / M3</v>
          </cell>
        </row>
        <row r="365">
          <cell r="A365" t="str">
            <v>6.</v>
          </cell>
          <cell r="C365" t="str">
            <v>WAKTU PELAKSANAAN YANG DIPERLUKAN</v>
          </cell>
        </row>
        <row r="366">
          <cell r="C366" t="str">
            <v>Masa Pelaksanaan :</v>
          </cell>
          <cell r="D366" t="str">
            <v>. . . . . . . . . . . .</v>
          </cell>
          <cell r="E366" t="str">
            <v>bulan</v>
          </cell>
        </row>
        <row r="368">
          <cell r="A368" t="str">
            <v>7.</v>
          </cell>
          <cell r="C368" t="str">
            <v>VOLUME PEKERJAAN YANG DIPERLUKAN</v>
          </cell>
        </row>
        <row r="369">
          <cell r="C369" t="str">
            <v>Volume pekerjaan  :</v>
          </cell>
          <cell r="D369">
            <v>102.06194798168002</v>
          </cell>
          <cell r="E369" t="str">
            <v>M3</v>
          </cell>
        </row>
        <row r="375">
          <cell r="A375" t="str">
            <v>ITEM PEMBAYARAN NO.</v>
          </cell>
          <cell r="D375" t="str">
            <v>:  3.1 (7)</v>
          </cell>
          <cell r="J375" t="str">
            <v>Analisa EI-314</v>
          </cell>
          <cell r="T375" t="str">
            <v>Analisa EI-314</v>
          </cell>
        </row>
        <row r="376">
          <cell r="A376" t="str">
            <v>JENIS PEKERJAAN</v>
          </cell>
          <cell r="D376" t="str">
            <v>:  Galian Struktur dengan Kedalaman 2 - 4 M</v>
          </cell>
        </row>
        <row r="377">
          <cell r="A377" t="str">
            <v>SATUAN PEMBAYARAN</v>
          </cell>
          <cell r="D377" t="str">
            <v>:  M3</v>
          </cell>
          <cell r="H377" t="str">
            <v xml:space="preserve">         URAIAN ANALISA HARGA SATUAN</v>
          </cell>
          <cell r="L377" t="str">
            <v>FORMULIR STANDAR UNTUK</v>
          </cell>
        </row>
        <row r="378">
          <cell r="L378" t="str">
            <v>PEREKAMAN ANALISA MASING-MASING HARGA SATUAN</v>
          </cell>
        </row>
        <row r="379">
          <cell r="L379" t="str">
            <v xml:space="preserve">                                                                                                            </v>
          </cell>
        </row>
        <row r="380">
          <cell r="A380" t="str">
            <v>No.</v>
          </cell>
          <cell r="C380" t="str">
            <v>U R A I A N</v>
          </cell>
          <cell r="G380" t="str">
            <v>KODE</v>
          </cell>
          <cell r="H380" t="str">
            <v>KOEF.</v>
          </cell>
          <cell r="I380" t="str">
            <v>SATUAN</v>
          </cell>
          <cell r="J380" t="str">
            <v>KETERANGAN</v>
          </cell>
        </row>
        <row r="382">
          <cell r="L382" t="str">
            <v>PROYEK</v>
          </cell>
          <cell r="O382" t="str">
            <v>:</v>
          </cell>
        </row>
        <row r="383">
          <cell r="A383" t="str">
            <v>I.</v>
          </cell>
          <cell r="C383" t="str">
            <v>ASUMSI</v>
          </cell>
          <cell r="L383" t="str">
            <v>No. PAKET KONTRAK</v>
          </cell>
          <cell r="O383" t="str">
            <v>:</v>
          </cell>
        </row>
        <row r="384">
          <cell r="A384">
            <v>1</v>
          </cell>
          <cell r="C384" t="str">
            <v>Pekerjaan dilakukan secara manual</v>
          </cell>
          <cell r="L384" t="str">
            <v>NAMA PAKET</v>
          </cell>
          <cell r="O384" t="str">
            <v>:</v>
          </cell>
        </row>
        <row r="385">
          <cell r="A385">
            <v>2</v>
          </cell>
          <cell r="C385" t="str">
            <v>Lokasi pekerjaan : sekitar jembatan</v>
          </cell>
          <cell r="L385" t="str">
            <v>PROP / KAB / KODYA</v>
          </cell>
          <cell r="O385" t="str">
            <v>:</v>
          </cell>
        </row>
        <row r="386">
          <cell r="A386">
            <v>3</v>
          </cell>
          <cell r="C386" t="str">
            <v>Kondisi Jalan   :  sedang / baik</v>
          </cell>
          <cell r="L386" t="str">
            <v>ITEM PEMBAYARAN NO.</v>
          </cell>
          <cell r="O386" t="str">
            <v>:  3.1 (7)</v>
          </cell>
          <cell r="R386" t="str">
            <v>PERKIRAAN VOL. PEK.</v>
          </cell>
          <cell r="T386" t="str">
            <v>:</v>
          </cell>
          <cell r="U386">
            <v>0</v>
          </cell>
        </row>
        <row r="387">
          <cell r="A387">
            <v>4</v>
          </cell>
          <cell r="C387" t="str">
            <v>Jam kerja efektif per-hari</v>
          </cell>
          <cell r="G387" t="str">
            <v>Tk</v>
          </cell>
          <cell r="H387">
            <v>7</v>
          </cell>
          <cell r="I387" t="str">
            <v>Jam</v>
          </cell>
          <cell r="L387" t="str">
            <v>JENIS PEKERJAAN</v>
          </cell>
          <cell r="O387" t="str">
            <v>:  Galian Struktur dengan Kedalaman 2 - 4 M</v>
          </cell>
          <cell r="R387" t="str">
            <v>TOTAL HARGA (Rp.)</v>
          </cell>
          <cell r="T387" t="str">
            <v>:</v>
          </cell>
          <cell r="U387">
            <v>0</v>
          </cell>
        </row>
        <row r="388">
          <cell r="A388">
            <v>5</v>
          </cell>
          <cell r="C388" t="str">
            <v>Faktor pengembangan bahan</v>
          </cell>
          <cell r="G388" t="str">
            <v>Fh</v>
          </cell>
          <cell r="H388">
            <v>1.2</v>
          </cell>
          <cell r="I388" t="str">
            <v>-</v>
          </cell>
          <cell r="L388" t="str">
            <v>SATUAN PEMBAYARAN</v>
          </cell>
          <cell r="O388" t="str">
            <v>:  M3</v>
          </cell>
          <cell r="R388" t="str">
            <v>% THD. BIAYA PROYEK</v>
          </cell>
          <cell r="T388" t="str">
            <v>:</v>
          </cell>
          <cell r="U388" t="e">
            <v>#DIV/0!</v>
          </cell>
        </row>
        <row r="389">
          <cell r="A389">
            <v>6</v>
          </cell>
          <cell r="C389" t="str">
            <v>Pengurugan kembali (backfill) untuk struktur</v>
          </cell>
          <cell r="G389" t="str">
            <v>Uk</v>
          </cell>
          <cell r="H389">
            <v>50</v>
          </cell>
          <cell r="I389" t="str">
            <v>%/M3</v>
          </cell>
        </row>
        <row r="391">
          <cell r="A391" t="str">
            <v>II.</v>
          </cell>
          <cell r="C391" t="str">
            <v>METHODE PELAKSANAAN</v>
          </cell>
          <cell r="Q391" t="str">
            <v>PERKIRAAN</v>
          </cell>
          <cell r="R391" t="str">
            <v>HARGA</v>
          </cell>
          <cell r="S391" t="str">
            <v>JUMLAH</v>
          </cell>
        </row>
        <row r="392">
          <cell r="A392">
            <v>1</v>
          </cell>
          <cell r="C392" t="str">
            <v>Tanah yang dipotong berada disekitar jembatan</v>
          </cell>
          <cell r="L392" t="str">
            <v>NO.</v>
          </cell>
          <cell r="N392" t="str">
            <v>KOMPONEN</v>
          </cell>
          <cell r="P392" t="str">
            <v>SATUAN</v>
          </cell>
          <cell r="Q392" t="str">
            <v>KUANTITAS</v>
          </cell>
          <cell r="R392" t="str">
            <v>SATUAN</v>
          </cell>
          <cell r="S392" t="str">
            <v>HARGA</v>
          </cell>
        </row>
        <row r="393">
          <cell r="A393">
            <v>2</v>
          </cell>
          <cell r="C393" t="str">
            <v>Penggalian dilakukan dengan menggunakan alat</v>
          </cell>
          <cell r="R393" t="str">
            <v>(Rp.)</v>
          </cell>
          <cell r="S393" t="str">
            <v>(Rp.)</v>
          </cell>
        </row>
        <row r="394">
          <cell r="C394" t="str">
            <v>Excavator</v>
          </cell>
        </row>
        <row r="395">
          <cell r="A395">
            <v>3</v>
          </cell>
          <cell r="C395" t="str">
            <v>Bulldozer mengangkut/mengusur hasil galian ke tempat</v>
          </cell>
        </row>
        <row r="396">
          <cell r="C396" t="str">
            <v>pembuangan di sekitar lokasi pekerjaan</v>
          </cell>
          <cell r="G396" t="str">
            <v>L</v>
          </cell>
          <cell r="H396">
            <v>0.1</v>
          </cell>
          <cell r="I396" t="str">
            <v>Km</v>
          </cell>
          <cell r="L396" t="str">
            <v>A.</v>
          </cell>
          <cell r="N396" t="str">
            <v>TENAGA</v>
          </cell>
        </row>
        <row r="398">
          <cell r="A398" t="str">
            <v>III.</v>
          </cell>
          <cell r="C398" t="str">
            <v>PEMAKAIAN BAHAN, ALAT DAN TENAGA</v>
          </cell>
          <cell r="L398" t="str">
            <v>1.</v>
          </cell>
          <cell r="N398" t="str">
            <v>Pekerja</v>
          </cell>
          <cell r="O398" t="str">
            <v>(L01)</v>
          </cell>
          <cell r="P398" t="str">
            <v>Jam</v>
          </cell>
          <cell r="Q398">
            <v>0.41685416962616839</v>
          </cell>
          <cell r="R398">
            <v>2857.14</v>
          </cell>
          <cell r="U398">
            <v>1191.0107222057106</v>
          </cell>
        </row>
        <row r="399">
          <cell r="L399" t="str">
            <v>2.</v>
          </cell>
          <cell r="N399" t="str">
            <v>Mandor</v>
          </cell>
          <cell r="O399" t="str">
            <v>(L03)</v>
          </cell>
          <cell r="P399" t="str">
            <v>Jam</v>
          </cell>
          <cell r="Q399">
            <v>4.1685416962616843E-2</v>
          </cell>
          <cell r="R399">
            <v>3214.29</v>
          </cell>
          <cell r="U399">
            <v>133.98901888876969</v>
          </cell>
        </row>
        <row r="400">
          <cell r="A400" t="str">
            <v xml:space="preserve">   1.</v>
          </cell>
          <cell r="C400" t="str">
            <v>BAHAN</v>
          </cell>
        </row>
        <row r="401">
          <cell r="C401" t="str">
            <v>- Urugan Pilihan (untuk backfill)</v>
          </cell>
          <cell r="E401" t="str">
            <v>= Uk x 1M3</v>
          </cell>
          <cell r="G401" t="str">
            <v>(EI-322)</v>
          </cell>
          <cell r="H401">
            <v>0.5</v>
          </cell>
          <cell r="I401" t="str">
            <v>M3</v>
          </cell>
        </row>
        <row r="402">
          <cell r="Q402" t="str">
            <v xml:space="preserve">JUMLAH HARGA TENAGA   </v>
          </cell>
          <cell r="U402">
            <v>1324.9997410944802</v>
          </cell>
        </row>
        <row r="403">
          <cell r="A403" t="str">
            <v xml:space="preserve">   2.</v>
          </cell>
          <cell r="C403" t="str">
            <v>ALAT</v>
          </cell>
        </row>
        <row r="404">
          <cell r="A404" t="str">
            <v xml:space="preserve">   2.a.</v>
          </cell>
          <cell r="C404" t="str">
            <v>EXCAVATOR</v>
          </cell>
          <cell r="G404" t="str">
            <v>(E10)</v>
          </cell>
          <cell r="L404" t="str">
            <v>B.</v>
          </cell>
          <cell r="N404" t="str">
            <v>BAHAN</v>
          </cell>
        </row>
        <row r="405">
          <cell r="C405" t="str">
            <v>Kapasitas Bucket</v>
          </cell>
          <cell r="G405" t="str">
            <v>V</v>
          </cell>
          <cell r="H405">
            <v>0.93</v>
          </cell>
          <cell r="I405" t="str">
            <v>M3</v>
          </cell>
        </row>
        <row r="406">
          <cell r="C406" t="str">
            <v>Faktor Bucket</v>
          </cell>
          <cell r="G406" t="str">
            <v>Fb</v>
          </cell>
          <cell r="H406">
            <v>0.9</v>
          </cell>
          <cell r="I406" t="str">
            <v>-</v>
          </cell>
          <cell r="L406" t="str">
            <v>1.</v>
          </cell>
          <cell r="N406" t="str">
            <v xml:space="preserve">Urugan Pilihan </v>
          </cell>
          <cell r="O406" t="str">
            <v>(EI-322)</v>
          </cell>
          <cell r="P406" t="str">
            <v>M3</v>
          </cell>
          <cell r="Q406">
            <v>0.5</v>
          </cell>
          <cell r="R406">
            <v>455558.60740011773</v>
          </cell>
          <cell r="U406">
            <v>227779.30370005887</v>
          </cell>
        </row>
        <row r="407">
          <cell r="C407" t="str">
            <v>Faktor  Efisiensi alat</v>
          </cell>
          <cell r="G407" t="str">
            <v>Fa</v>
          </cell>
          <cell r="H407">
            <v>0.83</v>
          </cell>
          <cell r="I407" t="str">
            <v>-</v>
          </cell>
        </row>
        <row r="408">
          <cell r="C408" t="str">
            <v>Faktor kedalaman</v>
          </cell>
          <cell r="G408" t="str">
            <v>Fd</v>
          </cell>
          <cell r="H408">
            <v>0.65</v>
          </cell>
          <cell r="I408" t="str">
            <v>-</v>
          </cell>
        </row>
        <row r="409">
          <cell r="C409" t="str">
            <v>Berat isi material</v>
          </cell>
          <cell r="G409" t="str">
            <v>Bim</v>
          </cell>
          <cell r="H409">
            <v>0.85</v>
          </cell>
          <cell r="I409" t="str">
            <v>-</v>
          </cell>
        </row>
        <row r="411">
          <cell r="C411" t="str">
            <v>Waktu siklus</v>
          </cell>
        </row>
        <row r="412">
          <cell r="C412" t="str">
            <v>- Menggali / memuat</v>
          </cell>
          <cell r="G412" t="str">
            <v>Te1</v>
          </cell>
          <cell r="H412">
            <v>0.55000000000000004</v>
          </cell>
          <cell r="I412" t="str">
            <v>menit</v>
          </cell>
          <cell r="Q412" t="str">
            <v xml:space="preserve">JUMLAH HARGA BAHAN   </v>
          </cell>
          <cell r="U412">
            <v>227779.30370005887</v>
          </cell>
        </row>
        <row r="413">
          <cell r="C413" t="str">
            <v>- Lain-lain</v>
          </cell>
          <cell r="G413" t="str">
            <v>Te2</v>
          </cell>
          <cell r="H413">
            <v>0.25</v>
          </cell>
          <cell r="I413" t="str">
            <v>menit</v>
          </cell>
        </row>
        <row r="414">
          <cell r="G414" t="str">
            <v>Te</v>
          </cell>
          <cell r="H414">
            <v>0.8</v>
          </cell>
          <cell r="I414" t="str">
            <v>menit</v>
          </cell>
          <cell r="L414" t="str">
            <v>C.</v>
          </cell>
          <cell r="N414" t="str">
            <v>PERALATAN</v>
          </cell>
        </row>
        <row r="415">
          <cell r="L415" t="str">
            <v>1.</v>
          </cell>
          <cell r="N415" t="str">
            <v>Excavator</v>
          </cell>
          <cell r="O415" t="str">
            <v>(E10)</v>
          </cell>
          <cell r="P415" t="str">
            <v>Jam</v>
          </cell>
          <cell r="Q415">
            <v>4.1685416962616836E-2</v>
          </cell>
          <cell r="R415">
            <v>238185.05650827778</v>
          </cell>
          <cell r="U415">
            <v>9928.8433948120128</v>
          </cell>
        </row>
        <row r="416">
          <cell r="L416" t="str">
            <v>2.</v>
          </cell>
          <cell r="N416" t="str">
            <v>Bulldozer</v>
          </cell>
          <cell r="O416" t="str">
            <v>(E04)</v>
          </cell>
          <cell r="P416" t="str">
            <v>Jam</v>
          </cell>
          <cell r="Q416">
            <v>1.0213694283306062E-4</v>
          </cell>
          <cell r="R416">
            <v>256721.09983229413</v>
          </cell>
          <cell r="U416">
            <v>26.220708297611473</v>
          </cell>
        </row>
        <row r="417">
          <cell r="C417" t="str">
            <v>Kap. Prod. / jam =</v>
          </cell>
          <cell r="D417" t="str">
            <v>V  x Fb x Fa x Fd x Bim x 60</v>
          </cell>
          <cell r="G417" t="str">
            <v>Q1</v>
          </cell>
          <cell r="H417">
            <v>23.989204687500003</v>
          </cell>
          <cell r="I417" t="str">
            <v>M3/Jam</v>
          </cell>
          <cell r="L417" t="str">
            <v>3.</v>
          </cell>
          <cell r="N417" t="str">
            <v>Alat  bantu</v>
          </cell>
          <cell r="P417" t="str">
            <v>Ls</v>
          </cell>
          <cell r="Q417">
            <v>1</v>
          </cell>
          <cell r="R417">
            <v>200</v>
          </cell>
          <cell r="U417">
            <v>200</v>
          </cell>
        </row>
        <row r="418">
          <cell r="D418" t="str">
            <v>Te x Fh</v>
          </cell>
        </row>
        <row r="420">
          <cell r="C420" t="str">
            <v>Koefisien Alat / M3</v>
          </cell>
          <cell r="D420" t="str">
            <v xml:space="preserve"> =  1  :  Q1</v>
          </cell>
          <cell r="G420" t="str">
            <v>(E10)</v>
          </cell>
          <cell r="H420">
            <v>4.1685416962616836E-2</v>
          </cell>
          <cell r="I420" t="str">
            <v>Jam</v>
          </cell>
        </row>
        <row r="423">
          <cell r="A423" t="str">
            <v>2.a.</v>
          </cell>
          <cell r="C423" t="str">
            <v>BULLDOZER</v>
          </cell>
          <cell r="G423" t="str">
            <v>(E04)</v>
          </cell>
        </row>
        <row r="424">
          <cell r="C424" t="str">
            <v>Faktor pisau (blade)</v>
          </cell>
          <cell r="G424" t="str">
            <v>Fb</v>
          </cell>
          <cell r="H424">
            <v>1</v>
          </cell>
          <cell r="I424" t="str">
            <v>-</v>
          </cell>
          <cell r="Q424" t="str">
            <v xml:space="preserve">JUMLAH HARGA PERALATAN   </v>
          </cell>
          <cell r="U424">
            <v>10155.064103109624</v>
          </cell>
        </row>
        <row r="425">
          <cell r="C425" t="str">
            <v>Faktor  efisiensi kerja</v>
          </cell>
          <cell r="G425" t="str">
            <v>Fa</v>
          </cell>
          <cell r="H425">
            <v>0.83</v>
          </cell>
          <cell r="I425" t="str">
            <v>-</v>
          </cell>
        </row>
        <row r="426">
          <cell r="C426" t="str">
            <v>Kecepatan mengupas</v>
          </cell>
          <cell r="G426" t="str">
            <v>Vf</v>
          </cell>
          <cell r="H426">
            <v>3</v>
          </cell>
          <cell r="I426" t="str">
            <v>Km/Jam</v>
          </cell>
          <cell r="L426" t="str">
            <v>D.</v>
          </cell>
          <cell r="N426" t="str">
            <v>JUMLAH HARGA TENAGA, BAHAN DAN PERALATAN  ( A + B + C )</v>
          </cell>
          <cell r="U426">
            <v>239259.36754426296</v>
          </cell>
        </row>
        <row r="427">
          <cell r="C427" t="str">
            <v>Kecepatan mundur</v>
          </cell>
          <cell r="G427" t="str">
            <v>Vr</v>
          </cell>
          <cell r="H427">
            <v>5</v>
          </cell>
          <cell r="I427" t="str">
            <v>Km/Jam</v>
          </cell>
          <cell r="L427" t="str">
            <v>E.</v>
          </cell>
          <cell r="N427" t="str">
            <v>OVERHEAD &amp; PROFIT</v>
          </cell>
          <cell r="P427">
            <v>10</v>
          </cell>
          <cell r="Q427" t="str">
            <v>%  x  D</v>
          </cell>
          <cell r="U427">
            <v>23925.936754426297</v>
          </cell>
        </row>
        <row r="428">
          <cell r="C428" t="str">
            <v>Kapasitas pisau</v>
          </cell>
          <cell r="G428" t="str">
            <v>q</v>
          </cell>
          <cell r="H428">
            <v>5.4</v>
          </cell>
          <cell r="I428" t="str">
            <v>M3</v>
          </cell>
          <cell r="L428" t="str">
            <v>F.</v>
          </cell>
          <cell r="N428" t="str">
            <v>HARGA SATUAN PEKERJAAN  ( D + E )</v>
          </cell>
          <cell r="U428">
            <v>263185.30429868924</v>
          </cell>
        </row>
        <row r="429">
          <cell r="A429" t="str">
            <v>`</v>
          </cell>
          <cell r="C429" t="str">
            <v>Faktor kemiringan (grade)</v>
          </cell>
          <cell r="G429" t="str">
            <v>Fm</v>
          </cell>
          <cell r="H429">
            <v>1</v>
          </cell>
          <cell r="L429" t="str">
            <v>Note: 1</v>
          </cell>
          <cell r="N429" t="str">
            <v>SATUAN dapat berdasarkan atas jam operasi untuk Tenaga Kerja dan Peralatan, volume dan/atau ukuran</v>
          </cell>
        </row>
        <row r="430">
          <cell r="N430" t="str">
            <v>berat untuk bahan-bahan.</v>
          </cell>
        </row>
        <row r="431">
          <cell r="L431">
            <v>2</v>
          </cell>
          <cell r="N431" t="str">
            <v>Kuantitas satuan adalah kuantitas setiap komponen untuk menyelesaikan satu satuan pekerjaan dari nomor</v>
          </cell>
        </row>
        <row r="432">
          <cell r="N432" t="str">
            <v>mata pembayaran.</v>
          </cell>
        </row>
        <row r="433">
          <cell r="L433">
            <v>3</v>
          </cell>
          <cell r="N433" t="str">
            <v>Biaya satuan untuk peralatan sudah termasuk bahan bakar, bahan habis dipakai dan operator.</v>
          </cell>
        </row>
        <row r="434">
          <cell r="L434">
            <v>4</v>
          </cell>
          <cell r="N434" t="str">
            <v>Biaya satuan sudah termasuk pengeluaran untuk seluruh pajak yang berkaitan (tetapi tidak termasuk PPN</v>
          </cell>
        </row>
        <row r="435">
          <cell r="J435" t="str">
            <v>Berlanjut ke halaman berikut</v>
          </cell>
          <cell r="N435" t="str">
            <v>yang dibayar dari kontrak) dan biaya-biaya lainnya.</v>
          </cell>
        </row>
        <row r="436">
          <cell r="A436" t="str">
            <v>ITEM PEMBAYARAN NO.</v>
          </cell>
          <cell r="D436" t="str">
            <v>:  3.1 (7)</v>
          </cell>
          <cell r="J436" t="str">
            <v>Analisa EI-314</v>
          </cell>
        </row>
        <row r="437">
          <cell r="A437" t="str">
            <v>JENIS PEKERJAAN</v>
          </cell>
          <cell r="D437" t="str">
            <v>:  Galian Struktur dengan Kedalaman 2 - 4 M</v>
          </cell>
        </row>
        <row r="438">
          <cell r="A438" t="str">
            <v>SATUAN PEMBAYARAN</v>
          </cell>
          <cell r="D438" t="str">
            <v>:  M3</v>
          </cell>
          <cell r="H438" t="str">
            <v xml:space="preserve">         URAIAN ANALISA HARGA SATUAN</v>
          </cell>
        </row>
        <row r="439">
          <cell r="J439" t="str">
            <v>Lanjutan</v>
          </cell>
        </row>
        <row r="441">
          <cell r="A441" t="str">
            <v>No.</v>
          </cell>
          <cell r="C441" t="str">
            <v>U R A I A N</v>
          </cell>
          <cell r="G441" t="str">
            <v>KODE</v>
          </cell>
          <cell r="H441" t="str">
            <v>KOEF.</v>
          </cell>
          <cell r="I441" t="str">
            <v>SATUAN</v>
          </cell>
          <cell r="J441" t="str">
            <v>KETERANGAN</v>
          </cell>
        </row>
        <row r="444">
          <cell r="C444" t="str">
            <v>Waktu Siklus</v>
          </cell>
        </row>
        <row r="445">
          <cell r="C445" t="str">
            <v>- Waktu gusur</v>
          </cell>
          <cell r="D445" t="str">
            <v>= l / Vf</v>
          </cell>
          <cell r="G445" t="str">
            <v>T1</v>
          </cell>
          <cell r="H445">
            <v>1.6666666666666666E-2</v>
          </cell>
          <cell r="I445" t="str">
            <v>menit</v>
          </cell>
        </row>
        <row r="446">
          <cell r="C446" t="str">
            <v>- Waktu kembali</v>
          </cell>
          <cell r="D446" t="str">
            <v>= l / Vr</v>
          </cell>
          <cell r="G446" t="str">
            <v>T2</v>
          </cell>
          <cell r="H446">
            <v>0.01</v>
          </cell>
          <cell r="I446" t="str">
            <v>menit</v>
          </cell>
        </row>
        <row r="447">
          <cell r="C447" t="str">
            <v>- Waktu lain-lain</v>
          </cell>
          <cell r="G447" t="str">
            <v>T3</v>
          </cell>
          <cell r="H447">
            <v>8.0000000000000004E-4</v>
          </cell>
          <cell r="I447" t="str">
            <v>menit</v>
          </cell>
        </row>
        <row r="448">
          <cell r="G448" t="str">
            <v>Ts</v>
          </cell>
          <cell r="H448">
            <v>2.7466666666666664E-2</v>
          </cell>
          <cell r="I448" t="str">
            <v>menit</v>
          </cell>
        </row>
        <row r="450">
          <cell r="C450" t="str">
            <v>Kapasitas Produksi / Jam   =</v>
          </cell>
          <cell r="E450" t="str">
            <v>q x Fb x Fm x Fa x 60/Ts</v>
          </cell>
          <cell r="G450" t="str">
            <v>Q2</v>
          </cell>
          <cell r="H450">
            <v>9790.7766990291275</v>
          </cell>
          <cell r="I450" t="str">
            <v>M3</v>
          </cell>
        </row>
        <row r="453">
          <cell r="C453" t="str">
            <v>Koefisien Alat / M3</v>
          </cell>
          <cell r="D453" t="str">
            <v xml:space="preserve"> =  1  :  Q2</v>
          </cell>
          <cell r="G453" t="str">
            <v>(E04)</v>
          </cell>
          <cell r="H453">
            <v>1.0213694283306062E-4</v>
          </cell>
          <cell r="I453" t="str">
            <v>Jam</v>
          </cell>
        </row>
        <row r="456">
          <cell r="A456" t="str">
            <v>2.d.</v>
          </cell>
          <cell r="C456" t="str">
            <v>ALAT  BANTU</v>
          </cell>
        </row>
        <row r="457">
          <cell r="C457" t="str">
            <v>Diperlukan alat-alat bantu kecil</v>
          </cell>
          <cell r="J457" t="str">
            <v>Lump Sump</v>
          </cell>
        </row>
        <row r="458">
          <cell r="C458" t="str">
            <v>- Pacul</v>
          </cell>
          <cell r="D458" t="str">
            <v>=  2  buah</v>
          </cell>
        </row>
        <row r="459">
          <cell r="C459" t="str">
            <v>- Sekop</v>
          </cell>
          <cell r="D459" t="str">
            <v>=  2  buah</v>
          </cell>
        </row>
        <row r="462">
          <cell r="A462" t="str">
            <v xml:space="preserve">   3.</v>
          </cell>
          <cell r="C462" t="str">
            <v>TENAGA</v>
          </cell>
        </row>
        <row r="463">
          <cell r="C463" t="str">
            <v>Produksi menentukan : EXCAVATOR</v>
          </cell>
          <cell r="G463" t="str">
            <v>Q1</v>
          </cell>
          <cell r="H463">
            <v>23.989204687500003</v>
          </cell>
          <cell r="I463" t="str">
            <v>M3/Jam</v>
          </cell>
        </row>
        <row r="464">
          <cell r="C464" t="str">
            <v>Produksi Galian / hari  =  Tk x Q1</v>
          </cell>
          <cell r="G464" t="str">
            <v>Qt</v>
          </cell>
          <cell r="H464">
            <v>167.92443281250002</v>
          </cell>
          <cell r="I464" t="str">
            <v>M3</v>
          </cell>
        </row>
        <row r="465">
          <cell r="C465" t="str">
            <v>Kebutuhan tenaga :</v>
          </cell>
        </row>
        <row r="466">
          <cell r="D466" t="str">
            <v>- Pekerja</v>
          </cell>
          <cell r="G466" t="str">
            <v>P</v>
          </cell>
          <cell r="H466">
            <v>10</v>
          </cell>
          <cell r="I466" t="str">
            <v>orang</v>
          </cell>
        </row>
        <row r="467">
          <cell r="D467" t="str">
            <v>- Mandor</v>
          </cell>
          <cell r="G467" t="str">
            <v>M</v>
          </cell>
          <cell r="H467">
            <v>1</v>
          </cell>
          <cell r="I467" t="str">
            <v>orang</v>
          </cell>
        </row>
        <row r="469">
          <cell r="C469" t="str">
            <v>Koefisien tenaga / M3   :</v>
          </cell>
        </row>
        <row r="470">
          <cell r="D470" t="str">
            <v>- Pekerja</v>
          </cell>
          <cell r="E470" t="str">
            <v>= (Tk x P) : Qt</v>
          </cell>
          <cell r="G470" t="str">
            <v>(L01)</v>
          </cell>
          <cell r="H470">
            <v>0.41685416962616839</v>
          </cell>
          <cell r="I470" t="str">
            <v>Jam</v>
          </cell>
        </row>
        <row r="471">
          <cell r="D471" t="str">
            <v>- Mandor</v>
          </cell>
          <cell r="E471" t="str">
            <v>= (Tk x M) : Qt</v>
          </cell>
          <cell r="G471" t="str">
            <v>(L03)</v>
          </cell>
          <cell r="H471">
            <v>4.1685416962616843E-2</v>
          </cell>
          <cell r="I471" t="str">
            <v>Jam</v>
          </cell>
        </row>
        <row r="473">
          <cell r="A473" t="str">
            <v>4.</v>
          </cell>
          <cell r="C473" t="str">
            <v>HARGA DASAR SATUAN UPAH, BAHAN DAN ALAT</v>
          </cell>
        </row>
        <row r="474">
          <cell r="C474" t="str">
            <v>Lihat lampiran.</v>
          </cell>
        </row>
        <row r="476">
          <cell r="A476" t="str">
            <v>5.</v>
          </cell>
          <cell r="C476" t="str">
            <v>ANALISA HARGA SATUAN PEKERJAAN</v>
          </cell>
        </row>
        <row r="477">
          <cell r="C477" t="str">
            <v>Lihat perhitungan dalam FORMULIR STANDAR UNTUK</v>
          </cell>
        </row>
        <row r="478">
          <cell r="C478" t="str">
            <v>PEREKEMAN ANALISA MASING-MASING HARGA</v>
          </cell>
        </row>
        <row r="479">
          <cell r="C479" t="str">
            <v>SATUAN.</v>
          </cell>
        </row>
        <row r="480">
          <cell r="C480" t="str">
            <v>Didapat Harga Satuan Pekerjaan :</v>
          </cell>
        </row>
        <row r="482">
          <cell r="C482" t="str">
            <v xml:space="preserve">Rp.  </v>
          </cell>
          <cell r="D482">
            <v>263185.30429868924</v>
          </cell>
          <cell r="E482" t="str">
            <v xml:space="preserve"> / M3</v>
          </cell>
        </row>
        <row r="485">
          <cell r="A485" t="str">
            <v>6.</v>
          </cell>
          <cell r="C485" t="str">
            <v>WAKTU PELAKSANAAN YANG DIPERLUKAN</v>
          </cell>
        </row>
        <row r="486">
          <cell r="C486" t="str">
            <v>Masa Pelaksanaan :</v>
          </cell>
          <cell r="D486" t="str">
            <v>. . . . . . . . . . . .</v>
          </cell>
          <cell r="E486" t="str">
            <v>bulan</v>
          </cell>
        </row>
        <row r="488">
          <cell r="A488" t="str">
            <v>7.</v>
          </cell>
          <cell r="C488" t="str">
            <v>VOLUME PEKERJAAN YANG DIPERLUKAN</v>
          </cell>
        </row>
        <row r="489">
          <cell r="C489" t="str">
            <v>Volume pekerjaan  :</v>
          </cell>
          <cell r="D489">
            <v>133.98901888876969</v>
          </cell>
          <cell r="E489" t="str">
            <v>M3</v>
          </cell>
        </row>
        <row r="495">
          <cell r="A495" t="str">
            <v>ITEM PEMBAYARAN NO.</v>
          </cell>
          <cell r="D495" t="str">
            <v>:  3.1 (8)</v>
          </cell>
          <cell r="J495" t="str">
            <v>Analisa EI-315</v>
          </cell>
          <cell r="T495" t="str">
            <v>Analisa EI-315</v>
          </cell>
        </row>
        <row r="496">
          <cell r="A496" t="str">
            <v>JENIS PEKERJAAN</v>
          </cell>
          <cell r="D496" t="str">
            <v>:  Galian Struktur Kedalaman  &gt; 4 M</v>
          </cell>
        </row>
        <row r="497">
          <cell r="A497" t="str">
            <v>SATUAN PEMBAYARAN</v>
          </cell>
          <cell r="D497" t="str">
            <v>:  M3</v>
          </cell>
          <cell r="H497" t="str">
            <v xml:space="preserve">         URAIAN ANALISA HARGA SATUAN</v>
          </cell>
          <cell r="L497" t="str">
            <v>FORMULIR STANDAR UNTUK</v>
          </cell>
        </row>
        <row r="498">
          <cell r="L498" t="str">
            <v>PEREKAMAN ANALISA MASING-MASING HARGA SATUAN</v>
          </cell>
        </row>
        <row r="499">
          <cell r="L499" t="str">
            <v xml:space="preserve">                                                                                                            </v>
          </cell>
        </row>
        <row r="500">
          <cell r="A500" t="str">
            <v>No.</v>
          </cell>
          <cell r="C500" t="str">
            <v>U R A I A N</v>
          </cell>
          <cell r="G500" t="str">
            <v>KODE</v>
          </cell>
          <cell r="H500" t="str">
            <v>KOEF.</v>
          </cell>
          <cell r="I500" t="str">
            <v>SATUAN</v>
          </cell>
          <cell r="J500" t="str">
            <v>KETERANGAN</v>
          </cell>
        </row>
        <row r="502">
          <cell r="L502" t="str">
            <v>PROYEK</v>
          </cell>
          <cell r="O502" t="str">
            <v>:</v>
          </cell>
        </row>
        <row r="503">
          <cell r="A503" t="str">
            <v>I.</v>
          </cell>
          <cell r="C503" t="str">
            <v>ASUMSI</v>
          </cell>
          <cell r="L503" t="str">
            <v>No. PAKET KONTRAK</v>
          </cell>
          <cell r="O503" t="str">
            <v>:</v>
          </cell>
        </row>
        <row r="504">
          <cell r="A504">
            <v>1</v>
          </cell>
          <cell r="C504" t="str">
            <v>Pekerjaan dilakukan secara manual</v>
          </cell>
          <cell r="L504" t="str">
            <v>NAMA PAKET</v>
          </cell>
          <cell r="O504" t="str">
            <v>:</v>
          </cell>
        </row>
        <row r="505">
          <cell r="A505">
            <v>2</v>
          </cell>
          <cell r="C505" t="str">
            <v>Lokasi pekerjaan : sekitar jembatan</v>
          </cell>
          <cell r="L505" t="str">
            <v>PROP / KAB / KODYA</v>
          </cell>
          <cell r="O505" t="str">
            <v>:</v>
          </cell>
        </row>
        <row r="506">
          <cell r="A506">
            <v>3</v>
          </cell>
          <cell r="C506" t="str">
            <v>Kondisi Jalan   :  sedang / baik</v>
          </cell>
          <cell r="L506" t="str">
            <v>ITEM PEMBAYARAN NO.</v>
          </cell>
          <cell r="O506" t="str">
            <v>:  3.1 (8)</v>
          </cell>
          <cell r="R506" t="str">
            <v>PERKIRAAN VOL. PEK.</v>
          </cell>
          <cell r="T506" t="str">
            <v>:</v>
          </cell>
          <cell r="U506">
            <v>1</v>
          </cell>
        </row>
        <row r="507">
          <cell r="A507">
            <v>4</v>
          </cell>
          <cell r="C507" t="str">
            <v>Jam kerja efektif per-hari</v>
          </cell>
          <cell r="G507" t="str">
            <v>Tk</v>
          </cell>
          <cell r="H507">
            <v>7</v>
          </cell>
          <cell r="I507" t="str">
            <v>Jam</v>
          </cell>
          <cell r="L507" t="str">
            <v>JENIS PEKERJAAN</v>
          </cell>
          <cell r="O507" t="str">
            <v>:  Galian Struktur Kedalaman  &gt; 4 M</v>
          </cell>
          <cell r="R507" t="str">
            <v>TOTAL HARGA (Rp.)</v>
          </cell>
          <cell r="T507" t="str">
            <v>:</v>
          </cell>
          <cell r="U507">
            <v>12059.93</v>
          </cell>
        </row>
        <row r="508">
          <cell r="A508">
            <v>5</v>
          </cell>
          <cell r="C508" t="str">
            <v>Faktor pengembangan bahan</v>
          </cell>
          <cell r="G508" t="str">
            <v>Fh</v>
          </cell>
          <cell r="H508">
            <v>1.2</v>
          </cell>
          <cell r="I508" t="str">
            <v>-</v>
          </cell>
          <cell r="L508" t="str">
            <v>SATUAN PEMBAYARAN</v>
          </cell>
          <cell r="O508" t="str">
            <v>:  M3</v>
          </cell>
          <cell r="R508" t="str">
            <v>% THD. BIAYA PROYEK</v>
          </cell>
          <cell r="T508" t="str">
            <v>:</v>
          </cell>
          <cell r="U508" t="e">
            <v>#DIV/0!</v>
          </cell>
        </row>
        <row r="509">
          <cell r="A509">
            <v>6</v>
          </cell>
          <cell r="C509" t="str">
            <v>Pengurugan kembali (backfill) untuk struktur</v>
          </cell>
          <cell r="G509" t="str">
            <v>Uk</v>
          </cell>
          <cell r="H509">
            <v>50</v>
          </cell>
          <cell r="I509" t="str">
            <v>%/M3</v>
          </cell>
        </row>
        <row r="511">
          <cell r="A511" t="str">
            <v>II.</v>
          </cell>
          <cell r="C511" t="str">
            <v>METHODE PELAKSANAAN</v>
          </cell>
          <cell r="Q511" t="str">
            <v>PERKIRAAN</v>
          </cell>
          <cell r="R511" t="str">
            <v>HARGA</v>
          </cell>
          <cell r="S511" t="str">
            <v>JUMLAH</v>
          </cell>
        </row>
        <row r="512">
          <cell r="A512">
            <v>1</v>
          </cell>
          <cell r="C512" t="str">
            <v>Tanah / batu  yang dipotong berada disekitar jembatan</v>
          </cell>
          <cell r="L512" t="str">
            <v>NO.</v>
          </cell>
          <cell r="N512" t="str">
            <v>KOMPONEN</v>
          </cell>
          <cell r="P512" t="str">
            <v>SATUAN</v>
          </cell>
          <cell r="Q512" t="str">
            <v>KUANTITAS</v>
          </cell>
          <cell r="R512" t="str">
            <v>SATUAN</v>
          </cell>
          <cell r="S512" t="str">
            <v>HARGA</v>
          </cell>
        </row>
        <row r="513">
          <cell r="A513">
            <v>2</v>
          </cell>
          <cell r="C513" t="str">
            <v>Penggalian dilakukan dengan mgenggunakan alat</v>
          </cell>
          <cell r="R513" t="str">
            <v>(Rp.)</v>
          </cell>
          <cell r="S513" t="str">
            <v>(Rp.)</v>
          </cell>
        </row>
        <row r="514">
          <cell r="C514" t="str">
            <v>Excavator</v>
          </cell>
        </row>
        <row r="515">
          <cell r="A515">
            <v>3</v>
          </cell>
          <cell r="C515" t="str">
            <v>Bulldozer mengangkut/mengusur hasil galian ke tempat</v>
          </cell>
        </row>
        <row r="516">
          <cell r="C516" t="str">
            <v>pembuangan dilokasi sekitar jembatan</v>
          </cell>
          <cell r="G516" t="str">
            <v>L</v>
          </cell>
          <cell r="H516">
            <v>0.1</v>
          </cell>
          <cell r="I516" t="str">
            <v>Km</v>
          </cell>
          <cell r="L516" t="str">
            <v>A.</v>
          </cell>
          <cell r="N516" t="str">
            <v>TENAGA</v>
          </cell>
        </row>
        <row r="518">
          <cell r="A518" t="str">
            <v>III.</v>
          </cell>
          <cell r="C518" t="str">
            <v>PEMAKAIAN BAHAN, ALAT DAN TENAGA</v>
          </cell>
          <cell r="L518" t="str">
            <v>1.</v>
          </cell>
          <cell r="N518" t="str">
            <v>Pekerja</v>
          </cell>
          <cell r="O518" t="str">
            <v>(L01)</v>
          </cell>
          <cell r="P518" t="str">
            <v>Jam</v>
          </cell>
          <cell r="Q518">
            <v>0.56275312899532737</v>
          </cell>
          <cell r="R518">
            <v>2857.14</v>
          </cell>
          <cell r="U518">
            <v>1607.8644749777095</v>
          </cell>
        </row>
        <row r="519">
          <cell r="L519" t="str">
            <v>2.</v>
          </cell>
          <cell r="N519" t="str">
            <v>Mandor</v>
          </cell>
          <cell r="O519" t="str">
            <v>(L03)</v>
          </cell>
          <cell r="P519" t="str">
            <v>Jam</v>
          </cell>
          <cell r="Q519">
            <v>4.689609408294395E-2</v>
          </cell>
          <cell r="R519">
            <v>3214.29</v>
          </cell>
          <cell r="U519">
            <v>150.73764624986592</v>
          </cell>
        </row>
        <row r="520">
          <cell r="A520" t="str">
            <v xml:space="preserve">   1.</v>
          </cell>
          <cell r="C520" t="str">
            <v>BAHAN</v>
          </cell>
        </row>
        <row r="521">
          <cell r="C521" t="str">
            <v>- Urugan Pilihan (untuk backfill)</v>
          </cell>
          <cell r="E521" t="str">
            <v>= Uk x 1M3</v>
          </cell>
          <cell r="G521" t="str">
            <v>(EI-322)</v>
          </cell>
          <cell r="H521">
            <v>0.5</v>
          </cell>
          <cell r="I521" t="str">
            <v>M3</v>
          </cell>
        </row>
        <row r="522">
          <cell r="Q522" t="str">
            <v xml:space="preserve">JUMLAH HARGA TENAGA   </v>
          </cell>
          <cell r="U522">
            <v>1758.6021212275755</v>
          </cell>
        </row>
        <row r="523">
          <cell r="A523" t="str">
            <v xml:space="preserve">   2.</v>
          </cell>
          <cell r="C523" t="str">
            <v>ALAT</v>
          </cell>
        </row>
        <row r="524">
          <cell r="A524" t="str">
            <v xml:space="preserve">   2.a.</v>
          </cell>
          <cell r="C524" t="str">
            <v>EXCAVATOR</v>
          </cell>
          <cell r="G524" t="str">
            <v>(E10)</v>
          </cell>
          <cell r="L524" t="str">
            <v>B.</v>
          </cell>
          <cell r="N524" t="str">
            <v>BAHAN</v>
          </cell>
        </row>
        <row r="525">
          <cell r="C525" t="str">
            <v>Kapasitas Bucket</v>
          </cell>
          <cell r="G525" t="str">
            <v>V</v>
          </cell>
          <cell r="H525">
            <v>0.93</v>
          </cell>
          <cell r="I525" t="str">
            <v>M3</v>
          </cell>
        </row>
        <row r="526">
          <cell r="C526" t="str">
            <v>Faktor Bucket</v>
          </cell>
          <cell r="G526" t="str">
            <v>Fb</v>
          </cell>
          <cell r="H526">
            <v>0.9</v>
          </cell>
          <cell r="I526" t="str">
            <v>-</v>
          </cell>
          <cell r="L526" t="str">
            <v>1.</v>
          </cell>
          <cell r="N526" t="str">
            <v xml:space="preserve">Urugan Pilihan </v>
          </cell>
          <cell r="O526" t="str">
            <v>(EI-322)</v>
          </cell>
          <cell r="P526" t="str">
            <v>M3</v>
          </cell>
          <cell r="Q526">
            <v>0.5</v>
          </cell>
          <cell r="R526">
            <v>455558.60740011773</v>
          </cell>
          <cell r="U526">
            <v>227779.30370005887</v>
          </cell>
        </row>
        <row r="527">
          <cell r="C527" t="str">
            <v>Faktor  Efisiensi alat</v>
          </cell>
          <cell r="G527" t="str">
            <v>Fa</v>
          </cell>
          <cell r="H527">
            <v>0.83</v>
          </cell>
          <cell r="I527" t="str">
            <v>-</v>
          </cell>
        </row>
        <row r="528">
          <cell r="C528" t="str">
            <v>Faktor kedalaman</v>
          </cell>
          <cell r="G528" t="str">
            <v>Fd</v>
          </cell>
          <cell r="H528">
            <v>0.65</v>
          </cell>
          <cell r="I528" t="str">
            <v>-</v>
          </cell>
        </row>
        <row r="529">
          <cell r="C529" t="str">
            <v>Berat isi material</v>
          </cell>
          <cell r="G529" t="str">
            <v>Bim</v>
          </cell>
          <cell r="H529">
            <v>0.85</v>
          </cell>
          <cell r="I529" t="str">
            <v>-</v>
          </cell>
        </row>
        <row r="531">
          <cell r="C531" t="str">
            <v>Waktu siklus</v>
          </cell>
        </row>
        <row r="532">
          <cell r="C532" t="str">
            <v>- Menggali / memuat</v>
          </cell>
          <cell r="G532" t="str">
            <v>Te1</v>
          </cell>
          <cell r="H532">
            <v>0.65</v>
          </cell>
          <cell r="I532" t="str">
            <v>menit</v>
          </cell>
          <cell r="Q532" t="str">
            <v xml:space="preserve">JUMLAH HARGA BAHAN   </v>
          </cell>
          <cell r="U532">
            <v>227779.30370005887</v>
          </cell>
        </row>
        <row r="533">
          <cell r="C533" t="str">
            <v>- Lain-lain</v>
          </cell>
          <cell r="G533" t="str">
            <v>Te2</v>
          </cell>
          <cell r="H533">
            <v>0.25</v>
          </cell>
          <cell r="I533" t="str">
            <v>menit</v>
          </cell>
        </row>
        <row r="534">
          <cell r="G534" t="str">
            <v>Te</v>
          </cell>
          <cell r="H534">
            <v>0.9</v>
          </cell>
          <cell r="I534" t="str">
            <v>menit</v>
          </cell>
          <cell r="L534" t="str">
            <v>C.</v>
          </cell>
          <cell r="N534" t="str">
            <v>PERALATAN</v>
          </cell>
        </row>
        <row r="535">
          <cell r="L535" t="str">
            <v>1.</v>
          </cell>
          <cell r="N535" t="str">
            <v>Excavator</v>
          </cell>
          <cell r="O535" t="str">
            <v>(E10)</v>
          </cell>
          <cell r="P535" t="str">
            <v>Jam</v>
          </cell>
          <cell r="Q535">
            <v>4.689609408294395E-2</v>
          </cell>
          <cell r="R535">
            <v>238185.05650827778</v>
          </cell>
          <cell r="U535">
            <v>11169.948819163516</v>
          </cell>
        </row>
        <row r="536">
          <cell r="L536" t="str">
            <v>2.</v>
          </cell>
          <cell r="N536" t="str">
            <v>Bulldozer</v>
          </cell>
          <cell r="O536" t="str">
            <v>(E04)</v>
          </cell>
          <cell r="P536" t="str">
            <v>Jam</v>
          </cell>
          <cell r="Q536">
            <v>1.0213694283306062E-4</v>
          </cell>
          <cell r="R536">
            <v>256721.09983229413</v>
          </cell>
          <cell r="U536">
            <v>26.220708297611473</v>
          </cell>
        </row>
        <row r="537">
          <cell r="C537" t="str">
            <v>Kap. Prod. / jam =</v>
          </cell>
          <cell r="D537" t="str">
            <v>V  x Fb x Fa x Fd x Bim x 60</v>
          </cell>
          <cell r="G537" t="str">
            <v>Q1</v>
          </cell>
          <cell r="H537">
            <v>21.3237375</v>
          </cell>
          <cell r="I537" t="str">
            <v>M3/Jam</v>
          </cell>
          <cell r="L537" t="str">
            <v>3.</v>
          </cell>
          <cell r="N537" t="str">
            <v>Alat  bantu</v>
          </cell>
          <cell r="P537" t="str">
            <v>Ls</v>
          </cell>
          <cell r="Q537">
            <v>1</v>
          </cell>
          <cell r="R537">
            <v>250</v>
          </cell>
          <cell r="U537">
            <v>250</v>
          </cell>
        </row>
        <row r="538">
          <cell r="D538" t="str">
            <v>Te x Fh</v>
          </cell>
        </row>
        <row r="540">
          <cell r="C540" t="str">
            <v>Koefisien Alat / M3</v>
          </cell>
          <cell r="D540" t="str">
            <v xml:space="preserve"> =  1  :  Q1</v>
          </cell>
          <cell r="G540" t="str">
            <v>(E10)</v>
          </cell>
          <cell r="H540">
            <v>4.689609408294395E-2</v>
          </cell>
          <cell r="I540" t="str">
            <v>Jam</v>
          </cell>
        </row>
        <row r="543">
          <cell r="A543" t="str">
            <v>2.a.</v>
          </cell>
          <cell r="C543" t="str">
            <v>BULLDOZER</v>
          </cell>
          <cell r="G543" t="str">
            <v>(E04)</v>
          </cell>
        </row>
        <row r="544">
          <cell r="C544" t="str">
            <v>Faktor pisau (blade)</v>
          </cell>
          <cell r="G544" t="str">
            <v>Fb</v>
          </cell>
          <cell r="H544">
            <v>1</v>
          </cell>
          <cell r="I544" t="str">
            <v>-</v>
          </cell>
        </row>
        <row r="545">
          <cell r="C545" t="str">
            <v>Faktor  efisiensi kerja</v>
          </cell>
          <cell r="G545" t="str">
            <v>Fa</v>
          </cell>
          <cell r="H545">
            <v>0.83</v>
          </cell>
          <cell r="I545" t="str">
            <v>-</v>
          </cell>
        </row>
        <row r="546">
          <cell r="C546" t="str">
            <v>Kecepatan mengupas</v>
          </cell>
          <cell r="G546" t="str">
            <v>Vf</v>
          </cell>
          <cell r="H546">
            <v>3</v>
          </cell>
          <cell r="I546" t="str">
            <v>Km/Jam</v>
          </cell>
        </row>
        <row r="547">
          <cell r="C547" t="str">
            <v>Kecepatan mundur</v>
          </cell>
          <cell r="G547" t="str">
            <v>Vr</v>
          </cell>
          <cell r="H547">
            <v>5</v>
          </cell>
          <cell r="I547" t="str">
            <v>Km/Jam</v>
          </cell>
        </row>
        <row r="548">
          <cell r="C548" t="str">
            <v>Kapasitas pisau</v>
          </cell>
          <cell r="G548" t="str">
            <v>q</v>
          </cell>
          <cell r="H548">
            <v>5.4</v>
          </cell>
          <cell r="I548" t="str">
            <v>M3</v>
          </cell>
        </row>
        <row r="549">
          <cell r="A549" t="str">
            <v>`</v>
          </cell>
          <cell r="C549" t="str">
            <v>Faktor kemiringan (grade)</v>
          </cell>
          <cell r="G549" t="str">
            <v>Fm</v>
          </cell>
          <cell r="H549">
            <v>1</v>
          </cell>
        </row>
        <row r="555">
          <cell r="J555" t="str">
            <v>Berlanjut ke halaman berikut</v>
          </cell>
        </row>
        <row r="556">
          <cell r="A556" t="str">
            <v>ITEM PEMBAYARAN NO.</v>
          </cell>
          <cell r="D556" t="str">
            <v>:  3.1 (8)</v>
          </cell>
          <cell r="J556" t="str">
            <v>Analisa EI-315</v>
          </cell>
        </row>
        <row r="557">
          <cell r="A557" t="str">
            <v>JENIS PEKERJAAN</v>
          </cell>
          <cell r="D557" t="str">
            <v>:  Galian Struktur Kedalaman  &gt; 4 M</v>
          </cell>
        </row>
        <row r="558">
          <cell r="A558" t="str">
            <v>SATUAN PEMBAYARAN</v>
          </cell>
          <cell r="D558" t="str">
            <v>:  M3</v>
          </cell>
          <cell r="H558" t="str">
            <v xml:space="preserve">         URAIAN ANALISA HARGA SATUAN</v>
          </cell>
        </row>
        <row r="559">
          <cell r="J559" t="str">
            <v>Lanjutan</v>
          </cell>
        </row>
        <row r="561">
          <cell r="A561" t="str">
            <v>No.</v>
          </cell>
          <cell r="C561" t="str">
            <v>U R A I A N</v>
          </cell>
          <cell r="G561" t="str">
            <v>KODE</v>
          </cell>
          <cell r="H561" t="str">
            <v>KOEF.</v>
          </cell>
          <cell r="I561" t="str">
            <v>SATUAN</v>
          </cell>
          <cell r="J561" t="str">
            <v>KETERANGAN</v>
          </cell>
        </row>
        <row r="564">
          <cell r="C564" t="str">
            <v>Waktu Siklus</v>
          </cell>
        </row>
        <row r="565">
          <cell r="C565" t="str">
            <v>- Waktu gusur</v>
          </cell>
          <cell r="D565" t="str">
            <v>= l / Vf</v>
          </cell>
          <cell r="G565" t="str">
            <v>T1</v>
          </cell>
          <cell r="H565">
            <v>1.6666666666666666E-2</v>
          </cell>
          <cell r="I565" t="str">
            <v>menit</v>
          </cell>
        </row>
        <row r="566">
          <cell r="C566" t="str">
            <v>- Waktu kembali</v>
          </cell>
          <cell r="D566" t="str">
            <v>= l / Vr</v>
          </cell>
          <cell r="G566" t="str">
            <v>T2</v>
          </cell>
          <cell r="H566">
            <v>0.01</v>
          </cell>
          <cell r="I566" t="str">
            <v>menit</v>
          </cell>
        </row>
        <row r="567">
          <cell r="C567" t="str">
            <v>- Waktu lain-lain</v>
          </cell>
          <cell r="G567" t="str">
            <v>T3</v>
          </cell>
          <cell r="H567">
            <v>8.0000000000000004E-4</v>
          </cell>
          <cell r="I567" t="str">
            <v>menit</v>
          </cell>
        </row>
        <row r="568">
          <cell r="G568" t="str">
            <v>Ts</v>
          </cell>
          <cell r="H568">
            <v>2.7466666666666664E-2</v>
          </cell>
          <cell r="I568" t="str">
            <v>menit</v>
          </cell>
        </row>
        <row r="570">
          <cell r="C570" t="str">
            <v>Kapasitas Produksi / Jam   =</v>
          </cell>
          <cell r="E570" t="str">
            <v>q x Fb x Fm x Fa x 60/Ts</v>
          </cell>
          <cell r="G570" t="str">
            <v>Q2</v>
          </cell>
          <cell r="H570">
            <v>9790.7766990291275</v>
          </cell>
          <cell r="I570" t="str">
            <v>M3</v>
          </cell>
        </row>
        <row r="573">
          <cell r="C573" t="str">
            <v>Koefisien Alat / M3</v>
          </cell>
          <cell r="D573" t="str">
            <v xml:space="preserve"> =  1  :  Q2</v>
          </cell>
          <cell r="G573" t="str">
            <v>(E04)</v>
          </cell>
          <cell r="H573">
            <v>1.0213694283306062E-4</v>
          </cell>
          <cell r="I573" t="str">
            <v>Jam</v>
          </cell>
        </row>
        <row r="576">
          <cell r="A576" t="str">
            <v>2.d.</v>
          </cell>
          <cell r="C576" t="str">
            <v>ALAT  BANTU</v>
          </cell>
        </row>
        <row r="577">
          <cell r="C577" t="str">
            <v>Diperlukan alat-alat bantu kecil</v>
          </cell>
          <cell r="J577" t="str">
            <v>Lump Sump</v>
          </cell>
        </row>
        <row r="578">
          <cell r="C578" t="str">
            <v>- Pacul</v>
          </cell>
          <cell r="D578" t="str">
            <v>=  2  buah</v>
          </cell>
        </row>
        <row r="579">
          <cell r="C579" t="str">
            <v>- Sekop</v>
          </cell>
          <cell r="D579" t="str">
            <v>=  2  buah</v>
          </cell>
        </row>
        <row r="582">
          <cell r="A582" t="str">
            <v xml:space="preserve">   3.</v>
          </cell>
          <cell r="C582" t="str">
            <v>TENAGA</v>
          </cell>
        </row>
        <row r="583">
          <cell r="C583" t="str">
            <v>Produksi menentukan : EXCAVATOR</v>
          </cell>
          <cell r="G583" t="str">
            <v>Q1</v>
          </cell>
          <cell r="H583">
            <v>21.3237375</v>
          </cell>
          <cell r="I583" t="str">
            <v>M3/Jam</v>
          </cell>
        </row>
        <row r="584">
          <cell r="C584" t="str">
            <v>Produksi Galian / hari  =  Tk x Q1</v>
          </cell>
          <cell r="G584" t="str">
            <v>Qt</v>
          </cell>
          <cell r="H584">
            <v>149.26616250000001</v>
          </cell>
          <cell r="I584" t="str">
            <v>M3</v>
          </cell>
        </row>
        <row r="585">
          <cell r="C585" t="str">
            <v>Kebutuhan tenaga :</v>
          </cell>
        </row>
        <row r="586">
          <cell r="D586" t="str">
            <v>- Pekerja</v>
          </cell>
          <cell r="G586" t="str">
            <v>P</v>
          </cell>
          <cell r="H586">
            <v>12</v>
          </cell>
          <cell r="I586" t="str">
            <v>orang</v>
          </cell>
        </row>
        <row r="587">
          <cell r="D587" t="str">
            <v>- Mandor</v>
          </cell>
          <cell r="G587" t="str">
            <v>M</v>
          </cell>
          <cell r="H587">
            <v>1</v>
          </cell>
          <cell r="I587" t="str">
            <v>orang</v>
          </cell>
        </row>
        <row r="589">
          <cell r="C589" t="str">
            <v>Koefisien tenaga / M3   :</v>
          </cell>
        </row>
        <row r="590">
          <cell r="D590" t="str">
            <v>- Pekerja</v>
          </cell>
          <cell r="E590" t="str">
            <v>= (Tk x P) : Qt</v>
          </cell>
          <cell r="G590" t="str">
            <v>(L01)</v>
          </cell>
          <cell r="H590">
            <v>0.56275312899532737</v>
          </cell>
          <cell r="I590" t="str">
            <v>Jam</v>
          </cell>
        </row>
        <row r="591">
          <cell r="D591" t="str">
            <v>- Mandor</v>
          </cell>
          <cell r="E591" t="str">
            <v>= (Tk x M) : Qt</v>
          </cell>
          <cell r="G591" t="str">
            <v>(L03)</v>
          </cell>
          <cell r="H591">
            <v>4.689609408294395E-2</v>
          </cell>
          <cell r="I591" t="str">
            <v>Jam</v>
          </cell>
        </row>
        <row r="593">
          <cell r="A593" t="str">
            <v>4.</v>
          </cell>
          <cell r="C593" t="str">
            <v>HARGA DASAR SATUAN UPAH, BAHAN DAN ALAT</v>
          </cell>
        </row>
        <row r="594">
          <cell r="C594" t="str">
            <v>Lihat lampiran.</v>
          </cell>
        </row>
        <row r="596">
          <cell r="A596" t="str">
            <v>5.</v>
          </cell>
          <cell r="C596" t="str">
            <v>ANALISA HARGA SATUAN PEKERJAAN</v>
          </cell>
        </row>
        <row r="597">
          <cell r="C597" t="str">
            <v>Lihat perhitungan dalam FORMULIR STANDAR UNTUK</v>
          </cell>
        </row>
        <row r="598">
          <cell r="C598" t="str">
            <v>PEREKEMAN ANALISA MASING-MASING HARGA</v>
          </cell>
        </row>
        <row r="599">
          <cell r="C599" t="str">
            <v>SATUAN.</v>
          </cell>
        </row>
        <row r="600">
          <cell r="C600" t="str">
            <v>Didapat Harga Satuan Pekerjaan :</v>
          </cell>
        </row>
        <row r="602">
          <cell r="C602" t="str">
            <v xml:space="preserve">Rp.  </v>
          </cell>
          <cell r="D602">
            <v>265082.48288362235</v>
          </cell>
          <cell r="E602" t="str">
            <v xml:space="preserve"> / M3</v>
          </cell>
        </row>
        <row r="605">
          <cell r="A605" t="str">
            <v>6.</v>
          </cell>
          <cell r="C605" t="str">
            <v>WAKTU PELAKSANAAN YANG DIPERLUKAN</v>
          </cell>
        </row>
        <row r="606">
          <cell r="C606" t="str">
            <v>Masa Pelaksanaan :</v>
          </cell>
          <cell r="D606" t="str">
            <v>. . . . . . . . . . . .</v>
          </cell>
          <cell r="E606" t="str">
            <v>bulan</v>
          </cell>
        </row>
        <row r="608">
          <cell r="A608" t="str">
            <v>7.</v>
          </cell>
          <cell r="C608" t="str">
            <v>VOLUME PEKERJAAN YANG DIPERLUKAN</v>
          </cell>
        </row>
        <row r="609">
          <cell r="C609" t="str">
            <v>Volume pekerjaan  :</v>
          </cell>
          <cell r="D609">
            <v>150.73764624986592</v>
          </cell>
          <cell r="E609" t="str">
            <v>M3</v>
          </cell>
        </row>
        <row r="615">
          <cell r="A615" t="str">
            <v>ITEM PEMBAYARAN NO.</v>
          </cell>
          <cell r="D615" t="str">
            <v>:  3.1.(9)</v>
          </cell>
          <cell r="J615" t="str">
            <v>Analisa EI-312</v>
          </cell>
        </row>
        <row r="616">
          <cell r="A616" t="str">
            <v>JENIS PEKERJAAN</v>
          </cell>
          <cell r="D616" t="str">
            <v>:  Pembongkaran Perkerasan Beraspal dan berbutir</v>
          </cell>
          <cell r="L616" t="str">
            <v>PROYEK</v>
          </cell>
          <cell r="O616" t="str">
            <v>:</v>
          </cell>
        </row>
        <row r="617">
          <cell r="A617" t="str">
            <v>SATUAN PEMBAYARAN</v>
          </cell>
          <cell r="D617" t="str">
            <v>:  M3</v>
          </cell>
          <cell r="H617" t="str">
            <v xml:space="preserve">         URAIAN ANALISA HARGA SATUAN</v>
          </cell>
          <cell r="L617" t="str">
            <v>No. PAKET KONTRAK</v>
          </cell>
          <cell r="O617" t="str">
            <v>:</v>
          </cell>
        </row>
        <row r="618">
          <cell r="L618" t="str">
            <v>NAMA PAKET</v>
          </cell>
          <cell r="O618" t="str">
            <v>:</v>
          </cell>
        </row>
        <row r="619">
          <cell r="L619" t="str">
            <v>PROP / KAB / KODYA</v>
          </cell>
          <cell r="O619" t="str">
            <v>:</v>
          </cell>
        </row>
        <row r="620">
          <cell r="A620" t="str">
            <v>No.</v>
          </cell>
          <cell r="C620" t="str">
            <v>U R A I A N</v>
          </cell>
          <cell r="G620" t="str">
            <v>KODE</v>
          </cell>
          <cell r="H620" t="str">
            <v>KOEF.</v>
          </cell>
          <cell r="I620" t="str">
            <v>SATUAN</v>
          </cell>
          <cell r="J620" t="str">
            <v>KETERANGAN</v>
          </cell>
          <cell r="L620" t="str">
            <v>ITEM PEMBAYARAN NO.</v>
          </cell>
          <cell r="O620" t="str">
            <v>:  3.1.(9)</v>
          </cell>
          <cell r="R620" t="str">
            <v>PERKIRAAN VOL. PEK.</v>
          </cell>
          <cell r="T620" t="str">
            <v>:</v>
          </cell>
          <cell r="U620">
            <v>0</v>
          </cell>
        </row>
        <row r="621">
          <cell r="L621" t="str">
            <v>JENIS PEKERJAAN</v>
          </cell>
          <cell r="O621" t="str">
            <v>:  Pembongkaran Perkerasan Beraspal dan berbutir</v>
          </cell>
          <cell r="R621" t="str">
            <v>TOTAL HARGA (Rp.)</v>
          </cell>
          <cell r="T621" t="str">
            <v>:</v>
          </cell>
          <cell r="U621">
            <v>0</v>
          </cell>
        </row>
        <row r="622">
          <cell r="L622" t="str">
            <v>SATUAN PEMBAYARAN</v>
          </cell>
          <cell r="O622" t="str">
            <v>:  M3</v>
          </cell>
          <cell r="R622" t="str">
            <v>% THD. BIAYA PROYEK</v>
          </cell>
          <cell r="T622" t="str">
            <v>:</v>
          </cell>
          <cell r="U622" t="e">
            <v>#REF!</v>
          </cell>
        </row>
        <row r="623">
          <cell r="A623" t="str">
            <v>I.</v>
          </cell>
          <cell r="C623" t="str">
            <v>ASUMSI</v>
          </cell>
        </row>
        <row r="624">
          <cell r="A624">
            <v>1</v>
          </cell>
          <cell r="C624" t="str">
            <v>Pekerjaan dilakukan secara mekanik/manual</v>
          </cell>
        </row>
        <row r="625">
          <cell r="A625">
            <v>2</v>
          </cell>
          <cell r="C625" t="str">
            <v>Lokasi pekerjaan : sepanjang jalan</v>
          </cell>
          <cell r="Q625" t="str">
            <v>PERKIRAAN</v>
          </cell>
          <cell r="R625" t="str">
            <v>HARGA</v>
          </cell>
          <cell r="S625" t="str">
            <v>JUMLAH</v>
          </cell>
        </row>
        <row r="626">
          <cell r="A626">
            <v>3</v>
          </cell>
          <cell r="C626" t="str">
            <v>Kondisi Jalan   :  sedang / baik</v>
          </cell>
          <cell r="L626" t="str">
            <v>NO.</v>
          </cell>
          <cell r="N626" t="str">
            <v>KOMPONEN</v>
          </cell>
          <cell r="P626" t="str">
            <v>SATUAN</v>
          </cell>
          <cell r="Q626" t="str">
            <v>KUANTITAS</v>
          </cell>
          <cell r="R626" t="str">
            <v>SATUAN</v>
          </cell>
          <cell r="S626" t="str">
            <v>HARGA</v>
          </cell>
        </row>
        <row r="627">
          <cell r="A627">
            <v>4</v>
          </cell>
          <cell r="C627" t="str">
            <v>Jam kerja efektif per-hari</v>
          </cell>
          <cell r="G627" t="str">
            <v>Tk</v>
          </cell>
          <cell r="H627">
            <v>7</v>
          </cell>
          <cell r="I627" t="str">
            <v>Jam</v>
          </cell>
          <cell r="R627" t="str">
            <v>(Rp.)</v>
          </cell>
          <cell r="S627" t="str">
            <v>(Rp.)</v>
          </cell>
        </row>
        <row r="628">
          <cell r="A628">
            <v>5</v>
          </cell>
          <cell r="C628" t="str">
            <v>Faktor pengembangan bahan</v>
          </cell>
          <cell r="G628" t="str">
            <v>Fk</v>
          </cell>
          <cell r="H628">
            <v>1.24</v>
          </cell>
          <cell r="I628" t="str">
            <v>-</v>
          </cell>
        </row>
        <row r="630">
          <cell r="L630" t="str">
            <v>A.</v>
          </cell>
          <cell r="N630" t="str">
            <v>TENAGA</v>
          </cell>
        </row>
        <row r="631">
          <cell r="A631" t="str">
            <v>II.</v>
          </cell>
          <cell r="C631" t="str">
            <v>URUTAN KERJA</v>
          </cell>
        </row>
        <row r="632">
          <cell r="A632">
            <v>1</v>
          </cell>
          <cell r="C632" t="str">
            <v>Aspal yg dikeruk umumnya berada di badan jalan</v>
          </cell>
          <cell r="L632" t="str">
            <v>1.</v>
          </cell>
          <cell r="N632" t="str">
            <v>Pekerja</v>
          </cell>
          <cell r="O632" t="str">
            <v>(L01)</v>
          </cell>
          <cell r="P632" t="str">
            <v>Jam</v>
          </cell>
          <cell r="Q632">
            <v>2</v>
          </cell>
          <cell r="R632">
            <v>2857.14</v>
          </cell>
          <cell r="U632">
            <v>5714.28</v>
          </cell>
        </row>
        <row r="633">
          <cell r="A633">
            <v>2</v>
          </cell>
          <cell r="C633" t="str">
            <v>Pengerukan dilakukan dengan Jack Hammer dan</v>
          </cell>
          <cell r="L633" t="str">
            <v>2.</v>
          </cell>
          <cell r="N633" t="str">
            <v>Mandor</v>
          </cell>
          <cell r="O633" t="str">
            <v>(L03)</v>
          </cell>
          <cell r="P633" t="str">
            <v>Jam</v>
          </cell>
          <cell r="Q633">
            <v>1</v>
          </cell>
          <cell r="R633">
            <v>3214.29</v>
          </cell>
          <cell r="U633">
            <v>3214.29</v>
          </cell>
        </row>
        <row r="634">
          <cell r="C634" t="str">
            <v>dimuat ke dalam truck secara manual</v>
          </cell>
        </row>
        <row r="635">
          <cell r="A635">
            <v>3</v>
          </cell>
          <cell r="C635" t="str">
            <v>Dump Truck membuang material hasil galian keluar</v>
          </cell>
        </row>
        <row r="636">
          <cell r="C636" t="str">
            <v>lokasi jalan sejauh :</v>
          </cell>
          <cell r="G636" t="str">
            <v>L</v>
          </cell>
          <cell r="H636">
            <v>5</v>
          </cell>
          <cell r="I636" t="str">
            <v>Km</v>
          </cell>
          <cell r="Q636" t="str">
            <v xml:space="preserve">JUMLAH HARGA TENAGA   </v>
          </cell>
          <cell r="U636">
            <v>8928.57</v>
          </cell>
        </row>
        <row r="638">
          <cell r="L638" t="str">
            <v>B.</v>
          </cell>
          <cell r="N638" t="str">
            <v>BAHAN</v>
          </cell>
        </row>
        <row r="640">
          <cell r="A640" t="str">
            <v>III.</v>
          </cell>
          <cell r="C640" t="str">
            <v>PEMAKAIAN BAHAN, ALAT DAN TENAGA</v>
          </cell>
        </row>
        <row r="642">
          <cell r="A642" t="str">
            <v xml:space="preserve">   1.</v>
          </cell>
          <cell r="C642" t="str">
            <v>BAHAN</v>
          </cell>
        </row>
        <row r="643">
          <cell r="C643" t="str">
            <v>Tidak ada bahan yang diperlukan</v>
          </cell>
        </row>
        <row r="646">
          <cell r="A646" t="str">
            <v xml:space="preserve">   2.</v>
          </cell>
          <cell r="C646" t="str">
            <v>ALAT</v>
          </cell>
          <cell r="Q646" t="str">
            <v xml:space="preserve">JUMLAH HARGA BAHAN   </v>
          </cell>
          <cell r="U646">
            <v>0</v>
          </cell>
        </row>
        <row r="647">
          <cell r="A647" t="str">
            <v xml:space="preserve">   2.a.</v>
          </cell>
          <cell r="C647" t="str">
            <v>JACK HAMMER, COMPRESSOR</v>
          </cell>
        </row>
        <row r="648">
          <cell r="C648" t="str">
            <v>Produksi per jam</v>
          </cell>
          <cell r="G648" t="str">
            <v>Q1</v>
          </cell>
          <cell r="H648">
            <v>1</v>
          </cell>
          <cell r="I648" t="str">
            <v>M3 / Jam</v>
          </cell>
          <cell r="L648" t="str">
            <v>C.</v>
          </cell>
          <cell r="N648" t="str">
            <v>PERALATAN</v>
          </cell>
        </row>
        <row r="649">
          <cell r="L649" t="str">
            <v>1.</v>
          </cell>
          <cell r="N649" t="str">
            <v>Cold Milling</v>
          </cell>
          <cell r="P649" t="str">
            <v>Jam</v>
          </cell>
          <cell r="Q649">
            <v>1</v>
          </cell>
          <cell r="R649">
            <v>1163221.6447452162</v>
          </cell>
          <cell r="U649">
            <v>1163221.6447452162</v>
          </cell>
        </row>
        <row r="650">
          <cell r="C650" t="str">
            <v>Koefisien Alat / m3</v>
          </cell>
          <cell r="D650" t="str">
            <v xml:space="preserve"> =  1  :  Q1</v>
          </cell>
          <cell r="H650">
            <v>1</v>
          </cell>
          <cell r="I650" t="str">
            <v>Jam</v>
          </cell>
          <cell r="L650">
            <v>2</v>
          </cell>
          <cell r="N650" t="str">
            <v>Dump Truck</v>
          </cell>
          <cell r="O650" t="str">
            <v>(E08)</v>
          </cell>
          <cell r="P650" t="str">
            <v>Jam</v>
          </cell>
          <cell r="Q650">
            <v>1.5790495314591702</v>
          </cell>
          <cell r="R650">
            <v>153645.58193291764</v>
          </cell>
          <cell r="U650">
            <v>242613.98416194515</v>
          </cell>
        </row>
        <row r="651">
          <cell r="L651">
            <v>3</v>
          </cell>
          <cell r="N651" t="str">
            <v>Jack Hammer</v>
          </cell>
          <cell r="O651" t="str">
            <v>(E26)</v>
          </cell>
          <cell r="P651" t="str">
            <v>Jam</v>
          </cell>
          <cell r="Q651">
            <v>1</v>
          </cell>
          <cell r="R651">
            <v>16417.550326811437</v>
          </cell>
          <cell r="U651">
            <v>16417.550326811437</v>
          </cell>
        </row>
        <row r="652">
          <cell r="L652">
            <v>4</v>
          </cell>
          <cell r="N652" t="str">
            <v>Compresor</v>
          </cell>
          <cell r="O652" t="str">
            <v>(E05)</v>
          </cell>
          <cell r="P652" t="str">
            <v>Jam</v>
          </cell>
          <cell r="Q652">
            <v>1</v>
          </cell>
          <cell r="R652">
            <v>53840.365312835944</v>
          </cell>
          <cell r="U652">
            <v>53840.365312835944</v>
          </cell>
        </row>
        <row r="653">
          <cell r="A653" t="str">
            <v xml:space="preserve">   2.b.</v>
          </cell>
          <cell r="C653" t="str">
            <v>DUMP TRUCK</v>
          </cell>
          <cell r="G653" t="str">
            <v>(E08)</v>
          </cell>
          <cell r="L653">
            <v>5</v>
          </cell>
          <cell r="N653" t="str">
            <v>Alat  bantu</v>
          </cell>
          <cell r="P653" t="str">
            <v>Ls</v>
          </cell>
          <cell r="Q653">
            <v>1</v>
          </cell>
          <cell r="R653">
            <v>225</v>
          </cell>
          <cell r="U653">
            <v>225</v>
          </cell>
        </row>
        <row r="654">
          <cell r="C654" t="str">
            <v>Kapasitas bak</v>
          </cell>
          <cell r="G654" t="str">
            <v>V</v>
          </cell>
          <cell r="H654">
            <v>4</v>
          </cell>
          <cell r="I654" t="str">
            <v>M3</v>
          </cell>
        </row>
        <row r="655">
          <cell r="C655" t="str">
            <v>Faktor  efisiensi alat</v>
          </cell>
          <cell r="G655" t="str">
            <v>Fa</v>
          </cell>
          <cell r="H655">
            <v>0.83</v>
          </cell>
          <cell r="I655" t="str">
            <v>-</v>
          </cell>
          <cell r="Q655" t="str">
            <v xml:space="preserve">JUMLAH HARGA PERALATAN   </v>
          </cell>
          <cell r="U655">
            <v>1476318.5445468086</v>
          </cell>
        </row>
        <row r="656">
          <cell r="C656" t="str">
            <v>Kecepatan rata-rata bermuatan</v>
          </cell>
          <cell r="G656" t="str">
            <v>v1</v>
          </cell>
          <cell r="H656">
            <v>45</v>
          </cell>
          <cell r="I656" t="str">
            <v>KM/Jam</v>
          </cell>
        </row>
        <row r="657">
          <cell r="C657" t="str">
            <v>Kecepatan rata-rata kosong</v>
          </cell>
          <cell r="G657" t="str">
            <v>v2</v>
          </cell>
          <cell r="H657">
            <v>60</v>
          </cell>
          <cell r="I657" t="str">
            <v>KM/Jam</v>
          </cell>
          <cell r="L657" t="str">
            <v>D.</v>
          </cell>
          <cell r="N657" t="str">
            <v>JUMLAH HARGA TENAGA, BAHAN DAN PERALATAN  ( A + B + C )</v>
          </cell>
          <cell r="U657">
            <v>1485247.1145468086</v>
          </cell>
        </row>
        <row r="658">
          <cell r="C658" t="str">
            <v>Waktu  siklus</v>
          </cell>
          <cell r="G658" t="str">
            <v>Ts1</v>
          </cell>
          <cell r="I658" t="str">
            <v>menit</v>
          </cell>
          <cell r="L658" t="str">
            <v>E.</v>
          </cell>
          <cell r="N658" t="str">
            <v>OVERHEAD &amp; PROFIT</v>
          </cell>
          <cell r="P658">
            <v>10</v>
          </cell>
          <cell r="Q658" t="str">
            <v>%  x  D</v>
          </cell>
          <cell r="U658">
            <v>148524.71145468086</v>
          </cell>
        </row>
        <row r="659">
          <cell r="C659" t="str">
            <v>- Waktu tempuh isi</v>
          </cell>
          <cell r="E659" t="str">
            <v>=   (L  :  v1)  x  60</v>
          </cell>
          <cell r="G659" t="str">
            <v>T1</v>
          </cell>
          <cell r="H659">
            <v>6.6666666666666661</v>
          </cell>
          <cell r="I659" t="str">
            <v>menit</v>
          </cell>
          <cell r="L659" t="str">
            <v>F.</v>
          </cell>
          <cell r="N659" t="str">
            <v>HARGA SATUAN PEKERJAAN  ( D + E )</v>
          </cell>
          <cell r="U659">
            <v>1633771.8260014895</v>
          </cell>
        </row>
        <row r="660">
          <cell r="C660" t="str">
            <v>- Waktu tempuh kosong</v>
          </cell>
          <cell r="E660" t="str">
            <v>=   (L  :  v2)  x  60</v>
          </cell>
          <cell r="G660" t="str">
            <v>T2</v>
          </cell>
          <cell r="H660">
            <v>5</v>
          </cell>
          <cell r="I660" t="str">
            <v>menit</v>
          </cell>
          <cell r="L660" t="str">
            <v>Note: 1</v>
          </cell>
          <cell r="N660" t="str">
            <v>SATUAN dapat berdasarkan atas jam operasi untuk Tenaga Kerja dan Peralatan, volume dan/atau ukuran</v>
          </cell>
        </row>
        <row r="661">
          <cell r="C661" t="str">
            <v>- Muat</v>
          </cell>
          <cell r="E661" t="str">
            <v>=   (V  :  Q1) x 60</v>
          </cell>
          <cell r="G661" t="str">
            <v>T3</v>
          </cell>
          <cell r="H661">
            <v>240</v>
          </cell>
          <cell r="I661" t="str">
            <v>menit</v>
          </cell>
          <cell r="N661" t="str">
            <v>berat untuk bahan-bahan.</v>
          </cell>
        </row>
        <row r="662">
          <cell r="C662" t="str">
            <v>- Lain-lain</v>
          </cell>
          <cell r="G662" t="str">
            <v>T4</v>
          </cell>
          <cell r="H662">
            <v>2</v>
          </cell>
          <cell r="I662" t="str">
            <v>menit</v>
          </cell>
          <cell r="L662">
            <v>2</v>
          </cell>
          <cell r="N662" t="str">
            <v>Kuantitas satuan adalah kuantitas setiap komponen untuk menyelesaikan satu satuan pekerjaan dari nomor</v>
          </cell>
        </row>
        <row r="663">
          <cell r="G663" t="str">
            <v>Ts1</v>
          </cell>
          <cell r="H663">
            <v>253.66666666666666</v>
          </cell>
          <cell r="I663" t="str">
            <v>menit</v>
          </cell>
          <cell r="N663" t="str">
            <v>mata pembayaran.</v>
          </cell>
        </row>
        <row r="664">
          <cell r="L664">
            <v>3</v>
          </cell>
          <cell r="N664" t="str">
            <v>Biaya satuan untuk peralatan sudah termasuk bahan bakar, bahan habis dipakai dan operator.</v>
          </cell>
        </row>
        <row r="665">
          <cell r="L665">
            <v>4</v>
          </cell>
          <cell r="N665" t="str">
            <v>Biaya satuan sudah termasuk pengeluaran untuk seluruh pajak yang berkaitan (tetapi tidak termasuk PPN</v>
          </cell>
        </row>
        <row r="666">
          <cell r="C666" t="str">
            <v>Kapasitas Produksi / Jam   =</v>
          </cell>
          <cell r="E666" t="str">
            <v>V x Fa x 60</v>
          </cell>
          <cell r="G666" t="str">
            <v>Q2</v>
          </cell>
          <cell r="H666">
            <v>0.63329235725488531</v>
          </cell>
          <cell r="I666" t="str">
            <v xml:space="preserve">M3 / Jam </v>
          </cell>
          <cell r="N666" t="str">
            <v>yang dibayar dari kontrak) dan biaya-biaya lainnya.</v>
          </cell>
        </row>
        <row r="667">
          <cell r="E667" t="str">
            <v xml:space="preserve">    Fk x Ts1</v>
          </cell>
        </row>
        <row r="670">
          <cell r="C670" t="str">
            <v>Koefisien Alat / m3</v>
          </cell>
          <cell r="D670" t="str">
            <v xml:space="preserve"> =  1  :  Q2</v>
          </cell>
          <cell r="G670" t="str">
            <v>(E08)</v>
          </cell>
          <cell r="H670">
            <v>1.5790495314591702</v>
          </cell>
          <cell r="I670" t="str">
            <v>Jam</v>
          </cell>
        </row>
        <row r="672">
          <cell r="C672" t="str">
            <v xml:space="preserve"> </v>
          </cell>
        </row>
        <row r="673">
          <cell r="C673" t="str">
            <v xml:space="preserve"> </v>
          </cell>
        </row>
        <row r="675">
          <cell r="J675" t="str">
            <v>Berlanjut ke halaman berikut</v>
          </cell>
        </row>
        <row r="676">
          <cell r="A676" t="str">
            <v>ITEM PEMBAYARAN NO.</v>
          </cell>
          <cell r="D676" t="str">
            <v>:  3.1.(9)</v>
          </cell>
          <cell r="J676" t="str">
            <v>Analisa EI-312</v>
          </cell>
        </row>
        <row r="677">
          <cell r="A677" t="str">
            <v>JENIS PEKERJAAN</v>
          </cell>
          <cell r="D677" t="str">
            <v>:  Pembongkaran Perkerasan Beraspal dan berbutir</v>
          </cell>
        </row>
        <row r="678">
          <cell r="A678" t="str">
            <v>SATUAN PEMBAYARAN</v>
          </cell>
          <cell r="D678" t="str">
            <v>:  M3</v>
          </cell>
          <cell r="H678" t="str">
            <v xml:space="preserve">         URAIAN ANALISA HARGA SATUAN</v>
          </cell>
        </row>
        <row r="679">
          <cell r="J679" t="str">
            <v>Lanjutan</v>
          </cell>
        </row>
        <row r="681">
          <cell r="A681" t="str">
            <v>No.</v>
          </cell>
          <cell r="C681" t="str">
            <v>U R A I A N</v>
          </cell>
          <cell r="G681" t="str">
            <v>KODE</v>
          </cell>
          <cell r="H681" t="str">
            <v>KOEF.</v>
          </cell>
          <cell r="I681" t="str">
            <v>SATUAN</v>
          </cell>
          <cell r="J681" t="str">
            <v>KETERANGAN</v>
          </cell>
        </row>
        <row r="684">
          <cell r="A684" t="str">
            <v xml:space="preserve"> 2.c</v>
          </cell>
          <cell r="C684" t="str">
            <v>ALAT  BANTU</v>
          </cell>
        </row>
        <row r="685">
          <cell r="C685" t="str">
            <v>Diperlukan alat-alat bantu kecil</v>
          </cell>
          <cell r="J685" t="str">
            <v>Lump Sump</v>
          </cell>
        </row>
        <row r="686">
          <cell r="C686" t="str">
            <v>- Sekop</v>
          </cell>
          <cell r="D686" t="str">
            <v>= 2 buah</v>
          </cell>
        </row>
        <row r="687">
          <cell r="C687" t="str">
            <v>- Kereta Sorong</v>
          </cell>
          <cell r="D687" t="str">
            <v>= 2 buah</v>
          </cell>
        </row>
        <row r="689">
          <cell r="A689" t="str">
            <v xml:space="preserve">   3.</v>
          </cell>
          <cell r="C689" t="str">
            <v>TENAGA</v>
          </cell>
        </row>
        <row r="690">
          <cell r="C690" t="str">
            <v>Produksi menentukan : Jack Hammer</v>
          </cell>
          <cell r="G690" t="str">
            <v>Q1</v>
          </cell>
          <cell r="H690">
            <v>1</v>
          </cell>
          <cell r="I690" t="str">
            <v>M3/Jam</v>
          </cell>
        </row>
        <row r="691">
          <cell r="C691" t="str">
            <v>Produksi Galian / hari  =  Tk x Q1</v>
          </cell>
          <cell r="G691" t="str">
            <v>Qt</v>
          </cell>
          <cell r="H691">
            <v>7</v>
          </cell>
          <cell r="I691" t="str">
            <v>M3</v>
          </cell>
        </row>
        <row r="692">
          <cell r="C692" t="str">
            <v>Kebutuhan tenaga :</v>
          </cell>
        </row>
        <row r="693">
          <cell r="D693" t="str">
            <v>- Pekerja</v>
          </cell>
          <cell r="G693" t="str">
            <v>P</v>
          </cell>
          <cell r="H693">
            <v>2</v>
          </cell>
          <cell r="I693" t="str">
            <v>orang</v>
          </cell>
        </row>
        <row r="694">
          <cell r="D694" t="str">
            <v>- Mandor</v>
          </cell>
          <cell r="G694" t="str">
            <v>M</v>
          </cell>
          <cell r="H694">
            <v>1</v>
          </cell>
          <cell r="I694" t="str">
            <v>orang</v>
          </cell>
        </row>
        <row r="696">
          <cell r="C696" t="str">
            <v>Koefisien tenaga / M3   :</v>
          </cell>
        </row>
        <row r="697">
          <cell r="D697" t="str">
            <v>- Pekerja</v>
          </cell>
          <cell r="E697" t="str">
            <v>= (Tk x P) : Qt</v>
          </cell>
          <cell r="G697" t="str">
            <v>(L01)</v>
          </cell>
          <cell r="H697">
            <v>2</v>
          </cell>
          <cell r="I697" t="str">
            <v>Jam</v>
          </cell>
        </row>
        <row r="698">
          <cell r="D698" t="str">
            <v>- Mandor</v>
          </cell>
          <cell r="E698" t="str">
            <v>= (Tk x M) : Qt</v>
          </cell>
          <cell r="G698" t="str">
            <v>(L03)</v>
          </cell>
          <cell r="H698">
            <v>1</v>
          </cell>
          <cell r="I698" t="str">
            <v>Jam</v>
          </cell>
        </row>
        <row r="700">
          <cell r="A700" t="str">
            <v>4.</v>
          </cell>
          <cell r="C700" t="str">
            <v>HARGA DASAR SATUAN UPAH, BAHAN DAN ALAT</v>
          </cell>
        </row>
        <row r="701">
          <cell r="C701" t="str">
            <v>Lihat lampiran.</v>
          </cell>
        </row>
        <row r="703">
          <cell r="A703" t="str">
            <v>5.</v>
          </cell>
          <cell r="C703" t="str">
            <v>ANALISA HARGA SATUAN PEKERJAAN</v>
          </cell>
        </row>
        <row r="704">
          <cell r="C704" t="str">
            <v>Lihat perhitungan dalam FORMULIR STANDAR UNTUK</v>
          </cell>
        </row>
        <row r="705">
          <cell r="C705" t="str">
            <v>PEREKEMAN ANALISA MASING-MASING HARGA</v>
          </cell>
        </row>
        <row r="706">
          <cell r="C706" t="str">
            <v>SATUAN.</v>
          </cell>
        </row>
        <row r="707">
          <cell r="C707" t="str">
            <v>Didapat Harga Satuan Pekerjaan :</v>
          </cell>
        </row>
        <row r="709">
          <cell r="C709" t="str">
            <v xml:space="preserve">Rp.  </v>
          </cell>
          <cell r="D709">
            <v>1633771.8260014895</v>
          </cell>
          <cell r="E709" t="str">
            <v xml:space="preserve"> / M2</v>
          </cell>
        </row>
        <row r="712">
          <cell r="A712" t="str">
            <v>6.</v>
          </cell>
          <cell r="C712" t="str">
            <v>WAKTU PELAKSANAAN YANG DIPERLUKAN</v>
          </cell>
        </row>
        <row r="713">
          <cell r="C713" t="str">
            <v>Masa Pelaksanaan :</v>
          </cell>
          <cell r="D713" t="str">
            <v>. . . . . . . . . . . .</v>
          </cell>
          <cell r="E713" t="str">
            <v>bulan</v>
          </cell>
        </row>
        <row r="715">
          <cell r="A715" t="str">
            <v>7.</v>
          </cell>
          <cell r="C715" t="str">
            <v>VOLUME PEKERJAAN YANG DIPERLUKAN</v>
          </cell>
        </row>
        <row r="716">
          <cell r="C716" t="str">
            <v>Volume pekerjaan  :</v>
          </cell>
          <cell r="D716">
            <v>0</v>
          </cell>
          <cell r="E716" t="str">
            <v>M3</v>
          </cell>
        </row>
        <row r="732">
          <cell r="A732" t="str">
            <v>ITEM PEMBAYARAN NO.</v>
          </cell>
          <cell r="D732" t="str">
            <v>:  3.1.(10)</v>
          </cell>
          <cell r="J732" t="str">
            <v>Analisa EI-312</v>
          </cell>
        </row>
        <row r="733">
          <cell r="A733" t="str">
            <v>JENIS PEKERJAAN</v>
          </cell>
          <cell r="D733" t="str">
            <v>:  Pembongk Perk Beraspal dengan Cold Milling Machine</v>
          </cell>
        </row>
        <row r="734">
          <cell r="A734" t="str">
            <v>SATUAN PEMBAYARAN</v>
          </cell>
          <cell r="D734" t="str">
            <v>:  M3</v>
          </cell>
          <cell r="H734" t="str">
            <v xml:space="preserve">         URAIAN ANALISA HARGA SATUAN</v>
          </cell>
        </row>
        <row r="737">
          <cell r="A737" t="str">
            <v>No.</v>
          </cell>
          <cell r="C737" t="str">
            <v>U R A I A N</v>
          </cell>
          <cell r="G737" t="str">
            <v>KODE</v>
          </cell>
          <cell r="H737" t="str">
            <v>KOEF.</v>
          </cell>
          <cell r="I737" t="str">
            <v>SATUAN</v>
          </cell>
          <cell r="J737" t="str">
            <v>KETERANGAN</v>
          </cell>
        </row>
        <row r="740">
          <cell r="A740" t="str">
            <v>I.</v>
          </cell>
          <cell r="C740" t="str">
            <v>ASUMSI</v>
          </cell>
        </row>
        <row r="741">
          <cell r="A741">
            <v>1</v>
          </cell>
          <cell r="C741" t="str">
            <v>Pekerjaan dilakukan secara mekanik</v>
          </cell>
        </row>
        <row r="742">
          <cell r="A742">
            <v>2</v>
          </cell>
          <cell r="C742" t="str">
            <v>Lokasi pekerjaan : sepanjang jalan</v>
          </cell>
        </row>
        <row r="743">
          <cell r="A743">
            <v>3</v>
          </cell>
          <cell r="C743" t="str">
            <v>Kondisi Jalan   :  sedang / baik</v>
          </cell>
        </row>
        <row r="744">
          <cell r="A744">
            <v>4</v>
          </cell>
          <cell r="C744" t="str">
            <v>Jam kerja efektif per-hari</v>
          </cell>
          <cell r="G744" t="str">
            <v>Tk</v>
          </cell>
          <cell r="H744">
            <v>7</v>
          </cell>
          <cell r="I744" t="str">
            <v>Jam</v>
          </cell>
        </row>
        <row r="745">
          <cell r="A745">
            <v>5</v>
          </cell>
          <cell r="C745" t="str">
            <v>Faktor pengembangan bahan</v>
          </cell>
          <cell r="G745" t="str">
            <v>Fk</v>
          </cell>
          <cell r="H745">
            <v>1.24</v>
          </cell>
          <cell r="I745" t="str">
            <v>-</v>
          </cell>
        </row>
        <row r="748">
          <cell r="A748" t="str">
            <v>II.</v>
          </cell>
          <cell r="C748" t="str">
            <v>URUTAN KERJA</v>
          </cell>
        </row>
        <row r="749">
          <cell r="A749">
            <v>1</v>
          </cell>
          <cell r="C749" t="str">
            <v>Aspal yg dikeruk umumnya berada di badan jalan</v>
          </cell>
        </row>
        <row r="750">
          <cell r="A750">
            <v>2</v>
          </cell>
          <cell r="C750" t="str">
            <v xml:space="preserve">Pengerukan dilakukan dengan Cold Milling </v>
          </cell>
        </row>
        <row r="751">
          <cell r="C751" t="str">
            <v xml:space="preserve">dimuat ke dlm Truk </v>
          </cell>
        </row>
        <row r="752">
          <cell r="A752">
            <v>3</v>
          </cell>
          <cell r="C752" t="str">
            <v>Dump Truck membuang material hasil galian keluar</v>
          </cell>
        </row>
        <row r="753">
          <cell r="C753" t="str">
            <v>lokasi jalan sejauh :</v>
          </cell>
          <cell r="G753" t="str">
            <v>L</v>
          </cell>
          <cell r="H753">
            <v>5</v>
          </cell>
          <cell r="I753" t="str">
            <v>Km</v>
          </cell>
        </row>
        <row r="757">
          <cell r="A757" t="str">
            <v>III.</v>
          </cell>
          <cell r="C757" t="str">
            <v>PEMAKAIAN BAHAN, ALAT DAN TENAGA</v>
          </cell>
        </row>
        <row r="759">
          <cell r="A759" t="str">
            <v xml:space="preserve">   1.</v>
          </cell>
          <cell r="C759" t="str">
            <v>BAHAN</v>
          </cell>
        </row>
        <row r="760">
          <cell r="C760" t="str">
            <v>Tidak ada bahan yang diperlukan</v>
          </cell>
        </row>
        <row r="763">
          <cell r="A763" t="str">
            <v xml:space="preserve">   2.</v>
          </cell>
          <cell r="C763" t="str">
            <v>ALAT</v>
          </cell>
        </row>
        <row r="764">
          <cell r="A764" t="str">
            <v xml:space="preserve">   2.a.</v>
          </cell>
          <cell r="C764" t="str">
            <v>COLD MILLING</v>
          </cell>
        </row>
        <row r="765">
          <cell r="C765" t="str">
            <v xml:space="preserve">Produksi teoritis per jam </v>
          </cell>
          <cell r="G765" t="str">
            <v>q</v>
          </cell>
          <cell r="H765">
            <v>300</v>
          </cell>
          <cell r="I765" t="str">
            <v>m</v>
          </cell>
        </row>
        <row r="766">
          <cell r="C766" t="str">
            <v>Kapasitas lebar galian</v>
          </cell>
          <cell r="G766" t="str">
            <v>b</v>
          </cell>
          <cell r="H766">
            <v>1000</v>
          </cell>
          <cell r="I766" t="str">
            <v>m</v>
          </cell>
        </row>
        <row r="767">
          <cell r="C767" t="str">
            <v>tebal galian</v>
          </cell>
          <cell r="G767" t="str">
            <v>t</v>
          </cell>
          <cell r="H767">
            <v>0.15</v>
          </cell>
          <cell r="I767" t="str">
            <v>m</v>
          </cell>
        </row>
        <row r="768">
          <cell r="C768" t="str">
            <v>kecepatan</v>
          </cell>
          <cell r="G768" t="str">
            <v>v</v>
          </cell>
          <cell r="H768">
            <v>5</v>
          </cell>
          <cell r="I768" t="str">
            <v>m/menit</v>
          </cell>
        </row>
        <row r="769">
          <cell r="C769" t="str">
            <v>Faktor effesiensi kerja</v>
          </cell>
          <cell r="G769" t="str">
            <v>Fa</v>
          </cell>
          <cell r="H769">
            <v>0.6</v>
          </cell>
          <cell r="J769" t="str">
            <v>grafik cold</v>
          </cell>
        </row>
        <row r="770">
          <cell r="J770" t="str">
            <v>miling</v>
          </cell>
        </row>
        <row r="771">
          <cell r="C771" t="str">
            <v>Kapasitas prod/jam =</v>
          </cell>
          <cell r="E771" t="str">
            <v>Fa x q x t x Fk</v>
          </cell>
          <cell r="G771" t="str">
            <v>Q1</v>
          </cell>
          <cell r="H771">
            <v>33.479999999999997</v>
          </cell>
          <cell r="I771" t="str">
            <v>M3</v>
          </cell>
        </row>
        <row r="773">
          <cell r="C773" t="str">
            <v>Koefisien Alat / m3</v>
          </cell>
          <cell r="D773" t="str">
            <v xml:space="preserve"> =  1  :  Q1</v>
          </cell>
          <cell r="H773">
            <v>2.9868578255675033E-2</v>
          </cell>
          <cell r="I773" t="str">
            <v>Jam</v>
          </cell>
        </row>
        <row r="776">
          <cell r="A776" t="str">
            <v xml:space="preserve">   2.b.</v>
          </cell>
          <cell r="C776" t="str">
            <v>DUMP TRUCK</v>
          </cell>
          <cell r="G776" t="str">
            <v>(E08)</v>
          </cell>
        </row>
        <row r="777">
          <cell r="C777" t="str">
            <v>Kapasitas bak</v>
          </cell>
          <cell r="G777" t="str">
            <v>V</v>
          </cell>
          <cell r="H777">
            <v>4</v>
          </cell>
          <cell r="I777" t="str">
            <v>M3</v>
          </cell>
        </row>
        <row r="778">
          <cell r="C778" t="str">
            <v>Faktor  efisiensi alat</v>
          </cell>
          <cell r="G778" t="str">
            <v>Fa</v>
          </cell>
          <cell r="H778">
            <v>0.83</v>
          </cell>
          <cell r="I778" t="str">
            <v>-</v>
          </cell>
        </row>
        <row r="779">
          <cell r="C779" t="str">
            <v>Kecepatan rata-rata bermuatan</v>
          </cell>
          <cell r="G779" t="str">
            <v>v1</v>
          </cell>
          <cell r="H779">
            <v>45</v>
          </cell>
          <cell r="I779" t="str">
            <v>KM/Jam</v>
          </cell>
        </row>
        <row r="780">
          <cell r="C780" t="str">
            <v>Kecepatan rata-rata kosong</v>
          </cell>
          <cell r="G780" t="str">
            <v>v2</v>
          </cell>
          <cell r="H780">
            <v>60</v>
          </cell>
          <cell r="I780" t="str">
            <v>KM/Jam</v>
          </cell>
        </row>
        <row r="781">
          <cell r="C781" t="str">
            <v>Waktu  siklus</v>
          </cell>
          <cell r="G781" t="str">
            <v>Ts1</v>
          </cell>
          <cell r="I781" t="str">
            <v>menit</v>
          </cell>
        </row>
        <row r="782">
          <cell r="C782" t="str">
            <v>- Waktu tempuh isi</v>
          </cell>
          <cell r="E782" t="str">
            <v>=   (L  :  v1)  x  60</v>
          </cell>
          <cell r="G782" t="str">
            <v>T1</v>
          </cell>
          <cell r="H782">
            <v>6.6666666666666661</v>
          </cell>
          <cell r="I782" t="str">
            <v>menit</v>
          </cell>
        </row>
        <row r="783">
          <cell r="C783" t="str">
            <v>- Waktu tempuh kosong</v>
          </cell>
          <cell r="E783" t="str">
            <v>=   (L  :  v2)  x  60</v>
          </cell>
          <cell r="G783" t="str">
            <v>T2</v>
          </cell>
          <cell r="H783">
            <v>5</v>
          </cell>
          <cell r="I783" t="str">
            <v>menit</v>
          </cell>
        </row>
        <row r="784">
          <cell r="C784" t="str">
            <v>- Muat</v>
          </cell>
          <cell r="E784" t="str">
            <v>=   (V  :  Q1) x 60</v>
          </cell>
          <cell r="G784" t="str">
            <v>T3</v>
          </cell>
          <cell r="H784">
            <v>7.1684587813620082</v>
          </cell>
          <cell r="I784" t="str">
            <v>menit</v>
          </cell>
        </row>
        <row r="785">
          <cell r="C785" t="str">
            <v>- Lain-lain</v>
          </cell>
          <cell r="G785" t="str">
            <v>T4</v>
          </cell>
          <cell r="H785">
            <v>2</v>
          </cell>
          <cell r="I785" t="str">
            <v>menit</v>
          </cell>
        </row>
        <row r="786">
          <cell r="G786" t="str">
            <v>Ts1</v>
          </cell>
          <cell r="H786">
            <v>20.835125448028673</v>
          </cell>
          <cell r="I786" t="str">
            <v>menit</v>
          </cell>
        </row>
        <row r="789">
          <cell r="C789" t="str">
            <v>Kapasitas Produksi / Jam   =</v>
          </cell>
          <cell r="E789" t="str">
            <v>V x Fa x 60</v>
          </cell>
          <cell r="G789" t="str">
            <v>Q2</v>
          </cell>
          <cell r="H789">
            <v>7.7103044899363491</v>
          </cell>
          <cell r="I789" t="str">
            <v xml:space="preserve">M3 / Jam </v>
          </cell>
        </row>
        <row r="790">
          <cell r="E790" t="str">
            <v xml:space="preserve">    Fk x Ts1</v>
          </cell>
        </row>
        <row r="793">
          <cell r="C793" t="str">
            <v>Koefisien Alat / m3</v>
          </cell>
          <cell r="D793" t="str">
            <v xml:space="preserve"> =  1  :  Q2</v>
          </cell>
          <cell r="G793" t="str">
            <v>(E08)</v>
          </cell>
          <cell r="H793">
            <v>0.12969656403391344</v>
          </cell>
          <cell r="I793" t="str">
            <v>Jam</v>
          </cell>
        </row>
        <row r="798">
          <cell r="J798" t="str">
            <v>Berlanjut ke halaman berikut</v>
          </cell>
        </row>
        <row r="799">
          <cell r="A799" t="str">
            <v>ITEM PEMBAYARAN NO.</v>
          </cell>
          <cell r="D799" t="str">
            <v>:  3.1.(10)</v>
          </cell>
          <cell r="J799" t="str">
            <v>Analisa EI-312</v>
          </cell>
        </row>
        <row r="800">
          <cell r="A800" t="str">
            <v>JENIS PEKERJAAN</v>
          </cell>
          <cell r="D800" t="str">
            <v>:  Pembongk Perk Beraspal dengan Cold Milling Machine</v>
          </cell>
        </row>
        <row r="801">
          <cell r="A801" t="str">
            <v>SATUAN PEMBAYARAN</v>
          </cell>
          <cell r="D801" t="str">
            <v>:  M3</v>
          </cell>
          <cell r="H801" t="str">
            <v xml:space="preserve">         URAIAN ANALISA HARGA SATUAN</v>
          </cell>
        </row>
        <row r="802">
          <cell r="J802" t="str">
            <v>Lanjutan</v>
          </cell>
        </row>
        <row r="804">
          <cell r="A804" t="str">
            <v>No.</v>
          </cell>
          <cell r="C804" t="str">
            <v>U R A I A N</v>
          </cell>
          <cell r="G804" t="str">
            <v>KODE</v>
          </cell>
          <cell r="H804" t="str">
            <v>KOEF.</v>
          </cell>
          <cell r="I804" t="str">
            <v>SATUAN</v>
          </cell>
          <cell r="J804" t="str">
            <v>KETERANGAN</v>
          </cell>
        </row>
        <row r="807">
          <cell r="A807" t="str">
            <v xml:space="preserve"> 2.c</v>
          </cell>
          <cell r="C807" t="str">
            <v>ALAT  BANTU</v>
          </cell>
        </row>
        <row r="808">
          <cell r="C808" t="str">
            <v>Diperlukan alat-alat bantu kecil</v>
          </cell>
          <cell r="J808" t="str">
            <v>Lump Sump</v>
          </cell>
        </row>
        <row r="809">
          <cell r="C809" t="str">
            <v>- Pahat / Tatah</v>
          </cell>
          <cell r="D809" t="str">
            <v>=  2  buah</v>
          </cell>
        </row>
        <row r="810">
          <cell r="C810" t="str">
            <v>- Palu Besar</v>
          </cell>
          <cell r="D810" t="str">
            <v>=  2  buah</v>
          </cell>
        </row>
        <row r="812">
          <cell r="A812" t="str">
            <v xml:space="preserve">   3.</v>
          </cell>
          <cell r="C812" t="str">
            <v>TENAGA</v>
          </cell>
        </row>
        <row r="813">
          <cell r="C813" t="str">
            <v>Produksi menentukan : COLD MILLING</v>
          </cell>
          <cell r="G813" t="str">
            <v>Q1</v>
          </cell>
          <cell r="H813">
            <v>33.479999999999997</v>
          </cell>
          <cell r="I813" t="str">
            <v>M3/Jam</v>
          </cell>
        </row>
        <row r="814">
          <cell r="C814" t="str">
            <v>Produksi Galian / hari  =  Tk x Q1</v>
          </cell>
          <cell r="G814" t="str">
            <v>Qt</v>
          </cell>
          <cell r="H814">
            <v>234.35999999999999</v>
          </cell>
          <cell r="I814" t="str">
            <v>M2</v>
          </cell>
        </row>
        <row r="815">
          <cell r="C815" t="str">
            <v>Kebutuhan tenaga :</v>
          </cell>
        </row>
        <row r="816">
          <cell r="D816" t="str">
            <v>- Pekerja</v>
          </cell>
          <cell r="G816" t="str">
            <v>P</v>
          </cell>
          <cell r="H816">
            <v>2</v>
          </cell>
          <cell r="I816" t="str">
            <v>orang</v>
          </cell>
        </row>
        <row r="817">
          <cell r="D817" t="str">
            <v>- Mandor</v>
          </cell>
          <cell r="G817" t="str">
            <v>M</v>
          </cell>
          <cell r="H817">
            <v>1</v>
          </cell>
          <cell r="I817" t="str">
            <v>orang</v>
          </cell>
        </row>
        <row r="819">
          <cell r="C819" t="str">
            <v>Koefisien tenaga / M3   :</v>
          </cell>
        </row>
        <row r="820">
          <cell r="D820" t="str">
            <v>- Pekerja</v>
          </cell>
          <cell r="E820" t="str">
            <v>= (Tk x P) : Qt</v>
          </cell>
          <cell r="G820" t="str">
            <v>(L01)</v>
          </cell>
          <cell r="H820">
            <v>5.9737156511350066E-2</v>
          </cell>
          <cell r="I820" t="str">
            <v>Jam</v>
          </cell>
        </row>
        <row r="821">
          <cell r="D821" t="str">
            <v>- Mandor</v>
          </cell>
          <cell r="E821" t="str">
            <v>= (Tk x M) : Qt</v>
          </cell>
          <cell r="G821" t="str">
            <v>(L03)</v>
          </cell>
          <cell r="H821">
            <v>2.9868578255675033E-2</v>
          </cell>
          <cell r="I821" t="str">
            <v>Jam</v>
          </cell>
        </row>
        <row r="823">
          <cell r="A823" t="str">
            <v>4.</v>
          </cell>
          <cell r="C823" t="str">
            <v>HARGA DASAR SATUAN UPAH, BAHAN DAN ALAT</v>
          </cell>
        </row>
        <row r="824">
          <cell r="C824" t="str">
            <v>Lihat lampiran.</v>
          </cell>
        </row>
        <row r="826">
          <cell r="A826" t="str">
            <v>5.</v>
          </cell>
          <cell r="C826" t="str">
            <v>ANALISA HARGA SATUAN PEKERJAAN</v>
          </cell>
        </row>
        <row r="827">
          <cell r="C827" t="str">
            <v>Lihat perhitungan dalam FORMULIR STANDAR UNTUK</v>
          </cell>
        </row>
        <row r="828">
          <cell r="C828" t="str">
            <v>PEREKEMAN ANALISA MASING-MASING HARGA</v>
          </cell>
        </row>
        <row r="829">
          <cell r="C829" t="str">
            <v>SATUAN.</v>
          </cell>
        </row>
        <row r="830">
          <cell r="C830" t="str">
            <v>Didapat Harga Satuan Pekerjaan :</v>
          </cell>
        </row>
        <row r="832">
          <cell r="C832" t="str">
            <v xml:space="preserve">Rp.  </v>
          </cell>
          <cell r="D832">
            <v>60431.540919435771</v>
          </cell>
          <cell r="E832" t="str">
            <v xml:space="preserve"> / M2</v>
          </cell>
        </row>
        <row r="835">
          <cell r="A835" t="str">
            <v>6.</v>
          </cell>
          <cell r="C835" t="str">
            <v>WAKTU PELAKSANAAN YANG DIPERLUKAN</v>
          </cell>
        </row>
        <row r="836">
          <cell r="C836" t="str">
            <v>Masa Pelaksanaan :</v>
          </cell>
          <cell r="D836" t="str">
            <v>. . . . . . . . . . . .</v>
          </cell>
          <cell r="E836" t="str">
            <v>bulan</v>
          </cell>
        </row>
        <row r="838">
          <cell r="A838" t="str">
            <v>7.</v>
          </cell>
          <cell r="C838" t="str">
            <v>VOLUME PEKERJAAN YANG DIPERLUKAN</v>
          </cell>
        </row>
        <row r="839">
          <cell r="C839" t="str">
            <v>Volume pekerjaan  :</v>
          </cell>
          <cell r="D839">
            <v>0</v>
          </cell>
          <cell r="E839" t="str">
            <v>M3</v>
          </cell>
        </row>
        <row r="849">
          <cell r="T849" t="str">
            <v>Analisa EI-312</v>
          </cell>
        </row>
        <row r="851">
          <cell r="L851" t="str">
            <v>FORMULIR STANDAR UNTUK</v>
          </cell>
        </row>
        <row r="852">
          <cell r="L852" t="str">
            <v>PEREKAMAN ANALISA MASING-MASING HARGA SATUAN</v>
          </cell>
        </row>
        <row r="853">
          <cell r="L853" t="str">
            <v xml:space="preserve">                                                                                                            </v>
          </cell>
        </row>
        <row r="855">
          <cell r="A855" t="str">
            <v>ITEM PEMBAYARAN NO.</v>
          </cell>
          <cell r="D855" t="str">
            <v>:  3.1.(11)</v>
          </cell>
          <cell r="J855" t="str">
            <v>Analisa EI-312</v>
          </cell>
          <cell r="T855" t="str">
            <v>Analisa EI-312</v>
          </cell>
        </row>
        <row r="856">
          <cell r="A856" t="str">
            <v>JENIS PEKERJAAN</v>
          </cell>
          <cell r="D856" t="str">
            <v>:  Pembongkaran Perkerasan Beraspal dengan Jumbo Jack Hammer (Concrete Breaker)</v>
          </cell>
        </row>
        <row r="857">
          <cell r="A857" t="str">
            <v>SATUAN PEMBAYARAN</v>
          </cell>
          <cell r="D857" t="str">
            <v>:  M3</v>
          </cell>
          <cell r="H857" t="str">
            <v xml:space="preserve">         URAIAN ANALISA HARGA SATUAN</v>
          </cell>
          <cell r="L857" t="str">
            <v>FORMULIR STANDAR UNTUK</v>
          </cell>
        </row>
        <row r="858">
          <cell r="L858" t="str">
            <v>PEREKAMAN ANALISA MASING-MASING HARGA SATUAN</v>
          </cell>
        </row>
        <row r="859">
          <cell r="L859" t="str">
            <v xml:space="preserve">                                                                                                            </v>
          </cell>
        </row>
        <row r="860">
          <cell r="A860" t="str">
            <v>No.</v>
          </cell>
          <cell r="C860" t="str">
            <v>U R A I A N</v>
          </cell>
          <cell r="G860" t="str">
            <v>KODE</v>
          </cell>
          <cell r="H860" t="str">
            <v>KOEF.</v>
          </cell>
          <cell r="I860" t="str">
            <v>SATUAN</v>
          </cell>
          <cell r="J860" t="str">
            <v>KETERANGAN</v>
          </cell>
        </row>
        <row r="862">
          <cell r="L862" t="str">
            <v>PROYEK</v>
          </cell>
          <cell r="O862" t="str">
            <v>:</v>
          </cell>
        </row>
        <row r="863">
          <cell r="A863" t="str">
            <v>I.</v>
          </cell>
          <cell r="C863" t="str">
            <v>ASUMSI</v>
          </cell>
          <cell r="L863" t="str">
            <v>No. PAKET KONTRAK</v>
          </cell>
          <cell r="O863" t="str">
            <v>:</v>
          </cell>
        </row>
        <row r="864">
          <cell r="A864">
            <v>1</v>
          </cell>
          <cell r="C864" t="str">
            <v>Pekerjaan dilakukan secara mekanis</v>
          </cell>
          <cell r="L864" t="str">
            <v>NAMA PAKET</v>
          </cell>
          <cell r="O864" t="str">
            <v>:</v>
          </cell>
        </row>
        <row r="865">
          <cell r="A865">
            <v>2</v>
          </cell>
          <cell r="C865" t="str">
            <v>Lokasi pekerjaan : sepanjang jalan</v>
          </cell>
          <cell r="L865" t="str">
            <v>PROP / KAB / KODYA</v>
          </cell>
          <cell r="O865" t="str">
            <v>:</v>
          </cell>
        </row>
        <row r="866">
          <cell r="A866">
            <v>3</v>
          </cell>
          <cell r="C866" t="str">
            <v>Kondisi Jalan   :  sedang / baik</v>
          </cell>
          <cell r="L866" t="str">
            <v>ITEM PEMBAYARAN NO.</v>
          </cell>
          <cell r="O866" t="str">
            <v>:  3.1.(11)</v>
          </cell>
          <cell r="R866" t="str">
            <v>PERKIRAAN VOL. PEK.</v>
          </cell>
          <cell r="T866" t="str">
            <v>:</v>
          </cell>
          <cell r="U866">
            <v>0</v>
          </cell>
        </row>
        <row r="867">
          <cell r="A867">
            <v>4</v>
          </cell>
          <cell r="C867" t="str">
            <v>Jam kerja efektif per-hari</v>
          </cell>
          <cell r="G867" t="str">
            <v>Tk</v>
          </cell>
          <cell r="H867">
            <v>7</v>
          </cell>
          <cell r="I867" t="str">
            <v>Jam</v>
          </cell>
          <cell r="L867" t="str">
            <v>JENIS PEKERJAAN</v>
          </cell>
          <cell r="O867" t="str">
            <v>:  Pembongkaran Perkerasan Beraspal dengan Jumbo Jack Hammer (Concrete Breaker)</v>
          </cell>
          <cell r="R867" t="str">
            <v>TOTAL HARGA (Rp.)</v>
          </cell>
          <cell r="T867" t="str">
            <v>:</v>
          </cell>
          <cell r="U867">
            <v>0</v>
          </cell>
        </row>
        <row r="868">
          <cell r="A868">
            <v>5</v>
          </cell>
          <cell r="C868" t="str">
            <v>Faktor pengembangan bahan</v>
          </cell>
          <cell r="G868" t="str">
            <v>Fk</v>
          </cell>
          <cell r="H868">
            <v>1.3</v>
          </cell>
          <cell r="I868" t="str">
            <v>-</v>
          </cell>
          <cell r="L868" t="str">
            <v>SATUAN PEMBAYARAN</v>
          </cell>
          <cell r="O868" t="str">
            <v>:  M3</v>
          </cell>
          <cell r="R868" t="str">
            <v>% THD. BIAYA PROYEK</v>
          </cell>
          <cell r="T868" t="str">
            <v>:</v>
          </cell>
          <cell r="U868" t="e">
            <v>#DIV/0!</v>
          </cell>
        </row>
        <row r="871">
          <cell r="A871" t="str">
            <v>II.</v>
          </cell>
          <cell r="C871" t="str">
            <v>URUTAN KERJA</v>
          </cell>
          <cell r="Q871" t="str">
            <v>PERKIRAAN</v>
          </cell>
          <cell r="R871" t="str">
            <v>HARGA</v>
          </cell>
          <cell r="S871" t="str">
            <v>JUMLAH</v>
          </cell>
        </row>
        <row r="872">
          <cell r="A872">
            <v>1</v>
          </cell>
          <cell r="C872" t="str">
            <v>Perkerasan beton yg dibongkar umumnya adalah perkerasan jalan</v>
          </cell>
          <cell r="L872" t="str">
            <v>NO.</v>
          </cell>
          <cell r="N872" t="str">
            <v>KOMPONEN</v>
          </cell>
          <cell r="P872" t="str">
            <v>SATUAN</v>
          </cell>
          <cell r="Q872" t="str">
            <v>KUANTITAS</v>
          </cell>
          <cell r="R872" t="str">
            <v>SATUAN</v>
          </cell>
          <cell r="S872" t="str">
            <v>HARGA</v>
          </cell>
        </row>
        <row r="873">
          <cell r="A873">
            <v>2</v>
          </cell>
          <cell r="C873" t="str">
            <v>Pembongkaran dilakukan dengan Conrete Breaker</v>
          </cell>
          <cell r="R873" t="str">
            <v>(Rp.)</v>
          </cell>
          <cell r="S873" t="str">
            <v>(Rp.)</v>
          </cell>
        </row>
        <row r="874">
          <cell r="C874" t="str">
            <v>dan dimuat ke dlm truk menggunakan Excavator</v>
          </cell>
        </row>
        <row r="875">
          <cell r="A875">
            <v>3</v>
          </cell>
          <cell r="C875" t="str">
            <v>Dump Truck membuang material hasil galian keluar</v>
          </cell>
        </row>
        <row r="876">
          <cell r="C876" t="str">
            <v>lokasi jalan sejauh :</v>
          </cell>
          <cell r="G876" t="str">
            <v>L</v>
          </cell>
          <cell r="H876">
            <v>5</v>
          </cell>
          <cell r="I876" t="str">
            <v>Km</v>
          </cell>
          <cell r="L876" t="str">
            <v>A.</v>
          </cell>
          <cell r="N876" t="str">
            <v>TENAGA</v>
          </cell>
        </row>
        <row r="878">
          <cell r="L878" t="str">
            <v>1.</v>
          </cell>
          <cell r="N878" t="str">
            <v>Pekerja</v>
          </cell>
          <cell r="O878" t="str">
            <v>(L01)</v>
          </cell>
          <cell r="P878" t="str">
            <v>Jam</v>
          </cell>
          <cell r="Q878">
            <v>0.6</v>
          </cell>
          <cell r="R878">
            <v>2857.14</v>
          </cell>
          <cell r="U878">
            <v>1714.2839999999999</v>
          </cell>
        </row>
        <row r="879">
          <cell r="L879" t="str">
            <v>2.</v>
          </cell>
          <cell r="N879" t="str">
            <v>Mandor</v>
          </cell>
          <cell r="O879" t="str">
            <v>(L03)</v>
          </cell>
          <cell r="P879" t="str">
            <v>Jam</v>
          </cell>
          <cell r="Q879">
            <v>0.1</v>
          </cell>
          <cell r="R879">
            <v>3214.29</v>
          </cell>
          <cell r="U879">
            <v>321.42900000000003</v>
          </cell>
        </row>
        <row r="880">
          <cell r="A880" t="str">
            <v>III.</v>
          </cell>
          <cell r="C880" t="str">
            <v>PEMAKAIAN BAHAN, ALAT DAN TENAGA</v>
          </cell>
        </row>
        <row r="882">
          <cell r="A882" t="str">
            <v xml:space="preserve">   1.</v>
          </cell>
          <cell r="C882" t="str">
            <v>BAHAN</v>
          </cell>
          <cell r="Q882" t="str">
            <v xml:space="preserve">JUMLAH HARGA TENAGA   </v>
          </cell>
          <cell r="U882">
            <v>2035.713</v>
          </cell>
        </row>
        <row r="883">
          <cell r="C883" t="str">
            <v>Tidak ada bahan yang diperlukan</v>
          </cell>
        </row>
        <row r="884">
          <cell r="L884" t="str">
            <v>B.</v>
          </cell>
          <cell r="N884" t="str">
            <v>BAHAN</v>
          </cell>
        </row>
        <row r="886">
          <cell r="A886" t="str">
            <v xml:space="preserve">   2.</v>
          </cell>
          <cell r="C886" t="str">
            <v>ALAT</v>
          </cell>
        </row>
        <row r="887">
          <cell r="A887" t="str">
            <v xml:space="preserve">   2.a.</v>
          </cell>
          <cell r="C887" t="str">
            <v>CONCRETE BREAKER</v>
          </cell>
          <cell r="J887" t="str">
            <v xml:space="preserve"> </v>
          </cell>
        </row>
        <row r="888">
          <cell r="C888" t="str">
            <v>Produktivitas</v>
          </cell>
          <cell r="D888" t="str">
            <v xml:space="preserve"> </v>
          </cell>
          <cell r="G888" t="str">
            <v>Q1</v>
          </cell>
          <cell r="H888">
            <v>20</v>
          </cell>
          <cell r="I888" t="str">
            <v>M3 / Jam</v>
          </cell>
        </row>
        <row r="890">
          <cell r="C890" t="str">
            <v>Koefisien Alat / m3</v>
          </cell>
          <cell r="D890" t="str">
            <v xml:space="preserve"> =  1  :  Q1</v>
          </cell>
          <cell r="G890" t="str">
            <v>(E??)</v>
          </cell>
          <cell r="H890">
            <v>0.05</v>
          </cell>
          <cell r="I890" t="str">
            <v>Jam</v>
          </cell>
        </row>
        <row r="892">
          <cell r="Q892" t="str">
            <v xml:space="preserve">JUMLAH HARGA BAHAN   </v>
          </cell>
          <cell r="U892">
            <v>0</v>
          </cell>
        </row>
        <row r="893">
          <cell r="A893" t="str">
            <v xml:space="preserve">   2.b.</v>
          </cell>
          <cell r="C893" t="str">
            <v>DUMP TRUCK</v>
          </cell>
          <cell r="G893" t="str">
            <v>(E08)</v>
          </cell>
        </row>
        <row r="894">
          <cell r="C894" t="str">
            <v>Kapasitas bak</v>
          </cell>
          <cell r="G894" t="str">
            <v>V</v>
          </cell>
          <cell r="H894">
            <v>4</v>
          </cell>
          <cell r="I894" t="str">
            <v>M3</v>
          </cell>
          <cell r="L894" t="str">
            <v>C.</v>
          </cell>
          <cell r="N894" t="str">
            <v>PERALATAN</v>
          </cell>
        </row>
        <row r="895">
          <cell r="C895" t="str">
            <v>Faktor  efisiensi alat</v>
          </cell>
          <cell r="G895" t="str">
            <v>Fa</v>
          </cell>
          <cell r="H895">
            <v>0.83</v>
          </cell>
          <cell r="I895" t="str">
            <v>-</v>
          </cell>
          <cell r="L895" t="str">
            <v>1.</v>
          </cell>
          <cell r="N895" t="str">
            <v>Conc Breaker</v>
          </cell>
          <cell r="O895" t="str">
            <v>(E??)</v>
          </cell>
          <cell r="P895" t="str">
            <v>Jam</v>
          </cell>
          <cell r="Q895">
            <v>0.05</v>
          </cell>
          <cell r="U895">
            <v>0</v>
          </cell>
        </row>
        <row r="896">
          <cell r="C896" t="str">
            <v>Kecepatan rata-rata bermuatan</v>
          </cell>
          <cell r="G896" t="str">
            <v>v1</v>
          </cell>
          <cell r="H896">
            <v>45</v>
          </cell>
          <cell r="I896" t="str">
            <v>KM/Jam</v>
          </cell>
          <cell r="L896">
            <v>2</v>
          </cell>
          <cell r="N896" t="str">
            <v>Dump Truck</v>
          </cell>
          <cell r="O896" t="str">
            <v>E08</v>
          </cell>
          <cell r="P896" t="str">
            <v>Jam</v>
          </cell>
          <cell r="Q896">
            <v>0.16750334672021422</v>
          </cell>
          <cell r="R896">
            <v>153645.58193291764</v>
          </cell>
          <cell r="U896">
            <v>25736.149182538586</v>
          </cell>
        </row>
        <row r="897">
          <cell r="C897" t="str">
            <v>Kecepatan rata-rata kosong</v>
          </cell>
          <cell r="G897" t="str">
            <v>v2</v>
          </cell>
          <cell r="H897">
            <v>60</v>
          </cell>
          <cell r="I897" t="str">
            <v>KM/Jam</v>
          </cell>
        </row>
        <row r="898">
          <cell r="C898" t="str">
            <v>Waktu  siklus</v>
          </cell>
          <cell r="G898" t="str">
            <v>Ts1</v>
          </cell>
          <cell r="I898" t="str">
            <v>menit</v>
          </cell>
        </row>
        <row r="899">
          <cell r="C899" t="str">
            <v>- Waktu tempuh isi</v>
          </cell>
          <cell r="E899" t="str">
            <v>=   (L  :  v1)  x  60</v>
          </cell>
          <cell r="G899" t="str">
            <v>T1</v>
          </cell>
          <cell r="H899">
            <v>6.6666666666666661</v>
          </cell>
          <cell r="I899" t="str">
            <v>menit</v>
          </cell>
        </row>
        <row r="900">
          <cell r="C900" t="str">
            <v>- Waktu tempuh kosong</v>
          </cell>
          <cell r="E900" t="str">
            <v>=   (L  :  v2)  x  60</v>
          </cell>
          <cell r="G900" t="str">
            <v>T2</v>
          </cell>
          <cell r="H900">
            <v>5</v>
          </cell>
          <cell r="I900" t="str">
            <v>menit</v>
          </cell>
        </row>
        <row r="901">
          <cell r="C901" t="str">
            <v>- Muat</v>
          </cell>
          <cell r="E901" t="str">
            <v>=   (V  :  Q1) x 60</v>
          </cell>
          <cell r="G901" t="str">
            <v>T3</v>
          </cell>
          <cell r="H901">
            <v>12</v>
          </cell>
          <cell r="I901" t="str">
            <v>menit</v>
          </cell>
        </row>
        <row r="902">
          <cell r="C902" t="str">
            <v>- Lain-lain</v>
          </cell>
          <cell r="G902" t="str">
            <v>T4</v>
          </cell>
          <cell r="H902">
            <v>2</v>
          </cell>
          <cell r="I902" t="str">
            <v>menit</v>
          </cell>
        </row>
        <row r="903">
          <cell r="G903" t="str">
            <v>Ts1</v>
          </cell>
          <cell r="H903">
            <v>25.666666666666664</v>
          </cell>
          <cell r="I903" t="str">
            <v>menit</v>
          </cell>
        </row>
        <row r="906">
          <cell r="C906" t="str">
            <v>Kapasitas Produksi / Jam   =</v>
          </cell>
          <cell r="E906" t="str">
            <v>V x Fa x 60</v>
          </cell>
          <cell r="G906" t="str">
            <v>Q2</v>
          </cell>
          <cell r="H906">
            <v>5.9700299700299695</v>
          </cell>
          <cell r="I906" t="str">
            <v xml:space="preserve">M3 / Jam </v>
          </cell>
        </row>
        <row r="907">
          <cell r="E907" t="str">
            <v xml:space="preserve">    Fk x Ts1</v>
          </cell>
        </row>
        <row r="910">
          <cell r="C910" t="str">
            <v>Koefisien Alat / m3</v>
          </cell>
          <cell r="D910" t="str">
            <v xml:space="preserve"> =  1  :  Q2</v>
          </cell>
          <cell r="G910" t="str">
            <v>(E08)</v>
          </cell>
          <cell r="H910">
            <v>0.16750334672021422</v>
          </cell>
          <cell r="I910" t="str">
            <v>Jam</v>
          </cell>
        </row>
        <row r="911">
          <cell r="C911" t="str">
            <v xml:space="preserve"> </v>
          </cell>
        </row>
        <row r="912">
          <cell r="C912" t="str">
            <v xml:space="preserve"> </v>
          </cell>
        </row>
        <row r="915">
          <cell r="J915" t="str">
            <v>Berlanjut ke halaman berikut</v>
          </cell>
        </row>
        <row r="916">
          <cell r="A916" t="str">
            <v>ITEM PEMBAYARAN NO.</v>
          </cell>
          <cell r="D916" t="str">
            <v>:  3.1.(11)</v>
          </cell>
          <cell r="J916" t="str">
            <v>Analisa EI-312</v>
          </cell>
        </row>
        <row r="917">
          <cell r="A917" t="str">
            <v>JENIS PEKERJAAN</v>
          </cell>
          <cell r="D917" t="str">
            <v>:  Pembongkaran Perkerasan Beraspal dengan Jumbo Jack Hammer (Concrete Breaker)</v>
          </cell>
        </row>
        <row r="918">
          <cell r="A918" t="str">
            <v>SATUAN PEMBAYARAN</v>
          </cell>
          <cell r="D918" t="str">
            <v>:  M3</v>
          </cell>
          <cell r="H918" t="str">
            <v xml:space="preserve">         URAIAN ANALISA HARGA SATUAN</v>
          </cell>
        </row>
        <row r="919">
          <cell r="J919" t="str">
            <v>Lanjutan</v>
          </cell>
        </row>
        <row r="921">
          <cell r="A921" t="str">
            <v>No.</v>
          </cell>
          <cell r="C921" t="str">
            <v>U R A I A N</v>
          </cell>
          <cell r="G921" t="str">
            <v>KODE</v>
          </cell>
          <cell r="H921" t="str">
            <v>KOEF.</v>
          </cell>
          <cell r="I921" t="str">
            <v>SATUAN</v>
          </cell>
          <cell r="J921" t="str">
            <v>KETERANGAN</v>
          </cell>
        </row>
        <row r="924">
          <cell r="A924" t="str">
            <v xml:space="preserve">   3.</v>
          </cell>
          <cell r="C924" t="str">
            <v>TENAGA</v>
          </cell>
        </row>
        <row r="925">
          <cell r="C925" t="str">
            <v>Produksi menentukan : Concrete Breaker</v>
          </cell>
          <cell r="G925" t="str">
            <v>Q1</v>
          </cell>
          <cell r="H925">
            <v>20</v>
          </cell>
          <cell r="I925" t="str">
            <v>M3/Jam</v>
          </cell>
        </row>
        <row r="926">
          <cell r="C926" t="str">
            <v>Produksi Galian / hari  =  Tk x Q1</v>
          </cell>
          <cell r="G926" t="str">
            <v>Qt</v>
          </cell>
          <cell r="H926">
            <v>140</v>
          </cell>
          <cell r="I926" t="str">
            <v>M3</v>
          </cell>
        </row>
        <row r="927">
          <cell r="C927" t="str">
            <v>Kebutuhan tenaga :</v>
          </cell>
        </row>
        <row r="928">
          <cell r="D928" t="str">
            <v>- Pekerja</v>
          </cell>
          <cell r="G928" t="str">
            <v>P</v>
          </cell>
          <cell r="H928">
            <v>12</v>
          </cell>
          <cell r="I928" t="str">
            <v>orang</v>
          </cell>
        </row>
        <row r="929">
          <cell r="D929" t="str">
            <v>- Mandor</v>
          </cell>
          <cell r="G929" t="str">
            <v>M</v>
          </cell>
          <cell r="H929">
            <v>2</v>
          </cell>
          <cell r="I929" t="str">
            <v>orang</v>
          </cell>
        </row>
        <row r="931">
          <cell r="C931" t="str">
            <v>Koefisien tenaga / M3   :</v>
          </cell>
        </row>
        <row r="932">
          <cell r="D932" t="str">
            <v>- Pekerja</v>
          </cell>
          <cell r="E932" t="str">
            <v>= (Tk x P) : Qt</v>
          </cell>
          <cell r="G932" t="str">
            <v>(L01)</v>
          </cell>
          <cell r="H932">
            <v>0.6</v>
          </cell>
          <cell r="I932" t="str">
            <v>Jam</v>
          </cell>
        </row>
        <row r="933">
          <cell r="D933" t="str">
            <v>- Mandor</v>
          </cell>
          <cell r="E933" t="str">
            <v>= (Tk x M) : Qt</v>
          </cell>
          <cell r="G933" t="str">
            <v>(L03)</v>
          </cell>
          <cell r="H933">
            <v>0.1</v>
          </cell>
          <cell r="I933" t="str">
            <v>Jam</v>
          </cell>
        </row>
        <row r="935">
          <cell r="A935" t="str">
            <v>4.</v>
          </cell>
          <cell r="C935" t="str">
            <v>HARGA DASAR SATUAN UPAH, BAHAN DAN ALAT</v>
          </cell>
        </row>
        <row r="936">
          <cell r="C936" t="str">
            <v>Lihat lampiran.</v>
          </cell>
        </row>
        <row r="938">
          <cell r="A938" t="str">
            <v>5.</v>
          </cell>
          <cell r="C938" t="str">
            <v>ANALISA HARGA SATUAN PEKERJAAN</v>
          </cell>
        </row>
        <row r="939">
          <cell r="C939" t="str">
            <v>Lihat perhitungan dalam FORMULIR STANDAR UNTUK</v>
          </cell>
        </row>
        <row r="940">
          <cell r="C940" t="str">
            <v>PEREKEMAN ANALISA MASING-MASING HARGA</v>
          </cell>
        </row>
        <row r="941">
          <cell r="C941" t="str">
            <v>SATUAN.</v>
          </cell>
        </row>
        <row r="942">
          <cell r="C942" t="str">
            <v>Didapat Harga Satuan Pekerjaan :</v>
          </cell>
        </row>
        <row r="944">
          <cell r="C944" t="str">
            <v xml:space="preserve">Rp.  </v>
          </cell>
          <cell r="D944">
            <v>30549.048400792446</v>
          </cell>
          <cell r="E944" t="str">
            <v xml:space="preserve"> / M3</v>
          </cell>
        </row>
        <row r="947">
          <cell r="A947" t="str">
            <v>6.</v>
          </cell>
          <cell r="C947" t="str">
            <v>WAKTU PELAKSANAAN YANG DIPERLUKAN</v>
          </cell>
        </row>
        <row r="948">
          <cell r="C948" t="str">
            <v>Masa Pelaksanaan :</v>
          </cell>
          <cell r="D948" t="str">
            <v>. . . . . . . . . . . .</v>
          </cell>
          <cell r="E948" t="str">
            <v>bulan</v>
          </cell>
        </row>
        <row r="950">
          <cell r="A950" t="str">
            <v>7.</v>
          </cell>
          <cell r="C950" t="str">
            <v>VOLUME PEKERJAAN YANG DIPERLUKAN</v>
          </cell>
        </row>
        <row r="951">
          <cell r="C951" t="str">
            <v>Volume pekerjaan  :</v>
          </cell>
          <cell r="D951">
            <v>0</v>
          </cell>
          <cell r="E951" t="str">
            <v>M3</v>
          </cell>
        </row>
        <row r="970">
          <cell r="A970" t="str">
            <v>ITEM PEMBAYARAN NO.</v>
          </cell>
          <cell r="D970" t="str">
            <v>:  3.1.(12)</v>
          </cell>
          <cell r="J970" t="str">
            <v>Analisa EI-312</v>
          </cell>
        </row>
        <row r="971">
          <cell r="A971" t="str">
            <v>JENIS PEKERJAAN</v>
          </cell>
          <cell r="D971" t="str">
            <v>:  Pembongkaran Perkerasan Beton secara manual ( Jack Hummer)</v>
          </cell>
        </row>
        <row r="972">
          <cell r="A972" t="str">
            <v>SATUAN PEMBAYARAN</v>
          </cell>
          <cell r="D972" t="str">
            <v>:  M3</v>
          </cell>
          <cell r="H972" t="str">
            <v xml:space="preserve">         URAIAN ANALISA HARGA SATUAN</v>
          </cell>
        </row>
        <row r="975">
          <cell r="A975" t="str">
            <v>No.</v>
          </cell>
          <cell r="C975" t="str">
            <v>U R A I A N</v>
          </cell>
          <cell r="G975" t="str">
            <v>KODE</v>
          </cell>
          <cell r="H975" t="str">
            <v>KOEF.</v>
          </cell>
          <cell r="I975" t="str">
            <v>SATUAN</v>
          </cell>
          <cell r="J975" t="str">
            <v>KETERANGAN</v>
          </cell>
        </row>
        <row r="978">
          <cell r="A978" t="str">
            <v>I.</v>
          </cell>
          <cell r="C978" t="str">
            <v>ASUMSI</v>
          </cell>
        </row>
        <row r="979">
          <cell r="A979">
            <v>1</v>
          </cell>
          <cell r="C979" t="str">
            <v>Pekerjaan dilakukan secara mekanik/manual</v>
          </cell>
        </row>
        <row r="980">
          <cell r="A980">
            <v>2</v>
          </cell>
          <cell r="C980" t="str">
            <v>Lokasi pekerjaan : sepanjang jalan</v>
          </cell>
        </row>
        <row r="981">
          <cell r="A981">
            <v>3</v>
          </cell>
          <cell r="C981" t="str">
            <v>Kondisi Jalan   :  sedang / baik</v>
          </cell>
        </row>
        <row r="982">
          <cell r="A982">
            <v>4</v>
          </cell>
          <cell r="C982" t="str">
            <v>Jam kerja efektif per-hari</v>
          </cell>
          <cell r="G982" t="str">
            <v>Tk</v>
          </cell>
          <cell r="H982">
            <v>7</v>
          </cell>
          <cell r="I982" t="str">
            <v>Jam</v>
          </cell>
        </row>
        <row r="983">
          <cell r="A983">
            <v>5</v>
          </cell>
          <cell r="C983" t="str">
            <v>Faktor pengembangan bahan</v>
          </cell>
          <cell r="G983" t="str">
            <v>Fk</v>
          </cell>
          <cell r="H983">
            <v>1.3</v>
          </cell>
          <cell r="I983" t="str">
            <v>-</v>
          </cell>
        </row>
        <row r="986">
          <cell r="A986" t="str">
            <v>II.</v>
          </cell>
          <cell r="C986" t="str">
            <v>URUTAN KERJA</v>
          </cell>
        </row>
        <row r="987">
          <cell r="A987">
            <v>1</v>
          </cell>
          <cell r="C987" t="str">
            <v>Perkerasan beton yg dibongkar umumnya adalah perkerasan jalan</v>
          </cell>
        </row>
        <row r="988">
          <cell r="A988">
            <v>2</v>
          </cell>
          <cell r="C988" t="str">
            <v>Pembongkaran dilakukan dengan Jack Hammer</v>
          </cell>
        </row>
        <row r="989">
          <cell r="C989" t="str">
            <v>dan dimuat ke dalam truck secara manual.</v>
          </cell>
        </row>
        <row r="990">
          <cell r="A990">
            <v>3</v>
          </cell>
          <cell r="C990" t="str">
            <v>Dump Truck membuang material hasil galian keluar</v>
          </cell>
        </row>
        <row r="991">
          <cell r="C991" t="str">
            <v>lokasi jalan sejauh :</v>
          </cell>
          <cell r="G991" t="str">
            <v>L</v>
          </cell>
          <cell r="H991">
            <v>5</v>
          </cell>
          <cell r="I991" t="str">
            <v>Km</v>
          </cell>
        </row>
        <row r="995">
          <cell r="A995" t="str">
            <v>III.</v>
          </cell>
          <cell r="C995" t="str">
            <v>PEMAKAIAN BAHAN, ALAT DAN TENAGA</v>
          </cell>
        </row>
        <row r="997">
          <cell r="A997" t="str">
            <v xml:space="preserve">   1.</v>
          </cell>
          <cell r="C997" t="str">
            <v>BAHAN</v>
          </cell>
        </row>
        <row r="998">
          <cell r="C998" t="str">
            <v>Tidak ada bahan yang diperlukan</v>
          </cell>
        </row>
        <row r="1001">
          <cell r="A1001" t="str">
            <v xml:space="preserve">   2.</v>
          </cell>
          <cell r="C1001" t="str">
            <v>ALAT</v>
          </cell>
        </row>
        <row r="1002">
          <cell r="A1002" t="str">
            <v xml:space="preserve">   2.a.</v>
          </cell>
          <cell r="C1002" t="str">
            <v>JACK HAMMER</v>
          </cell>
          <cell r="J1002" t="str">
            <v xml:space="preserve"> (E05/26/10/15)</v>
          </cell>
        </row>
        <row r="1003">
          <cell r="C1003" t="str">
            <v>Produksi per jam</v>
          </cell>
          <cell r="G1003" t="str">
            <v>Q1</v>
          </cell>
          <cell r="H1003">
            <v>1</v>
          </cell>
          <cell r="I1003" t="str">
            <v>M3 / Jam</v>
          </cell>
        </row>
        <row r="1005">
          <cell r="C1005" t="str">
            <v>Koefisien Alat / m3</v>
          </cell>
          <cell r="D1005" t="str">
            <v xml:space="preserve"> =  1  :  Q1</v>
          </cell>
          <cell r="G1005" t="str">
            <v>(E05/26</v>
          </cell>
          <cell r="H1005">
            <v>1</v>
          </cell>
          <cell r="I1005" t="str">
            <v>Jam</v>
          </cell>
        </row>
        <row r="1006">
          <cell r="G1006" t="str">
            <v>/10/15)</v>
          </cell>
        </row>
        <row r="1008">
          <cell r="A1008" t="str">
            <v xml:space="preserve">   2.b.</v>
          </cell>
          <cell r="C1008" t="str">
            <v>DUMP TRUCK</v>
          </cell>
          <cell r="G1008" t="str">
            <v>(E08)</v>
          </cell>
        </row>
        <row r="1009">
          <cell r="C1009" t="str">
            <v>Kapasitas bak</v>
          </cell>
          <cell r="G1009" t="str">
            <v>V</v>
          </cell>
          <cell r="H1009">
            <v>4</v>
          </cell>
          <cell r="I1009" t="str">
            <v>M3</v>
          </cell>
        </row>
        <row r="1010">
          <cell r="C1010" t="str">
            <v>Faktor  efisiensi alat</v>
          </cell>
          <cell r="G1010" t="str">
            <v>Fa</v>
          </cell>
          <cell r="H1010">
            <v>0.83</v>
          </cell>
          <cell r="I1010" t="str">
            <v>-</v>
          </cell>
        </row>
        <row r="1011">
          <cell r="C1011" t="str">
            <v>Kecepatan rata-rata bermuatan</v>
          </cell>
          <cell r="G1011" t="str">
            <v>v1</v>
          </cell>
          <cell r="H1011">
            <v>45</v>
          </cell>
          <cell r="I1011" t="str">
            <v>KM/Jam</v>
          </cell>
        </row>
        <row r="1012">
          <cell r="C1012" t="str">
            <v>Kecepatan rata-rata kosong</v>
          </cell>
          <cell r="G1012" t="str">
            <v>v2</v>
          </cell>
          <cell r="H1012">
            <v>60</v>
          </cell>
          <cell r="I1012" t="str">
            <v>KM/Jam</v>
          </cell>
        </row>
        <row r="1013">
          <cell r="C1013" t="str">
            <v>Waktu  siklus</v>
          </cell>
          <cell r="G1013" t="str">
            <v>Ts1</v>
          </cell>
          <cell r="I1013" t="str">
            <v>menit</v>
          </cell>
        </row>
        <row r="1014">
          <cell r="C1014" t="str">
            <v>- Waktu tempuh isi</v>
          </cell>
          <cell r="E1014" t="str">
            <v>=   (L  :  v1)  x  60</v>
          </cell>
          <cell r="G1014" t="str">
            <v>T1</v>
          </cell>
          <cell r="H1014">
            <v>6.6666666666666661</v>
          </cell>
          <cell r="I1014" t="str">
            <v>menit</v>
          </cell>
        </row>
        <row r="1015">
          <cell r="C1015" t="str">
            <v>- Waktu tempuh kosong</v>
          </cell>
          <cell r="E1015" t="str">
            <v>=   (L  :  v2)  x  60</v>
          </cell>
          <cell r="G1015" t="str">
            <v>T2</v>
          </cell>
          <cell r="H1015">
            <v>5</v>
          </cell>
          <cell r="I1015" t="str">
            <v>menit</v>
          </cell>
        </row>
        <row r="1016">
          <cell r="C1016" t="str">
            <v>- Muat</v>
          </cell>
          <cell r="E1016" t="str">
            <v>=   (V  :  Q1) x 60</v>
          </cell>
          <cell r="G1016" t="str">
            <v>T3</v>
          </cell>
          <cell r="H1016">
            <v>240</v>
          </cell>
          <cell r="I1016" t="str">
            <v>menit</v>
          </cell>
        </row>
        <row r="1017">
          <cell r="C1017" t="str">
            <v>- Lain-lain</v>
          </cell>
          <cell r="G1017" t="str">
            <v>T4</v>
          </cell>
          <cell r="H1017">
            <v>2</v>
          </cell>
          <cell r="I1017" t="str">
            <v>menit</v>
          </cell>
        </row>
        <row r="1018">
          <cell r="G1018" t="str">
            <v>Ts1</v>
          </cell>
          <cell r="H1018">
            <v>253.66666666666666</v>
          </cell>
          <cell r="I1018" t="str">
            <v>menit</v>
          </cell>
        </row>
        <row r="1020">
          <cell r="L1020" t="str">
            <v>E.</v>
          </cell>
          <cell r="N1020" t="str">
            <v>OVERHEAD &amp; PROFIT</v>
          </cell>
          <cell r="P1020">
            <v>10</v>
          </cell>
          <cell r="Q1020" t="str">
            <v>%  x  D</v>
          </cell>
          <cell r="U1020">
            <v>73553.305133519127</v>
          </cell>
        </row>
        <row r="1021">
          <cell r="C1021" t="str">
            <v>Kapasitas Produksi / Jam   =</v>
          </cell>
          <cell r="E1021" t="str">
            <v>V x Fa x 60</v>
          </cell>
          <cell r="G1021" t="str">
            <v>Q2</v>
          </cell>
          <cell r="H1021">
            <v>0.60406347922773673</v>
          </cell>
          <cell r="I1021" t="str">
            <v xml:space="preserve">M3 / Jam </v>
          </cell>
          <cell r="L1021" t="str">
            <v>F.</v>
          </cell>
          <cell r="N1021" t="str">
            <v>HARGA SATUAN PEKERJAAN  ( D + E )</v>
          </cell>
          <cell r="U1021">
            <v>809086.35646871035</v>
          </cell>
        </row>
        <row r="1022">
          <cell r="E1022" t="str">
            <v xml:space="preserve">    Fk x Ts1</v>
          </cell>
          <cell r="L1022" t="str">
            <v>Note: 1</v>
          </cell>
          <cell r="N1022" t="str">
            <v>SATUAN dapat berdasarkan atas jam operasi untuk Tenaga Kerja dan Peralatan, volume dan/atau ukuran</v>
          </cell>
        </row>
        <row r="1023">
          <cell r="N1023" t="str">
            <v>berat untuk bahan-bahan.</v>
          </cell>
        </row>
        <row r="1024">
          <cell r="L1024">
            <v>2</v>
          </cell>
          <cell r="N1024" t="str">
            <v>Kuantitas satuan adalah kuantitas setiap komponen untuk menyelesaikan satu satuan pekerjaan dari nomor</v>
          </cell>
        </row>
        <row r="1025">
          <cell r="C1025" t="str">
            <v>Koefisien Alat / m3</v>
          </cell>
          <cell r="D1025" t="str">
            <v xml:space="preserve"> =  1  :  Q2</v>
          </cell>
          <cell r="G1025" t="str">
            <v>(E08)</v>
          </cell>
          <cell r="H1025">
            <v>1.65545515394913</v>
          </cell>
          <cell r="I1025" t="str">
            <v>Jam</v>
          </cell>
          <cell r="N1025" t="str">
            <v>mata pembayaran.</v>
          </cell>
        </row>
        <row r="1026">
          <cell r="L1026">
            <v>3</v>
          </cell>
          <cell r="N1026" t="str">
            <v>Biaya satuan untuk peralatan sudah termasuk bahan bakar, bahan habis dipakai dan operator.</v>
          </cell>
        </row>
        <row r="1027">
          <cell r="L1027">
            <v>4</v>
          </cell>
          <cell r="N1027" t="str">
            <v>Biaya satuan sudah termasuk pengeluaran untuk seluruh pajak yang berkaitan (tetapi tidak termasuk PPN</v>
          </cell>
        </row>
        <row r="1028">
          <cell r="N1028" t="str">
            <v>yang dibayar dari kontrak) dan biaya-biaya lainnya.</v>
          </cell>
        </row>
        <row r="1030">
          <cell r="J1030" t="str">
            <v>Berlanjut ke halaman berikut</v>
          </cell>
        </row>
        <row r="1031">
          <cell r="A1031" t="str">
            <v>ITEM PEMBAYARAN NO.</v>
          </cell>
          <cell r="D1031" t="str">
            <v>:  3.1.(12)</v>
          </cell>
          <cell r="J1031" t="str">
            <v>Analisa EI-312</v>
          </cell>
        </row>
        <row r="1032">
          <cell r="A1032" t="str">
            <v>JENIS PEKERJAAN</v>
          </cell>
          <cell r="D1032" t="str">
            <v>:  Pembongkaran Perkerasan Beton secara manual ( Jack Hummer)</v>
          </cell>
        </row>
        <row r="1033">
          <cell r="A1033" t="str">
            <v>SATUAN PEMBAYARAN</v>
          </cell>
          <cell r="D1033" t="str">
            <v>:  M3</v>
          </cell>
          <cell r="H1033" t="str">
            <v xml:space="preserve">         URAIAN ANALISA HARGA SATUAN</v>
          </cell>
        </row>
        <row r="1034">
          <cell r="J1034" t="str">
            <v>Lanjutan</v>
          </cell>
        </row>
        <row r="1036">
          <cell r="A1036" t="str">
            <v>No.</v>
          </cell>
          <cell r="C1036" t="str">
            <v>U R A I A N</v>
          </cell>
          <cell r="G1036" t="str">
            <v>KODE</v>
          </cell>
          <cell r="H1036" t="str">
            <v>KOEF.</v>
          </cell>
          <cell r="I1036" t="str">
            <v>SATUAN</v>
          </cell>
          <cell r="J1036" t="str">
            <v>KETERANGAN</v>
          </cell>
        </row>
        <row r="1039">
          <cell r="A1039" t="str">
            <v xml:space="preserve">   3.</v>
          </cell>
          <cell r="C1039" t="str">
            <v>TENAGA</v>
          </cell>
        </row>
        <row r="1040">
          <cell r="C1040" t="str">
            <v>Produksi menentukan : JACK HAMMER</v>
          </cell>
          <cell r="G1040" t="str">
            <v>Q1</v>
          </cell>
          <cell r="H1040">
            <v>1</v>
          </cell>
          <cell r="I1040" t="str">
            <v>M3/Jam</v>
          </cell>
        </row>
        <row r="1041">
          <cell r="C1041" t="str">
            <v>Produksi Galian / hari  =  Tk x Q1</v>
          </cell>
          <cell r="G1041" t="str">
            <v>Qt</v>
          </cell>
          <cell r="H1041">
            <v>7</v>
          </cell>
          <cell r="I1041" t="str">
            <v>M3</v>
          </cell>
        </row>
        <row r="1042">
          <cell r="C1042" t="str">
            <v>Kebutuhan tenaga :</v>
          </cell>
        </row>
        <row r="1043">
          <cell r="D1043" t="str">
            <v>- Pekerja</v>
          </cell>
          <cell r="G1043" t="str">
            <v>P</v>
          </cell>
          <cell r="H1043">
            <v>2</v>
          </cell>
          <cell r="I1043" t="str">
            <v>orang</v>
          </cell>
        </row>
        <row r="1044">
          <cell r="D1044" t="str">
            <v>- Mandor</v>
          </cell>
          <cell r="G1044" t="str">
            <v>M</v>
          </cell>
          <cell r="H1044">
            <v>1</v>
          </cell>
          <cell r="I1044" t="str">
            <v>orang</v>
          </cell>
        </row>
        <row r="1046">
          <cell r="C1046" t="str">
            <v>Koefisien tenaga / M3   :</v>
          </cell>
        </row>
        <row r="1047">
          <cell r="D1047" t="str">
            <v>- Pekerja</v>
          </cell>
          <cell r="E1047" t="str">
            <v>= (Tk x P) : Qt</v>
          </cell>
          <cell r="G1047" t="str">
            <v>(L01)</v>
          </cell>
          <cell r="H1047">
            <v>2</v>
          </cell>
          <cell r="I1047" t="str">
            <v>Jam</v>
          </cell>
        </row>
        <row r="1048">
          <cell r="D1048" t="str">
            <v>- Mandor</v>
          </cell>
          <cell r="E1048" t="str">
            <v>= (Tk x M) : Qt</v>
          </cell>
          <cell r="G1048" t="str">
            <v>(L03)</v>
          </cell>
          <cell r="H1048">
            <v>1</v>
          </cell>
          <cell r="I1048" t="str">
            <v>Jam</v>
          </cell>
        </row>
        <row r="1050">
          <cell r="A1050" t="str">
            <v>4.</v>
          </cell>
          <cell r="C1050" t="str">
            <v>HARGA DASAR SATUAN UPAH, BAHAN DAN ALAT</v>
          </cell>
        </row>
        <row r="1051">
          <cell r="C1051" t="str">
            <v>Lihat lampiran.</v>
          </cell>
        </row>
        <row r="1053">
          <cell r="A1053" t="str">
            <v>5.</v>
          </cell>
          <cell r="C1053" t="str">
            <v>ANALISA HARGA SATUAN PEKERJAAN</v>
          </cell>
        </row>
        <row r="1054">
          <cell r="C1054" t="str">
            <v>Lihat perhitungan dalam FORMULIR STANDAR UNTUK</v>
          </cell>
        </row>
        <row r="1055">
          <cell r="C1055" t="str">
            <v>PEREKEMAN ANALISA MASING-MASING HARGA</v>
          </cell>
        </row>
        <row r="1056">
          <cell r="C1056" t="str">
            <v>SATUAN.</v>
          </cell>
        </row>
        <row r="1057">
          <cell r="C1057" t="str">
            <v>Didapat Harga Satuan Pekerjaan :</v>
          </cell>
        </row>
        <row r="1059">
          <cell r="C1059" t="str">
            <v xml:space="preserve">Rp.  </v>
          </cell>
          <cell r="D1059">
            <v>809086.35646871035</v>
          </cell>
          <cell r="E1059" t="str">
            <v xml:space="preserve"> / M3</v>
          </cell>
        </row>
        <row r="1062">
          <cell r="A1062" t="str">
            <v>6.</v>
          </cell>
          <cell r="C1062" t="str">
            <v>WAKTU PELAKSANAAN YANG DIPERLUKAN</v>
          </cell>
        </row>
        <row r="1063">
          <cell r="C1063" t="str">
            <v>Masa Pelaksanaan :</v>
          </cell>
          <cell r="D1063" t="str">
            <v>. . . . . . . . . . . .</v>
          </cell>
          <cell r="E1063" t="str">
            <v>bulan</v>
          </cell>
        </row>
        <row r="1065">
          <cell r="A1065" t="str">
            <v>7.</v>
          </cell>
          <cell r="C1065" t="str">
            <v>VOLUME PEKERJAAN YANG DIPERLUKAN</v>
          </cell>
        </row>
        <row r="1066">
          <cell r="C1066" t="str">
            <v>Volume pekerjaan  :</v>
          </cell>
          <cell r="D1066">
            <v>0</v>
          </cell>
          <cell r="E1066" t="str">
            <v>M3</v>
          </cell>
        </row>
        <row r="1085">
          <cell r="A1085" t="str">
            <v>ITEM PEMBAYARAN NO.</v>
          </cell>
          <cell r="D1085" t="str">
            <v>:  3.1 (13)</v>
          </cell>
          <cell r="J1085" t="str">
            <v>Analisa EI-319</v>
          </cell>
        </row>
        <row r="1086">
          <cell r="A1086" t="str">
            <v>JENIS PEKERJAAN</v>
          </cell>
          <cell r="D1086" t="str">
            <v>:  Biaya Tambahan untuk jarak angkut bahan galian buangan dengan jarak melebihi  5 Km.</v>
          </cell>
        </row>
        <row r="1087">
          <cell r="A1087" t="str">
            <v>SATUAN PEMBAYARAN</v>
          </cell>
          <cell r="D1087" t="str">
            <v>:  M3/Km</v>
          </cell>
          <cell r="H1087" t="str">
            <v xml:space="preserve">         URAIAN ANALISA HARGA SATUAN</v>
          </cell>
        </row>
        <row r="1090">
          <cell r="A1090" t="str">
            <v>No.</v>
          </cell>
          <cell r="C1090" t="str">
            <v>U R A I A N</v>
          </cell>
          <cell r="G1090" t="str">
            <v>KODE</v>
          </cell>
          <cell r="H1090" t="str">
            <v>KOEF.</v>
          </cell>
          <cell r="I1090" t="str">
            <v>SATUAN</v>
          </cell>
          <cell r="J1090" t="str">
            <v>KETERANGAN</v>
          </cell>
        </row>
        <row r="1093">
          <cell r="A1093" t="str">
            <v>I.</v>
          </cell>
          <cell r="C1093" t="str">
            <v>ASUMSI</v>
          </cell>
        </row>
        <row r="1094">
          <cell r="A1094">
            <v>1</v>
          </cell>
          <cell r="C1094" t="str">
            <v>Menggunakan alat berat (cara mekanik)</v>
          </cell>
        </row>
        <row r="1095">
          <cell r="A1095">
            <v>2</v>
          </cell>
          <cell r="C1095" t="str">
            <v>Lokasi pekerjaan : sepanjang jalan</v>
          </cell>
        </row>
        <row r="1096">
          <cell r="A1096">
            <v>3</v>
          </cell>
          <cell r="C1096" t="str">
            <v>Kondisi Jalan   :  sedang / baik</v>
          </cell>
        </row>
        <row r="1098">
          <cell r="A1098" t="str">
            <v>II.</v>
          </cell>
          <cell r="C1098" t="str">
            <v>URUTAN KERJA</v>
          </cell>
        </row>
        <row r="1099">
          <cell r="A1099">
            <v>1</v>
          </cell>
          <cell r="C1099" t="str">
            <v>Tanah yang dipotong umumnya berada di sisi jalan</v>
          </cell>
        </row>
        <row r="1100">
          <cell r="A1100">
            <v>2</v>
          </cell>
          <cell r="C1100" t="str">
            <v>Dump Truck membuang bahan hasil galian keluar</v>
          </cell>
        </row>
        <row r="1101">
          <cell r="C1101" t="str">
            <v>lokasi jalan sejauh</v>
          </cell>
          <cell r="G1101" t="str">
            <v>Lo</v>
          </cell>
          <cell r="H1101">
            <v>8</v>
          </cell>
          <cell r="I1101" t="str">
            <v>Km</v>
          </cell>
        </row>
        <row r="1102">
          <cell r="A1102">
            <v>3</v>
          </cell>
          <cell r="C1102" t="str">
            <v>Jarak tambahan yang diperhitungkan  =  (Lo - 5) Km</v>
          </cell>
          <cell r="G1102" t="str">
            <v>Lt</v>
          </cell>
          <cell r="H1102">
            <v>3</v>
          </cell>
          <cell r="I1102" t="str">
            <v>Km</v>
          </cell>
        </row>
        <row r="1104">
          <cell r="A1104" t="str">
            <v>III.</v>
          </cell>
          <cell r="C1104" t="str">
            <v>PEMAKAIAN BAHAN, ALAT DAN TENAGA</v>
          </cell>
        </row>
        <row r="1106">
          <cell r="A1106" t="str">
            <v xml:space="preserve">   1.</v>
          </cell>
          <cell r="C1106" t="str">
            <v>BAHAN</v>
          </cell>
        </row>
        <row r="1107">
          <cell r="C1107" t="str">
            <v>Tidak ada bahan yang diperlukan</v>
          </cell>
        </row>
        <row r="1109">
          <cell r="A1109" t="str">
            <v xml:space="preserve">   2.</v>
          </cell>
          <cell r="C1109" t="str">
            <v>ALAT</v>
          </cell>
        </row>
        <row r="1110">
          <cell r="A1110" t="str">
            <v xml:space="preserve">   2.a.</v>
          </cell>
          <cell r="C1110" t="str">
            <v>DUMP TRUCK</v>
          </cell>
          <cell r="G1110" t="str">
            <v>(E08)</v>
          </cell>
        </row>
        <row r="1111">
          <cell r="C1111" t="str">
            <v>Kapasitas bak</v>
          </cell>
          <cell r="G1111" t="str">
            <v>V</v>
          </cell>
          <cell r="H1111">
            <v>6.666666666666667</v>
          </cell>
          <cell r="I1111" t="str">
            <v>M3</v>
          </cell>
        </row>
        <row r="1112">
          <cell r="C1112" t="str">
            <v>Faktor  efisiensi alat</v>
          </cell>
          <cell r="G1112" t="str">
            <v>Fa</v>
          </cell>
          <cell r="H1112">
            <v>0.83</v>
          </cell>
          <cell r="I1112" t="str">
            <v>-</v>
          </cell>
        </row>
        <row r="1113">
          <cell r="C1113" t="str">
            <v>Kecepatan rata-rata bermuatan</v>
          </cell>
          <cell r="G1113" t="str">
            <v>v1</v>
          </cell>
          <cell r="H1113">
            <v>45</v>
          </cell>
          <cell r="I1113" t="str">
            <v>KM/Jam</v>
          </cell>
        </row>
        <row r="1114">
          <cell r="C1114" t="str">
            <v>Kecepatan rata-rata kosong</v>
          </cell>
          <cell r="G1114" t="str">
            <v>v2</v>
          </cell>
          <cell r="H1114">
            <v>60</v>
          </cell>
          <cell r="I1114" t="str">
            <v>KM/Jam</v>
          </cell>
        </row>
        <row r="1115">
          <cell r="C1115" t="str">
            <v>Waktu  siklus</v>
          </cell>
          <cell r="G1115" t="str">
            <v>Ts</v>
          </cell>
        </row>
        <row r="1116">
          <cell r="C1116" t="str">
            <v>- Waktu tempuh isi</v>
          </cell>
          <cell r="E1116" t="str">
            <v>=   (Lt  :  v1)  x  60</v>
          </cell>
          <cell r="G1116" t="str">
            <v>T1</v>
          </cell>
          <cell r="H1116">
            <v>4</v>
          </cell>
          <cell r="I1116" t="str">
            <v>menit</v>
          </cell>
        </row>
        <row r="1117">
          <cell r="C1117" t="str">
            <v>- Waktu tempuh kosong</v>
          </cell>
          <cell r="E1117" t="str">
            <v>=   (Lt  :  v2)  x  60</v>
          </cell>
          <cell r="G1117" t="str">
            <v>T2</v>
          </cell>
          <cell r="H1117">
            <v>3</v>
          </cell>
          <cell r="I1117" t="str">
            <v>menit</v>
          </cell>
        </row>
        <row r="1118">
          <cell r="G1118" t="str">
            <v>Ts</v>
          </cell>
          <cell r="H1118">
            <v>7</v>
          </cell>
          <cell r="I1118" t="str">
            <v>menit</v>
          </cell>
        </row>
        <row r="1120">
          <cell r="C1120" t="str">
            <v>Kapasitas Produksi / Jam   =</v>
          </cell>
          <cell r="E1120" t="str">
            <v>V x Fa x 60</v>
          </cell>
          <cell r="G1120" t="str">
            <v>Q</v>
          </cell>
          <cell r="H1120">
            <v>47.428571428571431</v>
          </cell>
          <cell r="I1120" t="str">
            <v xml:space="preserve">M3/Jam </v>
          </cell>
        </row>
        <row r="1121">
          <cell r="E1121" t="str">
            <v>Ts2</v>
          </cell>
        </row>
        <row r="1122">
          <cell r="C1122" t="str">
            <v>Koefisien Alat per M3/Km  =  ( 1 : Q ) / Lt</v>
          </cell>
          <cell r="G1122" t="str">
            <v>(E08)</v>
          </cell>
          <cell r="H1122">
            <v>7.0281124497991966E-3</v>
          </cell>
          <cell r="I1122" t="str">
            <v>Jam</v>
          </cell>
        </row>
        <row r="1124">
          <cell r="A1124" t="str">
            <v xml:space="preserve">   3.</v>
          </cell>
          <cell r="C1124" t="str">
            <v>TENAGA</v>
          </cell>
        </row>
        <row r="1125">
          <cell r="C1125" t="str">
            <v>Tidak diperlukan tenaga kerja.</v>
          </cell>
        </row>
        <row r="1127">
          <cell r="A1127" t="str">
            <v>4.</v>
          </cell>
          <cell r="C1127" t="str">
            <v>HARGA DASAR SATUAN UPAH, BAHAN DAN ALAT</v>
          </cell>
        </row>
        <row r="1128">
          <cell r="C1128" t="str">
            <v>Lihat lampiran.</v>
          </cell>
        </row>
        <row r="1130">
          <cell r="A1130" t="str">
            <v>5.</v>
          </cell>
          <cell r="C1130" t="str">
            <v>ANALISA HARGA SATUAN PEKERJAAN</v>
          </cell>
        </row>
        <row r="1131">
          <cell r="C1131" t="str">
            <v>Lihat perhitungan dalam FORMULIR STANDAR UNTUK</v>
          </cell>
        </row>
        <row r="1132">
          <cell r="C1132" t="str">
            <v>PEREKEMAN ANALISA MASING-MASING HARGA</v>
          </cell>
        </row>
        <row r="1133">
          <cell r="C1133" t="str">
            <v>SATUAN.</v>
          </cell>
        </row>
        <row r="1134">
          <cell r="C1134" t="str">
            <v>Didapat Harga Satuan Pekerjaan :</v>
          </cell>
        </row>
        <row r="1136">
          <cell r="C1136" t="str">
            <v xml:space="preserve">Rp.  </v>
          </cell>
          <cell r="D1136">
            <v>1187.8222699633191</v>
          </cell>
          <cell r="E1136" t="str">
            <v xml:space="preserve"> / M3</v>
          </cell>
        </row>
        <row r="1139">
          <cell r="A1139" t="str">
            <v>6.</v>
          </cell>
          <cell r="C1139" t="str">
            <v>WAKTU PELAKSANAAN YANG DIPERLUKAN</v>
          </cell>
        </row>
        <row r="1140">
          <cell r="C1140" t="str">
            <v>Masa Pelaksanaan :</v>
          </cell>
          <cell r="D1140" t="str">
            <v>. . . . . . . . . . . .</v>
          </cell>
          <cell r="E1140" t="str">
            <v>bulan</v>
          </cell>
        </row>
        <row r="1142">
          <cell r="A1142" t="str">
            <v>7.</v>
          </cell>
          <cell r="C1142" t="str">
            <v>VOLUME PEKERJAAN YANG DIPERLUKAN</v>
          </cell>
          <cell r="N1142" t="str">
            <v>mata pembayaran.</v>
          </cell>
        </row>
        <row r="1143">
          <cell r="C1143" t="str">
            <v>Volume pekerjaan  :</v>
          </cell>
          <cell r="D1143">
            <v>0</v>
          </cell>
          <cell r="E1143" t="str">
            <v>M3</v>
          </cell>
          <cell r="L1143">
            <v>3</v>
          </cell>
          <cell r="N1143" t="str">
            <v>Biaya satuan untuk peralatan sudah termasuk bahan bakar, bahan habis dipakai dan operator.</v>
          </cell>
        </row>
        <row r="1144">
          <cell r="L1144">
            <v>4</v>
          </cell>
          <cell r="N1144" t="str">
            <v>Biaya satuan sudah termasuk pengeluaran untuk seluruh pajak yang berkaitan (tetapi tidak termasuk PPN</v>
          </cell>
        </row>
        <row r="1145">
          <cell r="N1145" t="str">
            <v>yang dibayar dari kontrak) dan biaya-biaya lainnya.</v>
          </cell>
        </row>
        <row r="1766">
          <cell r="C1766" t="str">
            <v>Faktor efisiensi alat</v>
          </cell>
          <cell r="G1766" t="str">
            <v>Fa</v>
          </cell>
          <cell r="H1766">
            <v>0.83</v>
          </cell>
          <cell r="I1766" t="str">
            <v>-</v>
          </cell>
        </row>
        <row r="1768">
          <cell r="C1768" t="str">
            <v>Kapasitas Prod./Jam   =</v>
          </cell>
          <cell r="D1768" t="str">
            <v>(v x 1000) x b x t x Fa</v>
          </cell>
          <cell r="G1768" t="str">
            <v>Q4</v>
          </cell>
          <cell r="H1768">
            <v>104.58</v>
          </cell>
          <cell r="I1768" t="str">
            <v>M3</v>
          </cell>
        </row>
        <row r="1769">
          <cell r="D1769" t="str">
            <v>n</v>
          </cell>
        </row>
        <row r="1771">
          <cell r="C1771" t="str">
            <v>Koefisien Alat / m3</v>
          </cell>
          <cell r="D1771" t="str">
            <v xml:space="preserve"> =  1  :  Q4</v>
          </cell>
          <cell r="G1771" t="str">
            <v>(E19)</v>
          </cell>
          <cell r="H1771">
            <v>9.5620577548288389E-3</v>
          </cell>
          <cell r="I1771" t="str">
            <v>Jam</v>
          </cell>
        </row>
        <row r="1774">
          <cell r="A1774" t="str">
            <v>2.e.</v>
          </cell>
          <cell r="C1774" t="str">
            <v>WATER TANK TRUCK</v>
          </cell>
          <cell r="G1774" t="str">
            <v>(E23)</v>
          </cell>
        </row>
        <row r="1775">
          <cell r="C1775" t="str">
            <v>Volume tangki air</v>
          </cell>
          <cell r="G1775" t="str">
            <v>V</v>
          </cell>
          <cell r="H1775">
            <v>4</v>
          </cell>
          <cell r="I1775" t="str">
            <v>M3</v>
          </cell>
        </row>
        <row r="1776">
          <cell r="C1776" t="str">
            <v>Kebutuhan air / M3 material padat</v>
          </cell>
          <cell r="G1776" t="str">
            <v>Wc</v>
          </cell>
          <cell r="H1776">
            <v>7.0000000000000007E-2</v>
          </cell>
          <cell r="I1776" t="str">
            <v>M3</v>
          </cell>
        </row>
        <row r="1777">
          <cell r="C1777" t="str">
            <v>Pengisian Tangki / jam</v>
          </cell>
          <cell r="G1777" t="str">
            <v>n</v>
          </cell>
          <cell r="H1777">
            <v>3</v>
          </cell>
          <cell r="I1777" t="str">
            <v>kali</v>
          </cell>
        </row>
        <row r="1778">
          <cell r="C1778" t="str">
            <v>Faktor efisiensi alat</v>
          </cell>
          <cell r="G1778" t="str">
            <v>Fa</v>
          </cell>
          <cell r="H1778">
            <v>0.83</v>
          </cell>
          <cell r="I1778" t="str">
            <v>-</v>
          </cell>
        </row>
        <row r="1780">
          <cell r="C1780" t="str">
            <v>Kapasitas Produksi / Jam   =</v>
          </cell>
          <cell r="E1780" t="str">
            <v>V  x  n x Fa</v>
          </cell>
          <cell r="G1780" t="str">
            <v>Q5</v>
          </cell>
          <cell r="H1780">
            <v>142.28571428571425</v>
          </cell>
          <cell r="I1780" t="str">
            <v>M3</v>
          </cell>
        </row>
        <row r="1781">
          <cell r="E1781" t="str">
            <v xml:space="preserve">     Wc</v>
          </cell>
        </row>
        <row r="1783">
          <cell r="C1783" t="str">
            <v>Koefisien Alat / m3</v>
          </cell>
          <cell r="D1783" t="str">
            <v xml:space="preserve"> =  1  :  Q5</v>
          </cell>
          <cell r="G1783" t="str">
            <v>(E23)</v>
          </cell>
          <cell r="H1783">
            <v>7.0281124497991983E-3</v>
          </cell>
          <cell r="I1783" t="str">
            <v>Jam</v>
          </cell>
        </row>
        <row r="1785">
          <cell r="A1785" t="str">
            <v>2.f.</v>
          </cell>
          <cell r="C1785" t="str">
            <v>ALAT  BANTU</v>
          </cell>
        </row>
        <row r="1786">
          <cell r="C1786" t="str">
            <v>Diperlukan alat-alat bantu kecil</v>
          </cell>
          <cell r="J1786" t="str">
            <v>Lump Sump</v>
          </cell>
        </row>
        <row r="1787">
          <cell r="C1787" t="str">
            <v>- Sekop    =         3   buah</v>
          </cell>
        </row>
        <row r="1791">
          <cell r="J1791" t="str">
            <v>Berlanjut ke halaman berikut</v>
          </cell>
        </row>
        <row r="1792">
          <cell r="A1792" t="str">
            <v>ITEM PEMBAYARAN NO.</v>
          </cell>
          <cell r="D1792" t="str">
            <v>:  3.2 (3)</v>
          </cell>
          <cell r="J1792" t="str">
            <v>Analisa EI-323</v>
          </cell>
        </row>
        <row r="1793">
          <cell r="A1793" t="str">
            <v>JENIS PEKERJAAN</v>
          </cell>
          <cell r="D1793" t="str">
            <v>:  Timbunan Pilihan</v>
          </cell>
        </row>
        <row r="1794">
          <cell r="A1794" t="str">
            <v>SATUAN PEMBAYARAN</v>
          </cell>
          <cell r="D1794" t="str">
            <v>:  M3</v>
          </cell>
          <cell r="H1794" t="str">
            <v xml:space="preserve">         URAIAN ANALISA HARGA SATUAN</v>
          </cell>
        </row>
        <row r="1795">
          <cell r="J1795" t="str">
            <v>Lanjutan</v>
          </cell>
        </row>
        <row r="1797">
          <cell r="A1797" t="str">
            <v>No.</v>
          </cell>
          <cell r="C1797" t="str">
            <v>U R A I A N</v>
          </cell>
          <cell r="G1797" t="str">
            <v>KODE</v>
          </cell>
          <cell r="H1797" t="str">
            <v>KOEF.</v>
          </cell>
          <cell r="I1797" t="str">
            <v>SATUAN</v>
          </cell>
          <cell r="J1797" t="str">
            <v>KETERANGAN</v>
          </cell>
        </row>
        <row r="1800">
          <cell r="A1800" t="str">
            <v xml:space="preserve">   3.</v>
          </cell>
          <cell r="C1800" t="str">
            <v>TENAGA</v>
          </cell>
        </row>
        <row r="1801">
          <cell r="C1801" t="str">
            <v>Produksi menentukan : DUMP TRUCK</v>
          </cell>
          <cell r="G1801" t="str">
            <v>Q1</v>
          </cell>
          <cell r="H1801">
            <v>0.40310830500242839</v>
          </cell>
          <cell r="I1801" t="str">
            <v>M3/Jam</v>
          </cell>
        </row>
        <row r="1802">
          <cell r="C1802" t="str">
            <v>Produksi Timbunan / hari  =  Tk x Q1</v>
          </cell>
          <cell r="G1802" t="str">
            <v>Qt</v>
          </cell>
          <cell r="H1802">
            <v>2.8217581350169989</v>
          </cell>
          <cell r="I1802" t="str">
            <v>M3</v>
          </cell>
        </row>
        <row r="1803">
          <cell r="C1803" t="str">
            <v>Kebutuhan tenaga :</v>
          </cell>
        </row>
        <row r="1804">
          <cell r="D1804" t="str">
            <v>- Pekerja</v>
          </cell>
          <cell r="G1804" t="str">
            <v>P</v>
          </cell>
          <cell r="H1804">
            <v>4</v>
          </cell>
          <cell r="I1804" t="str">
            <v>orang</v>
          </cell>
        </row>
        <row r="1805">
          <cell r="D1805" t="str">
            <v>- Mandor</v>
          </cell>
          <cell r="G1805" t="str">
            <v>M</v>
          </cell>
          <cell r="H1805">
            <v>1</v>
          </cell>
          <cell r="I1805" t="str">
            <v>orang</v>
          </cell>
        </row>
        <row r="1808">
          <cell r="C1808" t="str">
            <v>Koefisien tenaga / M3   :</v>
          </cell>
        </row>
        <row r="1809">
          <cell r="D1809" t="str">
            <v>- Pekerja</v>
          </cell>
          <cell r="E1809" t="str">
            <v>= (Tk x P) : Qt</v>
          </cell>
          <cell r="G1809" t="str">
            <v>(L01)</v>
          </cell>
          <cell r="H1809">
            <v>9.9228915662650596</v>
          </cell>
          <cell r="I1809" t="str">
            <v>Jam</v>
          </cell>
        </row>
        <row r="1810">
          <cell r="D1810" t="str">
            <v>- Mandor</v>
          </cell>
          <cell r="E1810" t="str">
            <v>= (Tk x M) : Qt</v>
          </cell>
          <cell r="G1810" t="str">
            <v>(L03)</v>
          </cell>
          <cell r="H1810">
            <v>2.4807228915662649</v>
          </cell>
          <cell r="I1810" t="str">
            <v>Jam</v>
          </cell>
        </row>
        <row r="1813">
          <cell r="A1813" t="str">
            <v>4.</v>
          </cell>
          <cell r="C1813" t="str">
            <v>HARGA DASAR SATUAN UPAH, BAHAN DAN ALAT</v>
          </cell>
        </row>
        <row r="1814">
          <cell r="C1814" t="str">
            <v>Lihat lampiran.</v>
          </cell>
        </row>
        <row r="1817">
          <cell r="A1817" t="str">
            <v>5.</v>
          </cell>
          <cell r="C1817" t="str">
            <v>ANALISA HARGA SATUAN PEKERJAAN</v>
          </cell>
        </row>
        <row r="1818">
          <cell r="C1818" t="str">
            <v>Lihat perhitungan dalam FORMULIR STANDAR UNTUK</v>
          </cell>
        </row>
        <row r="1819">
          <cell r="C1819" t="str">
            <v>PEREKEMAN ANALISA MASING-MASING HARGA</v>
          </cell>
        </row>
        <row r="1820">
          <cell r="C1820" t="str">
            <v>SATUAN.</v>
          </cell>
        </row>
        <row r="1821">
          <cell r="C1821" t="str">
            <v>Didapat Harga Satuan Pekerjaan :</v>
          </cell>
        </row>
        <row r="1823">
          <cell r="C1823" t="str">
            <v xml:space="preserve">Rp.  </v>
          </cell>
          <cell r="D1823">
            <v>501114.46814012952</v>
          </cell>
          <cell r="E1823" t="str">
            <v xml:space="preserve"> / M3.</v>
          </cell>
        </row>
        <row r="1826">
          <cell r="A1826" t="str">
            <v>6.</v>
          </cell>
          <cell r="C1826" t="str">
            <v>WAKTU PELAKSANAAN YANG DIPERLUKAN</v>
          </cell>
        </row>
        <row r="1827">
          <cell r="C1827" t="str">
            <v>Masa Pelaksanaan :</v>
          </cell>
          <cell r="D1827" t="str">
            <v>. . . . . . . . . . . .</v>
          </cell>
          <cell r="E1827" t="str">
            <v>bulan</v>
          </cell>
        </row>
        <row r="1829">
          <cell r="A1829" t="str">
            <v>7.</v>
          </cell>
          <cell r="C1829" t="str">
            <v>VOLUME PEKERJAAN YANG DIPERLUKAN</v>
          </cell>
        </row>
        <row r="1830">
          <cell r="C1830" t="str">
            <v>Volume pekerjaan  :</v>
          </cell>
          <cell r="D1830">
            <v>1</v>
          </cell>
          <cell r="E1830" t="str">
            <v>M3</v>
          </cell>
        </row>
        <row r="1851">
          <cell r="A1851" t="str">
            <v>ITEM PEMBAYARAN NO.</v>
          </cell>
          <cell r="D1851" t="str">
            <v>:  3.2 (4)</v>
          </cell>
          <cell r="J1851" t="str">
            <v>Analisa EI-324</v>
          </cell>
        </row>
        <row r="1852">
          <cell r="A1852" t="str">
            <v>JENIS PEKERJAAN</v>
          </cell>
          <cell r="D1852" t="str">
            <v>:  Timb. Pilihan Di Atas Tnh. Rawa</v>
          </cell>
        </row>
        <row r="1853">
          <cell r="A1853" t="str">
            <v>SATUAN PEMBAYARAN</v>
          </cell>
          <cell r="D1853" t="str">
            <v>:  M3</v>
          </cell>
          <cell r="H1853" t="str">
            <v xml:space="preserve">         URAIAN ANALISA HARGA SATUAN</v>
          </cell>
        </row>
        <row r="1856">
          <cell r="A1856" t="str">
            <v>No.</v>
          </cell>
          <cell r="C1856" t="str">
            <v>U R A I A N</v>
          </cell>
          <cell r="G1856" t="str">
            <v>KODE</v>
          </cell>
          <cell r="H1856" t="str">
            <v>KOEF.</v>
          </cell>
          <cell r="I1856" t="str">
            <v>SATUAN</v>
          </cell>
          <cell r="J1856" t="str">
            <v>KETERANGAN</v>
          </cell>
        </row>
        <row r="1859">
          <cell r="A1859" t="str">
            <v>I.</v>
          </cell>
          <cell r="C1859" t="str">
            <v>ASUMSI</v>
          </cell>
        </row>
        <row r="1860">
          <cell r="A1860">
            <v>1</v>
          </cell>
          <cell r="C1860" t="str">
            <v>Pekerjaan dilakukan secara mekanis</v>
          </cell>
        </row>
        <row r="1861">
          <cell r="A1861">
            <v>2</v>
          </cell>
          <cell r="C1861" t="str">
            <v>Lokasi pekerjaan : di atas tanah rawa</v>
          </cell>
        </row>
        <row r="1862">
          <cell r="A1862">
            <v>3</v>
          </cell>
          <cell r="C1862" t="str">
            <v>Kondisi Jalan   :  sedang / baik</v>
          </cell>
        </row>
        <row r="1863">
          <cell r="A1863">
            <v>4</v>
          </cell>
          <cell r="C1863" t="str">
            <v>Jam kerja efektif per-hari</v>
          </cell>
          <cell r="G1863" t="str">
            <v>Tk</v>
          </cell>
          <cell r="H1863">
            <v>7</v>
          </cell>
          <cell r="I1863" t="str">
            <v>Jam</v>
          </cell>
        </row>
        <row r="1864">
          <cell r="A1864">
            <v>5</v>
          </cell>
          <cell r="C1864" t="str">
            <v>Faktor pengembangan bahan</v>
          </cell>
          <cell r="G1864" t="str">
            <v>Fk</v>
          </cell>
          <cell r="H1864">
            <v>1.2</v>
          </cell>
          <cell r="I1864" t="str">
            <v>-</v>
          </cell>
        </row>
        <row r="1867">
          <cell r="A1867" t="str">
            <v>II.</v>
          </cell>
          <cell r="C1867" t="str">
            <v>URUTAN KERJA</v>
          </cell>
        </row>
        <row r="1869">
          <cell r="A1869">
            <v>1</v>
          </cell>
          <cell r="C1869" t="str">
            <v>Whell Loader memuat ke dalam Dump Truck</v>
          </cell>
        </row>
        <row r="1870">
          <cell r="A1870">
            <v>2</v>
          </cell>
          <cell r="C1870" t="str">
            <v>Dump Truck mengangkut material pilihan</v>
          </cell>
        </row>
        <row r="1871">
          <cell r="C1871" t="str">
            <v>ke lapangan dimana : jarak quari ke lapangan</v>
          </cell>
          <cell r="G1871" t="str">
            <v>L</v>
          </cell>
          <cell r="H1871">
            <v>10</v>
          </cell>
          <cell r="I1871" t="str">
            <v>Km</v>
          </cell>
        </row>
        <row r="1872">
          <cell r="A1872">
            <v>3</v>
          </cell>
          <cell r="C1872" t="str">
            <v>Dump Truck menuang material pilihan di lokasi rawa</v>
          </cell>
        </row>
        <row r="1873">
          <cell r="C1873" t="str">
            <v>yang telah ditetapkan mulai dari tepian rawa hingga</v>
          </cell>
        </row>
        <row r="1874">
          <cell r="C1874" t="str">
            <v>permukaan timbunan mencapai permukaan air rawa.</v>
          </cell>
        </row>
        <row r="1875">
          <cell r="A1875">
            <v>4</v>
          </cell>
          <cell r="C1875" t="str">
            <v>Sekelompok pekerja merapikan timbunan</v>
          </cell>
        </row>
        <row r="1876">
          <cell r="A1876">
            <v>5</v>
          </cell>
          <cell r="C1876" t="str">
            <v>Geotekstil atau batangan kayu (bila diperlukan)</v>
          </cell>
        </row>
        <row r="1877">
          <cell r="C1877" t="str">
            <v>dianggap telah terpasang</v>
          </cell>
        </row>
        <row r="1879">
          <cell r="A1879" t="str">
            <v>III.</v>
          </cell>
          <cell r="C1879" t="str">
            <v>PEMAKAIAN BAHAN, ALAT DAN TENAGA</v>
          </cell>
        </row>
        <row r="1880">
          <cell r="A1880" t="str">
            <v xml:space="preserve">   1.</v>
          </cell>
          <cell r="C1880" t="str">
            <v>BAHAN</v>
          </cell>
        </row>
        <row r="1881">
          <cell r="A1881" t="str">
            <v>1.a.</v>
          </cell>
          <cell r="C1881" t="str">
            <v>Bahan pilihan</v>
          </cell>
          <cell r="G1881" t="str">
            <v>(M09)</v>
          </cell>
          <cell r="H1881">
            <v>1</v>
          </cell>
          <cell r="I1881" t="str">
            <v>M3</v>
          </cell>
        </row>
        <row r="1883">
          <cell r="A1883" t="str">
            <v xml:space="preserve">   2.</v>
          </cell>
          <cell r="C1883" t="str">
            <v>ALAT</v>
          </cell>
        </row>
        <row r="1885">
          <cell r="A1885" t="str">
            <v xml:space="preserve">   2.a.</v>
          </cell>
          <cell r="C1885" t="str">
            <v>DUMP TRUCK</v>
          </cell>
          <cell r="G1885" t="str">
            <v>(E09)</v>
          </cell>
        </row>
        <row r="1886">
          <cell r="C1886" t="str">
            <v>Kapasitas bak</v>
          </cell>
          <cell r="G1886" t="str">
            <v>V</v>
          </cell>
          <cell r="H1886">
            <v>1.9444444444444444</v>
          </cell>
          <cell r="I1886" t="str">
            <v>M3</v>
          </cell>
        </row>
        <row r="1887">
          <cell r="C1887" t="str">
            <v>Faktor  efisiensi alat</v>
          </cell>
          <cell r="G1887" t="str">
            <v>Fa</v>
          </cell>
          <cell r="H1887">
            <v>0.83</v>
          </cell>
          <cell r="I1887" t="str">
            <v>-</v>
          </cell>
          <cell r="Q1887" t="str">
            <v xml:space="preserve">JUMLAH HARGA BAHAN   </v>
          </cell>
          <cell r="U1887">
            <v>25000</v>
          </cell>
        </row>
        <row r="1888">
          <cell r="C1888" t="str">
            <v>Kecepatan rata-rata bermuatan</v>
          </cell>
          <cell r="G1888" t="str">
            <v>v1</v>
          </cell>
          <cell r="H1888">
            <v>45</v>
          </cell>
          <cell r="I1888" t="str">
            <v>KM/Jam</v>
          </cell>
        </row>
        <row r="1889">
          <cell r="C1889" t="str">
            <v>Kecepatan rata-rata kosong</v>
          </cell>
          <cell r="G1889" t="str">
            <v>v2</v>
          </cell>
          <cell r="H1889">
            <v>60</v>
          </cell>
          <cell r="I1889" t="str">
            <v>KM/Jam</v>
          </cell>
          <cell r="L1889" t="str">
            <v>C.</v>
          </cell>
          <cell r="N1889" t="str">
            <v>PERALATAN</v>
          </cell>
        </row>
        <row r="1890">
          <cell r="C1890" t="str">
            <v>Waktusiklus :</v>
          </cell>
          <cell r="G1890" t="str">
            <v>Ts2</v>
          </cell>
          <cell r="L1890" t="str">
            <v>1.</v>
          </cell>
          <cell r="N1890" t="str">
            <v>Dump Truck</v>
          </cell>
          <cell r="O1890" t="str">
            <v>(E08)</v>
          </cell>
          <cell r="P1890" t="str">
            <v>Jam</v>
          </cell>
          <cell r="Q1890">
            <v>0.27194492254733216</v>
          </cell>
          <cell r="R1890">
            <v>153645.58193291764</v>
          </cell>
          <cell r="U1890">
            <v>41783.135878487068</v>
          </cell>
        </row>
        <row r="1891">
          <cell r="C1891" t="str">
            <v>-  Waktu tempuh isi   = (L : v1) x 60</v>
          </cell>
          <cell r="G1891" t="str">
            <v>T1</v>
          </cell>
          <cell r="H1891">
            <v>13.333333333333332</v>
          </cell>
          <cell r="I1891" t="str">
            <v>menit</v>
          </cell>
          <cell r="L1891" t="str">
            <v>2.</v>
          </cell>
          <cell r="N1891" t="str">
            <v>Whell  Loader</v>
          </cell>
          <cell r="O1891" t="str">
            <v>(E15)</v>
          </cell>
          <cell r="P1891" t="str">
            <v>Jam</v>
          </cell>
          <cell r="Q1891">
            <v>1.4874312063067082E-2</v>
          </cell>
          <cell r="R1891">
            <v>163808.13869490434</v>
          </cell>
          <cell r="U1891">
            <v>2436.5333734181813</v>
          </cell>
        </row>
        <row r="1892">
          <cell r="C1892" t="str">
            <v>-  Waktu tempuh kosong   = (L : v2) x 60</v>
          </cell>
          <cell r="G1892" t="str">
            <v>T2</v>
          </cell>
          <cell r="H1892">
            <v>10</v>
          </cell>
          <cell r="I1892" t="str">
            <v>menit</v>
          </cell>
          <cell r="L1892" t="str">
            <v>3.</v>
          </cell>
          <cell r="N1892" t="str">
            <v>Alat  Bantu</v>
          </cell>
          <cell r="P1892" t="str">
            <v>Ls</v>
          </cell>
          <cell r="Q1892">
            <v>1</v>
          </cell>
          <cell r="R1892">
            <v>100</v>
          </cell>
          <cell r="U1892">
            <v>100</v>
          </cell>
        </row>
        <row r="1893">
          <cell r="C1893" t="str">
            <v>- Lain-lain</v>
          </cell>
          <cell r="G1893" t="str">
            <v>T3</v>
          </cell>
          <cell r="H1893">
            <v>3</v>
          </cell>
          <cell r="I1893" t="str">
            <v>menit</v>
          </cell>
        </row>
        <row r="1894">
          <cell r="G1894" t="str">
            <v>Ts1</v>
          </cell>
          <cell r="H1894">
            <v>26.333333333333332</v>
          </cell>
          <cell r="I1894" t="str">
            <v>menit</v>
          </cell>
        </row>
        <row r="1896">
          <cell r="C1896" t="str">
            <v>Kapasitas Produksi / Jam   =</v>
          </cell>
          <cell r="E1896" t="str">
            <v>V x Fa x 60</v>
          </cell>
          <cell r="G1896" t="str">
            <v>Q1</v>
          </cell>
          <cell r="H1896">
            <v>3.6772151898734178</v>
          </cell>
          <cell r="I1896" t="str">
            <v>M3/Jam</v>
          </cell>
        </row>
        <row r="1897">
          <cell r="E1897" t="str">
            <v>Ts1</v>
          </cell>
        </row>
        <row r="1898">
          <cell r="Q1898" t="str">
            <v xml:space="preserve">JUMLAH HARGA PERALATAN   </v>
          </cell>
          <cell r="U1898">
            <v>44319.669251905252</v>
          </cell>
        </row>
        <row r="1899">
          <cell r="C1899" t="str">
            <v>Koefisien Alat / M3</v>
          </cell>
          <cell r="D1899" t="str">
            <v xml:space="preserve"> =  1  :  Q1</v>
          </cell>
          <cell r="G1899" t="str">
            <v>(E08)</v>
          </cell>
          <cell r="H1899">
            <v>0.27194492254733216</v>
          </cell>
          <cell r="I1899" t="str">
            <v>Jam</v>
          </cell>
        </row>
        <row r="1900">
          <cell r="L1900" t="str">
            <v>D.</v>
          </cell>
          <cell r="N1900" t="str">
            <v>JUMLAH HARGA TENAGA, BAHAN DAN PERALATAN  ( A + B + C )</v>
          </cell>
          <cell r="U1900">
            <v>71747.748529013697</v>
          </cell>
        </row>
        <row r="1901">
          <cell r="L1901" t="str">
            <v>E.</v>
          </cell>
          <cell r="N1901" t="str">
            <v>OVERHEAD &amp; PROFIT</v>
          </cell>
          <cell r="P1901">
            <v>10</v>
          </cell>
          <cell r="Q1901" t="str">
            <v>%  x  D</v>
          </cell>
          <cell r="U1901">
            <v>7174.7748529013697</v>
          </cell>
        </row>
        <row r="1902">
          <cell r="A1902" t="str">
            <v>2.b.</v>
          </cell>
          <cell r="C1902" t="str">
            <v>ALAT  BANTU</v>
          </cell>
          <cell r="L1902" t="str">
            <v>F.</v>
          </cell>
          <cell r="N1902" t="str">
            <v>HARGA SATUAN PEKERJAAN  ( D + E )</v>
          </cell>
          <cell r="U1902">
            <v>78922.52338191506</v>
          </cell>
        </row>
        <row r="1903">
          <cell r="C1903" t="str">
            <v>Diperlukan alat-alat bantu kecil</v>
          </cell>
          <cell r="J1903" t="str">
            <v>Lump Sump</v>
          </cell>
          <cell r="L1903" t="str">
            <v>Note: 1</v>
          </cell>
          <cell r="N1903" t="str">
            <v>SATUAN dapat berdasarkan atas jam operasi untuk Tenaga Kerja dan Peralatan, volume dan/atau ukuran</v>
          </cell>
        </row>
        <row r="1904">
          <cell r="C1904" t="str">
            <v>- Sekop    =         3   buah</v>
          </cell>
          <cell r="N1904" t="str">
            <v>berat untuk bahan-bahan.</v>
          </cell>
        </row>
        <row r="1905">
          <cell r="L1905">
            <v>2</v>
          </cell>
          <cell r="N1905" t="str">
            <v>Kuantitas satuan adalah kuantitas setiap komponen untuk menyelesaikan satu satuan pekerjaan dari nomor</v>
          </cell>
        </row>
        <row r="1906">
          <cell r="N1906" t="str">
            <v>mata pembayaran.</v>
          </cell>
        </row>
        <row r="1907">
          <cell r="L1907">
            <v>3</v>
          </cell>
          <cell r="N1907" t="str">
            <v>Biaya satuan untuk peralatan sudah termasuk bahan bakar, bahan habis dipakai dan operator.</v>
          </cell>
        </row>
        <row r="1908">
          <cell r="L1908">
            <v>4</v>
          </cell>
          <cell r="N1908" t="str">
            <v>Biaya satuan sudah termasuk pengeluaran untuk seluruh pajak yang berkaitan (tetapi tidak termasuk PPN</v>
          </cell>
        </row>
        <row r="1909">
          <cell r="N1909" t="str">
            <v>yang dibayar dari kontrak) dan biaya-biaya lainnya.</v>
          </cell>
        </row>
        <row r="1911">
          <cell r="J1911" t="str">
            <v>Berlanjut ke halaman berikut</v>
          </cell>
        </row>
        <row r="1912">
          <cell r="A1912" t="str">
            <v>ITEM PEMBAYARAN NO.</v>
          </cell>
          <cell r="D1912" t="str">
            <v>:  3.2 (4)</v>
          </cell>
          <cell r="J1912" t="str">
            <v>Analisa EI-324</v>
          </cell>
        </row>
        <row r="1913">
          <cell r="A1913" t="str">
            <v>JENIS PEKERJAAN</v>
          </cell>
          <cell r="D1913" t="str">
            <v>:  Timb. Pilihan Di Atas Tnh. Rawa</v>
          </cell>
        </row>
        <row r="1914">
          <cell r="A1914" t="str">
            <v>SATUAN PEMBAYARAN</v>
          </cell>
          <cell r="D1914" t="str">
            <v>:  M3</v>
          </cell>
          <cell r="H1914" t="str">
            <v xml:space="preserve">         URAIAN ANALISA HARGA SATUAN</v>
          </cell>
        </row>
        <row r="1915">
          <cell r="J1915" t="str">
            <v>Lanjutan</v>
          </cell>
        </row>
        <row r="1917">
          <cell r="A1917" t="str">
            <v>No.</v>
          </cell>
          <cell r="C1917" t="str">
            <v>U R A I A N</v>
          </cell>
          <cell r="G1917" t="str">
            <v>KODE</v>
          </cell>
          <cell r="H1917" t="str">
            <v>KOEF.</v>
          </cell>
          <cell r="I1917" t="str">
            <v>SATUAN</v>
          </cell>
          <cell r="J1917" t="str">
            <v>KETERANGAN</v>
          </cell>
        </row>
        <row r="1920">
          <cell r="A1920" t="str">
            <v>2.c.</v>
          </cell>
          <cell r="C1920" t="str">
            <v>WHELL  LOADER</v>
          </cell>
          <cell r="G1920" t="str">
            <v>(E15)</v>
          </cell>
        </row>
        <row r="1921">
          <cell r="C1921" t="str">
            <v>Kapasitas  Bucket</v>
          </cell>
          <cell r="G1921" t="str">
            <v>V</v>
          </cell>
          <cell r="H1921">
            <v>1.5</v>
          </cell>
          <cell r="I1921" t="str">
            <v>M3</v>
          </cell>
        </row>
        <row r="1922">
          <cell r="C1922" t="str">
            <v>Faktor Bucket</v>
          </cell>
          <cell r="G1922" t="str">
            <v>Fb</v>
          </cell>
          <cell r="H1922">
            <v>0.9</v>
          </cell>
          <cell r="I1922" t="str">
            <v>-</v>
          </cell>
        </row>
        <row r="1923">
          <cell r="C1923" t="str">
            <v>Faktor Efisiensi Alat</v>
          </cell>
          <cell r="G1923" t="str">
            <v>Fa</v>
          </cell>
          <cell r="H1923">
            <v>0.83</v>
          </cell>
          <cell r="I1923" t="str">
            <v>-</v>
          </cell>
        </row>
        <row r="1924">
          <cell r="C1924" t="str">
            <v>Waktu sklus</v>
          </cell>
          <cell r="G1924" t="str">
            <v>Ts1</v>
          </cell>
          <cell r="I1924" t="str">
            <v>menit</v>
          </cell>
        </row>
        <row r="1925">
          <cell r="C1925" t="str">
            <v>- Muat</v>
          </cell>
          <cell r="G1925" t="str">
            <v>T1</v>
          </cell>
          <cell r="H1925">
            <v>0.5</v>
          </cell>
          <cell r="I1925" t="str">
            <v>menit</v>
          </cell>
        </row>
        <row r="1926">
          <cell r="C1926" t="str">
            <v>- Lain-lain</v>
          </cell>
          <cell r="G1926" t="str">
            <v>T2</v>
          </cell>
          <cell r="H1926">
            <v>0.5</v>
          </cell>
          <cell r="I1926" t="str">
            <v>menit</v>
          </cell>
        </row>
        <row r="1927">
          <cell r="G1927" t="str">
            <v>Ts2</v>
          </cell>
          <cell r="H1927">
            <v>1</v>
          </cell>
          <cell r="I1927" t="str">
            <v>menit</v>
          </cell>
        </row>
        <row r="1929">
          <cell r="C1929" t="str">
            <v>Kapasitas Produksi / Jam =</v>
          </cell>
          <cell r="E1929" t="str">
            <v>V  x  Fb x Fa x 60</v>
          </cell>
          <cell r="G1929" t="str">
            <v>Q2</v>
          </cell>
          <cell r="H1929">
            <v>67.23</v>
          </cell>
          <cell r="I1929" t="str">
            <v>M3</v>
          </cell>
        </row>
        <row r="1930">
          <cell r="E1930" t="str">
            <v>Ts1</v>
          </cell>
        </row>
        <row r="1932">
          <cell r="C1932" t="str">
            <v>Koefisienalat / M3</v>
          </cell>
          <cell r="D1932" t="str">
            <v xml:space="preserve"> =   1 : Q2</v>
          </cell>
          <cell r="G1932" t="str">
            <v>(E15)</v>
          </cell>
          <cell r="H1932">
            <v>1.4874312063067082E-2</v>
          </cell>
          <cell r="I1932" t="str">
            <v>Jam</v>
          </cell>
        </row>
        <row r="1934">
          <cell r="A1934" t="str">
            <v xml:space="preserve">   3.</v>
          </cell>
          <cell r="C1934" t="str">
            <v>TENAGA</v>
          </cell>
        </row>
        <row r="1935">
          <cell r="C1935" t="str">
            <v>Produksi menentukan : DUMP TRUCK</v>
          </cell>
          <cell r="G1935" t="str">
            <v>Q1</v>
          </cell>
          <cell r="H1935">
            <v>3.6772151898734178</v>
          </cell>
          <cell r="I1935" t="str">
            <v>M3/Jam</v>
          </cell>
        </row>
        <row r="1936">
          <cell r="C1936" t="str">
            <v>Produksi Timbunan / hari  =  Tk x Q1</v>
          </cell>
          <cell r="G1936" t="str">
            <v>Qt</v>
          </cell>
          <cell r="H1936">
            <v>25.740506329113924</v>
          </cell>
          <cell r="I1936" t="str">
            <v>M3</v>
          </cell>
        </row>
        <row r="1937">
          <cell r="C1937" t="str">
            <v>Asumsi permukaan hamparan di permukaan rawa :</v>
          </cell>
        </row>
        <row r="1939">
          <cell r="C1939" t="str">
            <v>Kebutuhan tenaga :</v>
          </cell>
        </row>
        <row r="1940">
          <cell r="D1940" t="str">
            <v>- Pekerja</v>
          </cell>
          <cell r="G1940" t="str">
            <v>P</v>
          </cell>
          <cell r="H1940">
            <v>2</v>
          </cell>
          <cell r="I1940" t="str">
            <v>orang</v>
          </cell>
        </row>
        <row r="1941">
          <cell r="D1941" t="str">
            <v>- Mandor</v>
          </cell>
          <cell r="G1941" t="str">
            <v>M</v>
          </cell>
          <cell r="H1941">
            <v>1</v>
          </cell>
          <cell r="I1941" t="str">
            <v>orang</v>
          </cell>
        </row>
        <row r="1944">
          <cell r="C1944" t="str">
            <v>Koefisien tenaga / M3   :</v>
          </cell>
        </row>
        <row r="1945">
          <cell r="D1945" t="str">
            <v>- Pekerja</v>
          </cell>
          <cell r="E1945" t="str">
            <v>= (Tk x P) : Qt</v>
          </cell>
          <cell r="G1945" t="str">
            <v>(L01)</v>
          </cell>
          <cell r="H1945">
            <v>0.54388984509466443</v>
          </cell>
          <cell r="I1945" t="str">
            <v>Jam</v>
          </cell>
        </row>
        <row r="1946">
          <cell r="D1946" t="str">
            <v>- Mandor</v>
          </cell>
          <cell r="E1946" t="str">
            <v>= (Tk x M) : Qt</v>
          </cell>
          <cell r="G1946" t="str">
            <v>(L02)</v>
          </cell>
          <cell r="H1946">
            <v>0.27194492254733221</v>
          </cell>
          <cell r="I1946" t="str">
            <v>Jam</v>
          </cell>
        </row>
        <row r="1949">
          <cell r="A1949" t="str">
            <v>4.</v>
          </cell>
          <cell r="C1949" t="str">
            <v>HARGA DASAR SATUAN UPAH, BAHAN DAN ALAT</v>
          </cell>
        </row>
        <row r="1950">
          <cell r="C1950" t="str">
            <v>Lihat lampiran.</v>
          </cell>
        </row>
        <row r="1953">
          <cell r="A1953" t="str">
            <v>5.</v>
          </cell>
          <cell r="C1953" t="str">
            <v>ANALISA HARGA SATUAN PEKERJAAN</v>
          </cell>
        </row>
        <row r="1954">
          <cell r="C1954" t="str">
            <v>Lihat perhitungan dalam FORMULIR STANDAR UNTUK</v>
          </cell>
        </row>
        <row r="1955">
          <cell r="C1955" t="str">
            <v>PEREKEMAN ANALISA MASING-MASING HARGA</v>
          </cell>
        </row>
        <row r="1956">
          <cell r="C1956" t="str">
            <v>SATUAN.</v>
          </cell>
        </row>
        <row r="1957">
          <cell r="C1957" t="str">
            <v>Didapat Harga Satuan Pekerjaan :</v>
          </cell>
        </row>
        <row r="1959">
          <cell r="C1959" t="str">
            <v xml:space="preserve">Rp.  </v>
          </cell>
          <cell r="D1959">
            <v>78922.52338191506</v>
          </cell>
          <cell r="E1959" t="str">
            <v xml:space="preserve"> / M3</v>
          </cell>
        </row>
        <row r="1962">
          <cell r="A1962" t="str">
            <v>6.</v>
          </cell>
          <cell r="C1962" t="str">
            <v>WAKTU PELAKSANAAN YANG DIPERLUKAN</v>
          </cell>
        </row>
        <row r="1963">
          <cell r="C1963" t="str">
            <v>Masa Pelaksanaan :</v>
          </cell>
          <cell r="D1963" t="str">
            <v>. . . . . . . . . . . .</v>
          </cell>
          <cell r="E1963" t="str">
            <v>bulan</v>
          </cell>
        </row>
        <row r="1965">
          <cell r="A1965" t="str">
            <v>7.</v>
          </cell>
          <cell r="C1965" t="str">
            <v>VOLUME PEKERJAAN YANG DIPERLUKAN</v>
          </cell>
        </row>
        <row r="1966">
          <cell r="C1966" t="str">
            <v>Volume pekerjaan  :</v>
          </cell>
          <cell r="D1966">
            <v>1</v>
          </cell>
          <cell r="E1966" t="str">
            <v>M3</v>
          </cell>
        </row>
        <row r="1971">
          <cell r="T1971" t="str">
            <v>Analisa EI-331</v>
          </cell>
        </row>
        <row r="1973">
          <cell r="A1973" t="str">
            <v>ITEM PEMBAYARAN NO.</v>
          </cell>
          <cell r="D1973" t="str">
            <v>:  3.3 (1)</v>
          </cell>
          <cell r="J1973" t="str">
            <v>Analisa EI-331</v>
          </cell>
          <cell r="L1973" t="str">
            <v>FORMULIR STANDAR UNTUK</v>
          </cell>
        </row>
        <row r="1974">
          <cell r="A1974" t="str">
            <v>JENIS PEKERJAAN</v>
          </cell>
          <cell r="D1974" t="str">
            <v>:  Penyiapan Badan Jalan pada Galian</v>
          </cell>
          <cell r="L1974" t="str">
            <v>PEREKAMAN ANALISA MASING-MASING HARGA SATUAN</v>
          </cell>
        </row>
        <row r="1975">
          <cell r="A1975" t="str">
            <v>SATUAN PEMBAYARAN</v>
          </cell>
          <cell r="D1975" t="str">
            <v>:  M2</v>
          </cell>
          <cell r="F1975" t="str">
            <v>Biasa</v>
          </cell>
          <cell r="H1975" t="str">
            <v xml:space="preserve">         URAIAN ANALISA HARGA SATUAN</v>
          </cell>
          <cell r="L1975" t="str">
            <v xml:space="preserve">                                                                                                            </v>
          </cell>
        </row>
        <row r="1978">
          <cell r="A1978" t="str">
            <v>No.</v>
          </cell>
          <cell r="C1978" t="str">
            <v>U R A I A N</v>
          </cell>
          <cell r="G1978" t="str">
            <v>KODE</v>
          </cell>
          <cell r="H1978" t="str">
            <v>KOEF.</v>
          </cell>
          <cell r="I1978" t="str">
            <v>SATUAN</v>
          </cell>
          <cell r="J1978" t="str">
            <v>KETERANGAN</v>
          </cell>
          <cell r="L1978" t="str">
            <v>PROYEK</v>
          </cell>
          <cell r="O1978" t="str">
            <v>:</v>
          </cell>
        </row>
        <row r="1979">
          <cell r="L1979" t="str">
            <v>No. PAKET KONTRAK</v>
          </cell>
          <cell r="O1979" t="str">
            <v>:</v>
          </cell>
        </row>
        <row r="1980">
          <cell r="L1980" t="str">
            <v>NAMA PAKET</v>
          </cell>
          <cell r="O1980" t="str">
            <v>:</v>
          </cell>
        </row>
        <row r="1981">
          <cell r="A1981" t="str">
            <v>I.</v>
          </cell>
          <cell r="C1981" t="str">
            <v>ASUMSI</v>
          </cell>
          <cell r="L1981" t="str">
            <v>PROP / KAB / KODYA</v>
          </cell>
          <cell r="O1981" t="str">
            <v>:</v>
          </cell>
        </row>
        <row r="1982">
          <cell r="A1982">
            <v>1</v>
          </cell>
          <cell r="C1982" t="str">
            <v>Pekerjaan dilaksanakan hanya pada tanah  galian</v>
          </cell>
          <cell r="L1982" t="str">
            <v>ITEM PEMBAYARAN NO.</v>
          </cell>
          <cell r="O1982" t="str">
            <v>:  3.3 (1)</v>
          </cell>
          <cell r="R1982" t="str">
            <v>PERKIRAAN VOL. PEK.</v>
          </cell>
          <cell r="T1982" t="str">
            <v>:</v>
          </cell>
          <cell r="U1982">
            <v>1</v>
          </cell>
        </row>
        <row r="1983">
          <cell r="A1983">
            <v>2</v>
          </cell>
          <cell r="C1983" t="str">
            <v>Pekerjaan dilakukan secara mekanis</v>
          </cell>
          <cell r="L1983" t="str">
            <v>JENIS PEKERJAAN</v>
          </cell>
          <cell r="O1983" t="str">
            <v>:  Penyiapan Badan Jalan pada Galian</v>
          </cell>
          <cell r="R1983" t="str">
            <v>TOTAL HARGA (Rp.)</v>
          </cell>
          <cell r="T1983" t="str">
            <v>:</v>
          </cell>
          <cell r="U1983">
            <v>809086.35646871035</v>
          </cell>
        </row>
        <row r="1984">
          <cell r="A1984">
            <v>3</v>
          </cell>
          <cell r="C1984" t="str">
            <v>Lokasi pekerjaan : sepanjang jalan</v>
          </cell>
          <cell r="L1984" t="str">
            <v>SATUAN PEMBAYARAN</v>
          </cell>
          <cell r="O1984" t="str">
            <v>:  M2</v>
          </cell>
          <cell r="Q1984" t="str">
            <v>Biasa</v>
          </cell>
          <cell r="R1984" t="str">
            <v>% THD. BIAYA PROYEK</v>
          </cell>
          <cell r="T1984" t="str">
            <v>:</v>
          </cell>
          <cell r="U1984" t="e">
            <v>#DIV/0!</v>
          </cell>
        </row>
        <row r="1985">
          <cell r="A1985">
            <v>4</v>
          </cell>
          <cell r="C1985" t="str">
            <v>Kondisi Jalan   : jelek / belum padat</v>
          </cell>
        </row>
        <row r="1986">
          <cell r="A1986">
            <v>5</v>
          </cell>
          <cell r="C1986" t="str">
            <v>Jam kerja efektif per-hari</v>
          </cell>
          <cell r="G1986" t="str">
            <v>Tk</v>
          </cell>
          <cell r="H1986">
            <v>7</v>
          </cell>
          <cell r="I1986" t="str">
            <v>Jam</v>
          </cell>
        </row>
        <row r="1987">
          <cell r="Q1987" t="str">
            <v>PERKIRAAN</v>
          </cell>
          <cell r="R1987" t="str">
            <v>HARGA</v>
          </cell>
          <cell r="S1987" t="str">
            <v>JUMLAH</v>
          </cell>
        </row>
        <row r="1988">
          <cell r="L1988" t="str">
            <v>NO.</v>
          </cell>
          <cell r="N1988" t="str">
            <v>KOMPONEN</v>
          </cell>
          <cell r="P1988" t="str">
            <v>SATUAN</v>
          </cell>
          <cell r="Q1988" t="str">
            <v>KUANTITAS</v>
          </cell>
          <cell r="R1988" t="str">
            <v>SATUAN</v>
          </cell>
          <cell r="S1988" t="str">
            <v>HARGA</v>
          </cell>
        </row>
        <row r="1989">
          <cell r="A1989" t="str">
            <v>II.</v>
          </cell>
          <cell r="C1989" t="str">
            <v>URUTAN KERJA</v>
          </cell>
          <cell r="R1989" t="str">
            <v>(Rp.)</v>
          </cell>
          <cell r="S1989" t="str">
            <v>(Rp.)</v>
          </cell>
        </row>
        <row r="1990">
          <cell r="A1990">
            <v>1</v>
          </cell>
          <cell r="C1990" t="str">
            <v>Motor Grader meratakan permukaan hasil galian</v>
          </cell>
        </row>
        <row r="1991">
          <cell r="A1991">
            <v>2</v>
          </cell>
          <cell r="C1991" t="str">
            <v>Vibro Roller memadatkan permukaan yang telah</v>
          </cell>
        </row>
        <row r="1992">
          <cell r="C1992" t="str">
            <v>dipotong/diratakan oleh Motor Grader</v>
          </cell>
          <cell r="L1992" t="str">
            <v>A.</v>
          </cell>
          <cell r="N1992" t="str">
            <v>TENAGA</v>
          </cell>
        </row>
        <row r="1993">
          <cell r="A1993">
            <v>3</v>
          </cell>
          <cell r="C1993" t="str">
            <v>Sekelompok pekerja akan membantu meratakan</v>
          </cell>
        </row>
        <row r="1994">
          <cell r="C1994" t="str">
            <v>badan jalan dengan alat bantu</v>
          </cell>
          <cell r="L1994" t="str">
            <v>1.</v>
          </cell>
          <cell r="N1994" t="str">
            <v>Pekerja</v>
          </cell>
          <cell r="O1994" t="str">
            <v>(L01)</v>
          </cell>
          <cell r="P1994" t="str">
            <v>jam</v>
          </cell>
          <cell r="Q1994">
            <v>1.6064257028112448E-2</v>
          </cell>
          <cell r="R1994">
            <v>2857.14</v>
          </cell>
          <cell r="U1994">
            <v>45.897831325301198</v>
          </cell>
        </row>
        <row r="1995">
          <cell r="L1995" t="str">
            <v>2.</v>
          </cell>
          <cell r="N1995" t="str">
            <v>Mandor</v>
          </cell>
          <cell r="O1995" t="str">
            <v>(L02)</v>
          </cell>
          <cell r="P1995" t="str">
            <v>jam</v>
          </cell>
          <cell r="Q1995">
            <v>4.0160642570281121E-3</v>
          </cell>
          <cell r="R1995">
            <v>3214.29</v>
          </cell>
          <cell r="U1995">
            <v>12.90879518072289</v>
          </cell>
        </row>
        <row r="1998">
          <cell r="Q1998" t="str">
            <v xml:space="preserve">JUMLAH HARGA TENAGA   </v>
          </cell>
          <cell r="U1998">
            <v>58.806626506024088</v>
          </cell>
        </row>
        <row r="2000">
          <cell r="L2000" t="str">
            <v>B.</v>
          </cell>
          <cell r="N2000" t="str">
            <v>BAHAN</v>
          </cell>
        </row>
        <row r="2001">
          <cell r="A2001" t="str">
            <v>III.</v>
          </cell>
          <cell r="C2001" t="str">
            <v>PEMAKAIAN BAHAN, ALAT DAN TENAGA</v>
          </cell>
        </row>
        <row r="2002">
          <cell r="A2002" t="str">
            <v xml:space="preserve">   1.</v>
          </cell>
          <cell r="C2002" t="str">
            <v>BAHAN</v>
          </cell>
        </row>
        <row r="2003">
          <cell r="C2003" t="str">
            <v>Tidak diperlukan bahan / material</v>
          </cell>
        </row>
        <row r="2005">
          <cell r="A2005" t="str">
            <v xml:space="preserve">   2.</v>
          </cell>
          <cell r="C2005" t="str">
            <v>ALAT</v>
          </cell>
        </row>
        <row r="2006">
          <cell r="A2006" t="str">
            <v>2.a.</v>
          </cell>
          <cell r="C2006" t="str">
            <v>MOTOR GRADER</v>
          </cell>
          <cell r="G2006" t="str">
            <v>(E13)</v>
          </cell>
        </row>
        <row r="2007">
          <cell r="C2007" t="str">
            <v>Panjang operasi grader sekali jalan</v>
          </cell>
          <cell r="G2007" t="str">
            <v>Lh</v>
          </cell>
          <cell r="H2007">
            <v>50</v>
          </cell>
          <cell r="I2007" t="str">
            <v>M</v>
          </cell>
        </row>
        <row r="2008">
          <cell r="C2008" t="str">
            <v>Lebar Efektif kerja Blade</v>
          </cell>
          <cell r="G2008" t="str">
            <v>b</v>
          </cell>
          <cell r="H2008">
            <v>2.4</v>
          </cell>
          <cell r="I2008" t="str">
            <v>M</v>
          </cell>
        </row>
        <row r="2009">
          <cell r="C2009" t="str">
            <v>Faktor Efisiensi Alat</v>
          </cell>
          <cell r="G2009" t="str">
            <v>Fa</v>
          </cell>
          <cell r="H2009">
            <v>0.83</v>
          </cell>
          <cell r="I2009" t="str">
            <v>-</v>
          </cell>
        </row>
        <row r="2010">
          <cell r="C2010" t="str">
            <v>Kecepatan rata-rata alat</v>
          </cell>
          <cell r="G2010" t="str">
            <v>v</v>
          </cell>
          <cell r="H2010">
            <v>2</v>
          </cell>
          <cell r="I2010" t="str">
            <v>Km / Jam</v>
          </cell>
        </row>
        <row r="2011">
          <cell r="C2011" t="str">
            <v>Jumlah lintasan</v>
          </cell>
          <cell r="G2011" t="str">
            <v>n</v>
          </cell>
          <cell r="H2011">
            <v>6</v>
          </cell>
          <cell r="I2011" t="str">
            <v>lintasan</v>
          </cell>
        </row>
        <row r="2012">
          <cell r="C2012" t="str">
            <v>Waktu siklus</v>
          </cell>
          <cell r="G2012" t="str">
            <v>Ts1</v>
          </cell>
        </row>
        <row r="2013">
          <cell r="C2013" t="str">
            <v>- Perataan 1 kali lintasan    = Lh : (v x 1000) x 60</v>
          </cell>
          <cell r="G2013" t="str">
            <v>T1</v>
          </cell>
          <cell r="H2013">
            <v>1.5</v>
          </cell>
          <cell r="I2013" t="str">
            <v>menit</v>
          </cell>
        </row>
        <row r="2014">
          <cell r="C2014" t="str">
            <v>- Lain-lain</v>
          </cell>
          <cell r="G2014" t="str">
            <v>T2</v>
          </cell>
          <cell r="H2014">
            <v>1</v>
          </cell>
          <cell r="I2014" t="str">
            <v>menit</v>
          </cell>
        </row>
        <row r="2015">
          <cell r="G2015" t="str">
            <v>Ts1</v>
          </cell>
          <cell r="H2015">
            <v>2.5</v>
          </cell>
          <cell r="I2015" t="str">
            <v>menit</v>
          </cell>
        </row>
        <row r="2017">
          <cell r="C2017" t="str">
            <v>Kapasitas Produksi / Jam   =</v>
          </cell>
          <cell r="E2017" t="str">
            <v>Lh x b x Fa x 60</v>
          </cell>
          <cell r="G2017" t="str">
            <v>Q1</v>
          </cell>
          <cell r="H2017">
            <v>398.4</v>
          </cell>
          <cell r="I2017" t="str">
            <v>M2</v>
          </cell>
        </row>
        <row r="2018">
          <cell r="E2018" t="str">
            <v xml:space="preserve">      n x Ts</v>
          </cell>
        </row>
        <row r="2020">
          <cell r="C2020" t="str">
            <v>Koefisien Alat / m2</v>
          </cell>
          <cell r="D2020" t="str">
            <v xml:space="preserve"> =  1  :  Q1</v>
          </cell>
          <cell r="G2020" t="str">
            <v>(E13)</v>
          </cell>
          <cell r="H2020">
            <v>2.5100401606425703E-3</v>
          </cell>
          <cell r="I2020" t="str">
            <v>Jam</v>
          </cell>
        </row>
        <row r="2022">
          <cell r="A2022" t="str">
            <v>2.b.</v>
          </cell>
          <cell r="C2022" t="str">
            <v>VIBRATOR ROLLER</v>
          </cell>
          <cell r="G2022" t="str">
            <v>(E19)</v>
          </cell>
        </row>
        <row r="2023">
          <cell r="C2023" t="str">
            <v>Kecepatan rata-rata alat</v>
          </cell>
          <cell r="G2023" t="str">
            <v>v</v>
          </cell>
          <cell r="H2023">
            <v>2</v>
          </cell>
          <cell r="I2023" t="str">
            <v>Km / jam</v>
          </cell>
        </row>
        <row r="2024">
          <cell r="C2024" t="str">
            <v>Lebar efektif pemadatan</v>
          </cell>
          <cell r="G2024" t="str">
            <v>b</v>
          </cell>
          <cell r="H2024">
            <v>1.2</v>
          </cell>
          <cell r="I2024" t="str">
            <v>M</v>
          </cell>
        </row>
        <row r="2025">
          <cell r="C2025" t="str">
            <v>Jumlah lintasan</v>
          </cell>
          <cell r="G2025" t="str">
            <v>n</v>
          </cell>
          <cell r="H2025">
            <v>8</v>
          </cell>
          <cell r="I2025" t="str">
            <v>lintasan</v>
          </cell>
        </row>
        <row r="2026">
          <cell r="C2026" t="str">
            <v>Faktor efisiensi alat</v>
          </cell>
          <cell r="G2026" t="str">
            <v>Fa</v>
          </cell>
          <cell r="H2026">
            <v>0.83</v>
          </cell>
          <cell r="I2026" t="str">
            <v>-</v>
          </cell>
        </row>
        <row r="2028">
          <cell r="C2028" t="str">
            <v>Kapasitas Produksi / Jam   =</v>
          </cell>
          <cell r="E2028" t="str">
            <v>(v x 1000) x b x Fa</v>
          </cell>
          <cell r="G2028" t="str">
            <v>Q2</v>
          </cell>
          <cell r="H2028">
            <v>249</v>
          </cell>
          <cell r="I2028" t="str">
            <v>M2</v>
          </cell>
        </row>
        <row r="2029">
          <cell r="E2029" t="str">
            <v>n</v>
          </cell>
        </row>
        <row r="2031">
          <cell r="C2031" t="str">
            <v>Koefisien Alat / m2</v>
          </cell>
          <cell r="D2031" t="str">
            <v xml:space="preserve"> =  1  :  Q2</v>
          </cell>
          <cell r="G2031" t="str">
            <v>(E19)</v>
          </cell>
          <cell r="H2031">
            <v>4.0160642570281121E-3</v>
          </cell>
          <cell r="I2031" t="str">
            <v>Jam</v>
          </cell>
        </row>
        <row r="2033">
          <cell r="J2033" t="str">
            <v>Berlanjut ke halaman berikut</v>
          </cell>
        </row>
        <row r="2034">
          <cell r="A2034" t="str">
            <v>ITEM PEMBAYARAN NO.</v>
          </cell>
          <cell r="D2034" t="str">
            <v>:  3.3 (1)</v>
          </cell>
          <cell r="J2034" t="str">
            <v>Analisa EI-331</v>
          </cell>
        </row>
        <row r="2035">
          <cell r="A2035" t="str">
            <v>JENIS PEKERJAAN</v>
          </cell>
          <cell r="D2035" t="str">
            <v>:  Penyiapan Badan Jalan pada Galian</v>
          </cell>
        </row>
        <row r="2036">
          <cell r="A2036" t="str">
            <v>SATUAN PEMBAYARAN</v>
          </cell>
          <cell r="D2036" t="str">
            <v>:  M2</v>
          </cell>
          <cell r="H2036" t="str">
            <v xml:space="preserve">         URAIAN ANALISA HARGA SATUAN</v>
          </cell>
        </row>
        <row r="2037">
          <cell r="J2037" t="str">
            <v>Lanjutan</v>
          </cell>
        </row>
        <row r="2039">
          <cell r="A2039" t="str">
            <v>No.</v>
          </cell>
          <cell r="C2039" t="str">
            <v>U R A I A N</v>
          </cell>
          <cell r="G2039" t="str">
            <v>KODE</v>
          </cell>
          <cell r="H2039" t="str">
            <v>KOEF.</v>
          </cell>
          <cell r="I2039" t="str">
            <v>SATUAN</v>
          </cell>
          <cell r="J2039" t="str">
            <v>KETERANGAN</v>
          </cell>
        </row>
        <row r="2042">
          <cell r="A2042" t="str">
            <v>2.c.</v>
          </cell>
          <cell r="C2042" t="str">
            <v>WATER TANK TRUCK</v>
          </cell>
          <cell r="G2042" t="str">
            <v>(E23)</v>
          </cell>
        </row>
        <row r="2043">
          <cell r="C2043" t="str">
            <v>Volume tangki air</v>
          </cell>
          <cell r="G2043" t="str">
            <v>V</v>
          </cell>
          <cell r="H2043">
            <v>4</v>
          </cell>
          <cell r="I2043" t="str">
            <v>M3</v>
          </cell>
        </row>
        <row r="2044">
          <cell r="C2044" t="str">
            <v>Kebutuhan air / M2 permukaan padat</v>
          </cell>
          <cell r="G2044" t="str">
            <v>Wc</v>
          </cell>
          <cell r="H2044">
            <v>0.01</v>
          </cell>
          <cell r="I2044" t="str">
            <v>M3</v>
          </cell>
        </row>
        <row r="2045">
          <cell r="C2045" t="str">
            <v>Pengisian Tangki / jam</v>
          </cell>
          <cell r="G2045" t="str">
            <v>n</v>
          </cell>
          <cell r="H2045">
            <v>1</v>
          </cell>
          <cell r="I2045" t="str">
            <v>kali</v>
          </cell>
        </row>
        <row r="2046">
          <cell r="C2046" t="str">
            <v>Faktor efisiensi alat</v>
          </cell>
          <cell r="G2046" t="str">
            <v>Fa</v>
          </cell>
          <cell r="H2046">
            <v>0.83</v>
          </cell>
          <cell r="I2046" t="str">
            <v>-</v>
          </cell>
        </row>
        <row r="2048">
          <cell r="C2048" t="str">
            <v>Kapasitas Produksi / Jam   =</v>
          </cell>
          <cell r="E2048" t="str">
            <v>V  x  n x Fa</v>
          </cell>
          <cell r="G2048" t="str">
            <v>Q3</v>
          </cell>
          <cell r="H2048">
            <v>332</v>
          </cell>
          <cell r="I2048" t="str">
            <v>M2</v>
          </cell>
        </row>
        <row r="2049">
          <cell r="E2049" t="str">
            <v xml:space="preserve">     Wc</v>
          </cell>
        </row>
        <row r="2051">
          <cell r="C2051" t="str">
            <v>Koefisien Alat / m2</v>
          </cell>
          <cell r="D2051" t="str">
            <v xml:space="preserve"> =  1  :  Q3</v>
          </cell>
          <cell r="G2051" t="str">
            <v>(E23)</v>
          </cell>
          <cell r="H2051">
            <v>3.0120481927710845E-3</v>
          </cell>
          <cell r="I2051" t="str">
            <v>Jam</v>
          </cell>
        </row>
        <row r="2054">
          <cell r="A2054" t="str">
            <v>2.d.</v>
          </cell>
          <cell r="C2054" t="str">
            <v>ALAT  BANTU</v>
          </cell>
        </row>
        <row r="2055">
          <cell r="C2055" t="str">
            <v>Diperlukan alat-alat bantu kecil</v>
          </cell>
          <cell r="J2055" t="str">
            <v>Lump Sum</v>
          </cell>
        </row>
        <row r="2056">
          <cell r="C2056" t="str">
            <v>- Sekop    =         3   buah</v>
          </cell>
        </row>
        <row r="2059">
          <cell r="A2059" t="str">
            <v xml:space="preserve">   3.</v>
          </cell>
          <cell r="C2059" t="str">
            <v>TENAGA</v>
          </cell>
        </row>
        <row r="2060">
          <cell r="C2060" t="str">
            <v>Produksi menentukan : VIBRATORY  ROLLER</v>
          </cell>
          <cell r="G2060" t="str">
            <v>Q2</v>
          </cell>
          <cell r="H2060">
            <v>249</v>
          </cell>
          <cell r="I2060" t="str">
            <v>M2/Jam</v>
          </cell>
        </row>
        <row r="2061">
          <cell r="C2061" t="str">
            <v>Produksi Pekerjaan / hari  =  Tk x Q1</v>
          </cell>
          <cell r="G2061" t="str">
            <v>Qt</v>
          </cell>
          <cell r="H2061">
            <v>1743</v>
          </cell>
          <cell r="I2061" t="str">
            <v>M2</v>
          </cell>
        </row>
        <row r="2062">
          <cell r="C2062" t="str">
            <v>Kebutuhan tenaga :</v>
          </cell>
        </row>
        <row r="2063">
          <cell r="D2063" t="str">
            <v>- Pekerja</v>
          </cell>
          <cell r="G2063" t="str">
            <v>P</v>
          </cell>
          <cell r="H2063">
            <v>4</v>
          </cell>
          <cell r="I2063" t="str">
            <v>orang</v>
          </cell>
        </row>
        <row r="2064">
          <cell r="D2064" t="str">
            <v>- Mandor</v>
          </cell>
          <cell r="G2064" t="str">
            <v>M</v>
          </cell>
          <cell r="H2064">
            <v>1</v>
          </cell>
          <cell r="I2064" t="str">
            <v>orang</v>
          </cell>
        </row>
        <row r="2067">
          <cell r="C2067" t="str">
            <v>Koefisien tenaga / M2</v>
          </cell>
        </row>
        <row r="2068">
          <cell r="D2068" t="str">
            <v>- Pekerja</v>
          </cell>
          <cell r="E2068" t="str">
            <v>= (Tk x P) : Qt</v>
          </cell>
          <cell r="G2068" t="str">
            <v>(L01)</v>
          </cell>
          <cell r="H2068">
            <v>1.6064257028112448E-2</v>
          </cell>
          <cell r="I2068" t="str">
            <v>Jam</v>
          </cell>
        </row>
        <row r="2069">
          <cell r="D2069" t="str">
            <v>- Mandor</v>
          </cell>
          <cell r="E2069" t="str">
            <v>= (Tk x M) : Qt</v>
          </cell>
          <cell r="G2069" t="str">
            <v>(L02)</v>
          </cell>
          <cell r="H2069">
            <v>4.0160642570281121E-3</v>
          </cell>
          <cell r="I2069" t="str">
            <v>Jam</v>
          </cell>
        </row>
        <row r="2072">
          <cell r="A2072" t="str">
            <v>4.</v>
          </cell>
          <cell r="C2072" t="str">
            <v>HARGA DASAR SATUAN UPAH, BAHAN DAN ALAT</v>
          </cell>
        </row>
        <row r="2073">
          <cell r="C2073" t="str">
            <v>Lihat lampiran.</v>
          </cell>
        </row>
        <row r="2076">
          <cell r="A2076" t="str">
            <v>5.</v>
          </cell>
          <cell r="C2076" t="str">
            <v>ANALISA HARGA SATUAN PEKERJAAN</v>
          </cell>
        </row>
        <row r="2077">
          <cell r="C2077" t="str">
            <v>Lihat perhitungan dalam FORMULIR STANDAR UNTUK</v>
          </cell>
        </row>
        <row r="2078">
          <cell r="C2078" t="str">
            <v>PEREKEMAN ANALISA MASING-MASING HARGA</v>
          </cell>
        </row>
        <row r="2079">
          <cell r="C2079" t="str">
            <v>SATUAN.</v>
          </cell>
        </row>
        <row r="2080">
          <cell r="C2080" t="str">
            <v>Didapat Harga Satuan Pekerjaan :</v>
          </cell>
        </row>
        <row r="2082">
          <cell r="C2082" t="str">
            <v xml:space="preserve">Rp.  </v>
          </cell>
          <cell r="D2082">
            <v>1891.5348272711353</v>
          </cell>
          <cell r="E2082" t="str">
            <v xml:space="preserve"> / M2</v>
          </cell>
        </row>
        <row r="2085">
          <cell r="A2085" t="str">
            <v>6.</v>
          </cell>
          <cell r="C2085" t="str">
            <v>WAKTU PELAKSANAAN YANG DIPERLUKAN</v>
          </cell>
        </row>
        <row r="2086">
          <cell r="C2086" t="str">
            <v>Masa Pelaksanaan :</v>
          </cell>
          <cell r="D2086" t="str">
            <v>. . . . . . . . . . . .</v>
          </cell>
          <cell r="E2086" t="str">
            <v>bulan</v>
          </cell>
        </row>
        <row r="2088">
          <cell r="A2088" t="str">
            <v>7.</v>
          </cell>
          <cell r="C2088" t="str">
            <v>VOLUME PEKERJAAN YANG DIPERLUKAN</v>
          </cell>
        </row>
        <row r="2089">
          <cell r="C2089" t="str">
            <v>Volume pekerjaan  :</v>
          </cell>
          <cell r="D2089">
            <v>1</v>
          </cell>
          <cell r="E2089" t="str">
            <v>M2</v>
          </cell>
        </row>
        <row r="2094">
          <cell r="A2094" t="str">
            <v>ITEM PEMBAYARAN NO.</v>
          </cell>
          <cell r="D2094" t="str">
            <v>:  3.1.(7)</v>
          </cell>
          <cell r="J2094" t="str">
            <v>Analisa EI-312</v>
          </cell>
        </row>
        <row r="2095">
          <cell r="A2095" t="str">
            <v>JENIS PEKERJAAN</v>
          </cell>
          <cell r="D2095" t="str">
            <v>:  Pembongk Perk Beraspal dg Cold Milling Machine</v>
          </cell>
        </row>
        <row r="2096">
          <cell r="A2096" t="str">
            <v>SATUAN PEMBAYARAN</v>
          </cell>
          <cell r="D2096" t="str">
            <v>:  M3</v>
          </cell>
          <cell r="H2096" t="str">
            <v xml:space="preserve">         URAIAN ANALISA HARGA SATUAN</v>
          </cell>
        </row>
        <row r="2099">
          <cell r="A2099" t="str">
            <v>No.</v>
          </cell>
          <cell r="C2099" t="str">
            <v>U R A I A N</v>
          </cell>
          <cell r="G2099" t="str">
            <v>KODE</v>
          </cell>
          <cell r="H2099" t="str">
            <v>KOEF.</v>
          </cell>
          <cell r="I2099" t="str">
            <v>SATUAN</v>
          </cell>
          <cell r="J2099" t="str">
            <v>KETERANGAN</v>
          </cell>
        </row>
        <row r="2102">
          <cell r="A2102" t="str">
            <v>I.</v>
          </cell>
          <cell r="C2102" t="str">
            <v>ASUMSI</v>
          </cell>
        </row>
        <row r="2103">
          <cell r="A2103">
            <v>1</v>
          </cell>
          <cell r="C2103" t="str">
            <v>Pekerjaan dilakukan secara mekanik</v>
          </cell>
        </row>
        <row r="2104">
          <cell r="A2104">
            <v>2</v>
          </cell>
          <cell r="C2104" t="str">
            <v>Lokasi pekerjaan : sepanjang jalan</v>
          </cell>
        </row>
        <row r="2105">
          <cell r="A2105">
            <v>3</v>
          </cell>
          <cell r="C2105" t="str">
            <v>Kondisi Jalan   :  sedang / baik</v>
          </cell>
        </row>
        <row r="2106">
          <cell r="A2106">
            <v>4</v>
          </cell>
          <cell r="C2106" t="str">
            <v>Jam kerja efektif per-hari</v>
          </cell>
          <cell r="G2106" t="str">
            <v>Tk</v>
          </cell>
          <cell r="H2106">
            <v>7</v>
          </cell>
          <cell r="I2106" t="str">
            <v>Jam</v>
          </cell>
        </row>
        <row r="2107">
          <cell r="A2107">
            <v>5</v>
          </cell>
          <cell r="C2107" t="str">
            <v>Faktor pengembangan bahan</v>
          </cell>
          <cell r="G2107" t="str">
            <v>Fk</v>
          </cell>
          <cell r="H2107">
            <v>1.24</v>
          </cell>
          <cell r="I2107" t="str">
            <v>-</v>
          </cell>
        </row>
        <row r="2110">
          <cell r="A2110" t="str">
            <v>II.</v>
          </cell>
          <cell r="C2110" t="str">
            <v>URUTAN KERJA</v>
          </cell>
        </row>
        <row r="2111">
          <cell r="A2111">
            <v>1</v>
          </cell>
          <cell r="C2111" t="str">
            <v>Aspal yg dikeruk umumnya berada di badan jalan</v>
          </cell>
        </row>
        <row r="2112">
          <cell r="A2112">
            <v>2</v>
          </cell>
          <cell r="C2112" t="str">
            <v xml:space="preserve">Pengerukan dilakukan dengan Cold Milling </v>
          </cell>
        </row>
        <row r="2113">
          <cell r="C2113" t="str">
            <v xml:space="preserve">dimuat ke dlm Truk </v>
          </cell>
        </row>
        <row r="2114">
          <cell r="A2114">
            <v>3</v>
          </cell>
          <cell r="C2114" t="str">
            <v>Dump Truck membuang material hasil galian keluar</v>
          </cell>
        </row>
        <row r="2115">
          <cell r="C2115" t="str">
            <v>lokasi jalan sejauh :</v>
          </cell>
          <cell r="G2115" t="str">
            <v>L</v>
          </cell>
          <cell r="H2115">
            <v>5</v>
          </cell>
          <cell r="I2115" t="str">
            <v>Km</v>
          </cell>
        </row>
        <row r="2119">
          <cell r="A2119" t="str">
            <v>III.</v>
          </cell>
          <cell r="C2119" t="str">
            <v>PEMAKAIAN BAHAN, ALAT DAN TENAGA</v>
          </cell>
        </row>
        <row r="2121">
          <cell r="A2121" t="str">
            <v xml:space="preserve">   1.</v>
          </cell>
          <cell r="C2121" t="str">
            <v>BAHAN</v>
          </cell>
        </row>
        <row r="2122">
          <cell r="C2122" t="str">
            <v>Tidak ada bahan yang diperlukan</v>
          </cell>
        </row>
        <row r="2125">
          <cell r="A2125" t="str">
            <v xml:space="preserve">   2.</v>
          </cell>
          <cell r="C2125" t="str">
            <v>ALAT</v>
          </cell>
        </row>
        <row r="2126">
          <cell r="A2126" t="str">
            <v xml:space="preserve">   2.a.</v>
          </cell>
          <cell r="C2126" t="str">
            <v>COLD MILLING</v>
          </cell>
        </row>
        <row r="2127">
          <cell r="C2127" t="str">
            <v xml:space="preserve">Produksi teoritis per jam </v>
          </cell>
          <cell r="G2127" t="str">
            <v>q</v>
          </cell>
          <cell r="H2127">
            <v>300</v>
          </cell>
          <cell r="I2127" t="str">
            <v>m</v>
          </cell>
        </row>
        <row r="2128">
          <cell r="C2128" t="str">
            <v>Kapasitas lebar galian</v>
          </cell>
          <cell r="G2128" t="str">
            <v>b</v>
          </cell>
          <cell r="H2128">
            <v>1000</v>
          </cell>
          <cell r="I2128" t="str">
            <v>m</v>
          </cell>
        </row>
        <row r="2129">
          <cell r="C2129" t="str">
            <v>tebal galian</v>
          </cell>
          <cell r="G2129" t="str">
            <v>t</v>
          </cell>
          <cell r="H2129">
            <v>0.15</v>
          </cell>
          <cell r="I2129" t="str">
            <v>m</v>
          </cell>
        </row>
        <row r="2130">
          <cell r="C2130" t="str">
            <v>kecepatan</v>
          </cell>
          <cell r="G2130" t="str">
            <v>v</v>
          </cell>
          <cell r="H2130">
            <v>5</v>
          </cell>
          <cell r="I2130" t="str">
            <v>m/menit</v>
          </cell>
        </row>
        <row r="2131">
          <cell r="C2131" t="str">
            <v>Faktor effesiensi kerja</v>
          </cell>
          <cell r="G2131" t="str">
            <v>Fa</v>
          </cell>
          <cell r="H2131">
            <v>0.6</v>
          </cell>
          <cell r="J2131" t="str">
            <v>grafik cold</v>
          </cell>
          <cell r="Q2131" t="str">
            <v xml:space="preserve">JUMLAH HARGA BAHAN   </v>
          </cell>
          <cell r="U2131">
            <v>0</v>
          </cell>
        </row>
        <row r="2132">
          <cell r="J2132" t="str">
            <v>miling</v>
          </cell>
        </row>
        <row r="2133">
          <cell r="C2133" t="str">
            <v>Kapasitas prod/jam =</v>
          </cell>
          <cell r="E2133" t="str">
            <v>Fa x q x t x Fk</v>
          </cell>
          <cell r="G2133" t="str">
            <v>Q1</v>
          </cell>
          <cell r="H2133">
            <v>33.479999999999997</v>
          </cell>
          <cell r="I2133" t="str">
            <v>M3</v>
          </cell>
          <cell r="L2133" t="str">
            <v>C.</v>
          </cell>
          <cell r="N2133" t="str">
            <v>PERALATAN</v>
          </cell>
        </row>
        <row r="2134">
          <cell r="L2134" t="str">
            <v>1.</v>
          </cell>
          <cell r="N2134" t="str">
            <v>Cold Milling</v>
          </cell>
          <cell r="P2134" t="str">
            <v>Jam</v>
          </cell>
          <cell r="Q2134">
            <v>2.9868578255675033E-2</v>
          </cell>
          <cell r="R2134">
            <v>1163221.6447452162</v>
          </cell>
          <cell r="U2134">
            <v>34743.776724767515</v>
          </cell>
        </row>
        <row r="2135">
          <cell r="C2135" t="str">
            <v>Koefisien Alat / m3</v>
          </cell>
          <cell r="D2135" t="str">
            <v xml:space="preserve"> =  1  :  Q1</v>
          </cell>
          <cell r="H2135">
            <v>2.9868578255675033E-2</v>
          </cell>
          <cell r="I2135" t="str">
            <v>Jam</v>
          </cell>
          <cell r="L2135">
            <v>2</v>
          </cell>
          <cell r="N2135" t="str">
            <v>Dump Truck</v>
          </cell>
          <cell r="O2135" t="str">
            <v>(E08)</v>
          </cell>
          <cell r="P2135" t="str">
            <v>Jam</v>
          </cell>
          <cell r="Q2135">
            <v>0.12969656403391344</v>
          </cell>
          <cell r="R2135">
            <v>153645.58193291764</v>
          </cell>
          <cell r="U2135">
            <v>19927.304055690547</v>
          </cell>
        </row>
        <row r="2138">
          <cell r="A2138" t="str">
            <v xml:space="preserve">   2.b.</v>
          </cell>
          <cell r="C2138" t="str">
            <v>DUMP TRUCK</v>
          </cell>
          <cell r="G2138" t="str">
            <v>(E08)</v>
          </cell>
        </row>
        <row r="2139">
          <cell r="C2139" t="str">
            <v>Kapasitas bak</v>
          </cell>
          <cell r="G2139" t="str">
            <v>V</v>
          </cell>
          <cell r="H2139">
            <v>4</v>
          </cell>
          <cell r="I2139" t="str">
            <v>M3</v>
          </cell>
        </row>
        <row r="2140">
          <cell r="C2140" t="str">
            <v>Faktor  efisiensi alat</v>
          </cell>
          <cell r="G2140" t="str">
            <v>Fa</v>
          </cell>
          <cell r="H2140">
            <v>0.83</v>
          </cell>
          <cell r="I2140" t="str">
            <v>-</v>
          </cell>
          <cell r="Q2140" t="str">
            <v xml:space="preserve">JUMLAH HARGA PERALATAN   </v>
          </cell>
          <cell r="U2140">
            <v>54671.080780458062</v>
          </cell>
        </row>
        <row r="2141">
          <cell r="C2141" t="str">
            <v>Kecepatan rata-rata bermuatan</v>
          </cell>
          <cell r="G2141" t="str">
            <v>v1</v>
          </cell>
          <cell r="H2141">
            <v>45</v>
          </cell>
          <cell r="I2141" t="str">
            <v>KM/Jam</v>
          </cell>
        </row>
        <row r="2142">
          <cell r="C2142" t="str">
            <v>Kecepatan rata-rata kosong</v>
          </cell>
          <cell r="G2142" t="str">
            <v>v2</v>
          </cell>
          <cell r="H2142">
            <v>60</v>
          </cell>
          <cell r="I2142" t="str">
            <v>KM/Jam</v>
          </cell>
          <cell r="L2142" t="str">
            <v>D.</v>
          </cell>
          <cell r="N2142" t="str">
            <v>JUMLAH HARGA TENAGA, BAHAN DAN PERALATAN  ( A + B + C )</v>
          </cell>
          <cell r="U2142">
            <v>54937.764472214338</v>
          </cell>
        </row>
        <row r="2143">
          <cell r="C2143" t="str">
            <v>Waktu  siklus</v>
          </cell>
          <cell r="G2143" t="str">
            <v>Ts1</v>
          </cell>
          <cell r="I2143" t="str">
            <v>menit</v>
          </cell>
          <cell r="L2143" t="str">
            <v>E.</v>
          </cell>
          <cell r="N2143" t="str">
            <v>OVERHEAD &amp; PROFIT</v>
          </cell>
          <cell r="P2143">
            <v>10</v>
          </cell>
          <cell r="Q2143" t="str">
            <v>%  x  D</v>
          </cell>
          <cell r="U2143">
            <v>5493.776447221434</v>
          </cell>
        </row>
        <row r="2144">
          <cell r="C2144" t="str">
            <v>- Waktu tempuh isi</v>
          </cell>
          <cell r="E2144" t="str">
            <v>=   (L  :  v1)  x  60</v>
          </cell>
          <cell r="G2144" t="str">
            <v>T1</v>
          </cell>
          <cell r="H2144">
            <v>6.6666666666666661</v>
          </cell>
          <cell r="I2144" t="str">
            <v>menit</v>
          </cell>
          <cell r="L2144" t="str">
            <v>F.</v>
          </cell>
          <cell r="N2144" t="str">
            <v>HARGA SATUAN PEKERJAAN  ( D + E )</v>
          </cell>
          <cell r="U2144">
            <v>60431.540919435771</v>
          </cell>
        </row>
        <row r="2145">
          <cell r="C2145" t="str">
            <v>- Waktu tempuh kosong</v>
          </cell>
          <cell r="E2145" t="str">
            <v>=   (L  :  v2)  x  60</v>
          </cell>
          <cell r="G2145" t="str">
            <v>T2</v>
          </cell>
          <cell r="H2145">
            <v>5</v>
          </cell>
          <cell r="I2145" t="str">
            <v>menit</v>
          </cell>
          <cell r="L2145" t="str">
            <v>Note: 1</v>
          </cell>
          <cell r="N2145" t="str">
            <v>SATUAN dapat berdasarkan atas jam operasi untuk Tenaga Kerja dan Peralatan, volume dan/atau ukuran</v>
          </cell>
        </row>
        <row r="2146">
          <cell r="C2146" t="str">
            <v>- Muat</v>
          </cell>
          <cell r="E2146" t="str">
            <v>=   (V  :  Q1) x 60</v>
          </cell>
          <cell r="G2146" t="str">
            <v>T3</v>
          </cell>
          <cell r="H2146">
            <v>7.1684587813620082</v>
          </cell>
          <cell r="I2146" t="str">
            <v>menit</v>
          </cell>
          <cell r="N2146" t="str">
            <v>berat untuk bahan-bahan.</v>
          </cell>
        </row>
        <row r="2147">
          <cell r="C2147" t="str">
            <v>- Lain-lain</v>
          </cell>
          <cell r="G2147" t="str">
            <v>T4</v>
          </cell>
          <cell r="H2147">
            <v>2</v>
          </cell>
          <cell r="I2147" t="str">
            <v>menit</v>
          </cell>
          <cell r="L2147">
            <v>2</v>
          </cell>
          <cell r="N2147" t="str">
            <v>Kuantitas satuan adalah kuantitas setiap komponen untuk menyelesaikan satu satuan pekerjaan dari nomor</v>
          </cell>
        </row>
        <row r="2148">
          <cell r="G2148" t="str">
            <v>Ts1</v>
          </cell>
          <cell r="H2148">
            <v>20.835125448028673</v>
          </cell>
          <cell r="I2148" t="str">
            <v>menit</v>
          </cell>
          <cell r="N2148" t="str">
            <v>mata pembayaran.</v>
          </cell>
        </row>
        <row r="2149">
          <cell r="L2149">
            <v>3</v>
          </cell>
          <cell r="N2149" t="str">
            <v>Biaya satuan untuk peralatan sudah termasuk bahan bakar, bahan habis dipakai dan operator.</v>
          </cell>
        </row>
        <row r="2150">
          <cell r="L2150">
            <v>4</v>
          </cell>
          <cell r="N2150" t="str">
            <v>Biaya satuan sudah termasuk pengeluaran untuk seluruh pajak yang berkaitan (tetapi tidak termasuk PPN</v>
          </cell>
        </row>
        <row r="2151">
          <cell r="C2151" t="str">
            <v>Kapasitas Produksi / Jam   =</v>
          </cell>
          <cell r="E2151" t="str">
            <v>V x Fa x 60</v>
          </cell>
          <cell r="G2151" t="str">
            <v>Q2</v>
          </cell>
          <cell r="H2151">
            <v>7.7103044899363491</v>
          </cell>
          <cell r="I2151" t="str">
            <v xml:space="preserve">M3 / Jam </v>
          </cell>
          <cell r="N2151" t="str">
            <v>yang dibayar dari kontrak) dan biaya-biaya lainnya.</v>
          </cell>
        </row>
        <row r="2152">
          <cell r="E2152" t="str">
            <v xml:space="preserve">    Fk x Ts1</v>
          </cell>
        </row>
        <row r="2155">
          <cell r="C2155" t="str">
            <v>Koefisien Alat / m3</v>
          </cell>
          <cell r="D2155" t="str">
            <v xml:space="preserve"> =  1  :  Q2</v>
          </cell>
          <cell r="G2155" t="str">
            <v>(E08)</v>
          </cell>
          <cell r="H2155">
            <v>0.12969656403391344</v>
          </cell>
          <cell r="I2155" t="str">
            <v>Jam</v>
          </cell>
        </row>
        <row r="2160">
          <cell r="J2160" t="str">
            <v>Berlanjut ke halaman berikut</v>
          </cell>
        </row>
        <row r="2161">
          <cell r="A2161" t="str">
            <v>ITEM PEMBAYARAN NO.</v>
          </cell>
          <cell r="D2161" t="str">
            <v>:  3.1.(7)</v>
          </cell>
          <cell r="J2161" t="str">
            <v>Analisa EI-312</v>
          </cell>
        </row>
        <row r="2162">
          <cell r="A2162" t="str">
            <v>JENIS PEKERJAAN</v>
          </cell>
          <cell r="D2162" t="str">
            <v>:  Pembongk Perk Beraspal dg Cold Milling Machine</v>
          </cell>
        </row>
        <row r="2163">
          <cell r="A2163" t="str">
            <v>SATUAN PEMBAYARAN</v>
          </cell>
          <cell r="D2163" t="str">
            <v>:  M3</v>
          </cell>
          <cell r="H2163" t="str">
            <v xml:space="preserve">         URAIAN ANALISA HARGA SATUAN</v>
          </cell>
        </row>
        <row r="2164">
          <cell r="J2164" t="str">
            <v>Lanjutan</v>
          </cell>
        </row>
        <row r="2166">
          <cell r="A2166" t="str">
            <v>No.</v>
          </cell>
          <cell r="C2166" t="str">
            <v>U R A I A N</v>
          </cell>
          <cell r="G2166" t="str">
            <v>KODE</v>
          </cell>
          <cell r="H2166" t="str">
            <v>KOEF.</v>
          </cell>
          <cell r="I2166" t="str">
            <v>SATUAN</v>
          </cell>
          <cell r="J2166" t="str">
            <v>KETERANGAN</v>
          </cell>
        </row>
        <row r="2169">
          <cell r="A2169" t="str">
            <v xml:space="preserve"> 2.c</v>
          </cell>
          <cell r="C2169" t="str">
            <v>ALAT  BANTU</v>
          </cell>
        </row>
        <row r="2170">
          <cell r="C2170" t="str">
            <v>Diperlukan alat-alat bantu kecil</v>
          </cell>
          <cell r="J2170" t="str">
            <v>Lump Sump</v>
          </cell>
        </row>
        <row r="2171">
          <cell r="C2171" t="str">
            <v>- Pahat / Tatah</v>
          </cell>
          <cell r="D2171" t="str">
            <v>=  2  buah</v>
          </cell>
        </row>
        <row r="2172">
          <cell r="C2172" t="str">
            <v>- Palu Besar</v>
          </cell>
          <cell r="D2172" t="str">
            <v>=  2  buah</v>
          </cell>
        </row>
        <row r="2174">
          <cell r="A2174" t="str">
            <v xml:space="preserve">   3.</v>
          </cell>
          <cell r="C2174" t="str">
            <v>TENAGA</v>
          </cell>
        </row>
        <row r="2175">
          <cell r="C2175" t="str">
            <v>Produksi menentukan : COLD MILLING</v>
          </cell>
          <cell r="G2175" t="str">
            <v>Q1</v>
          </cell>
          <cell r="H2175">
            <v>33.479999999999997</v>
          </cell>
          <cell r="I2175" t="str">
            <v>M3/Jam</v>
          </cell>
        </row>
        <row r="2176">
          <cell r="C2176" t="str">
            <v>Produksi Galian / hari  =  Tk x Q1</v>
          </cell>
          <cell r="G2176" t="str">
            <v>Qt</v>
          </cell>
          <cell r="H2176">
            <v>234.35999999999999</v>
          </cell>
          <cell r="I2176" t="str">
            <v>M2</v>
          </cell>
        </row>
        <row r="2177">
          <cell r="C2177" t="str">
            <v>Kebutuhan tenaga :</v>
          </cell>
        </row>
        <row r="2178">
          <cell r="D2178" t="str">
            <v>- Pekerja</v>
          </cell>
          <cell r="G2178" t="str">
            <v>P</v>
          </cell>
          <cell r="H2178">
            <v>2</v>
          </cell>
          <cell r="I2178" t="str">
            <v>orang</v>
          </cell>
        </row>
        <row r="2179">
          <cell r="D2179" t="str">
            <v>- Mandor</v>
          </cell>
          <cell r="G2179" t="str">
            <v>M</v>
          </cell>
          <cell r="H2179">
            <v>1</v>
          </cell>
          <cell r="I2179" t="str">
            <v>orang</v>
          </cell>
        </row>
        <row r="2181">
          <cell r="C2181" t="str">
            <v>Koefisien tenaga / M3   :</v>
          </cell>
        </row>
        <row r="2182">
          <cell r="D2182" t="str">
            <v>- Pekerja</v>
          </cell>
          <cell r="E2182" t="str">
            <v>= (Tk x P) : Qt</v>
          </cell>
          <cell r="G2182" t="str">
            <v>(L01)</v>
          </cell>
          <cell r="H2182">
            <v>5.9737156511350066E-2</v>
          </cell>
          <cell r="I2182" t="str">
            <v>Jam</v>
          </cell>
        </row>
        <row r="2183">
          <cell r="D2183" t="str">
            <v>- Mandor</v>
          </cell>
          <cell r="E2183" t="str">
            <v>= (Tk x M) : Qt</v>
          </cell>
          <cell r="G2183" t="str">
            <v>(L03)</v>
          </cell>
          <cell r="H2183">
            <v>2.9868578255675033E-2</v>
          </cell>
          <cell r="I2183" t="str">
            <v>Jam</v>
          </cell>
        </row>
        <row r="2185">
          <cell r="A2185" t="str">
            <v>4.</v>
          </cell>
          <cell r="C2185" t="str">
            <v>HARGA DASAR SATUAN UPAH, BAHAN DAN ALAT</v>
          </cell>
        </row>
        <row r="2186">
          <cell r="C2186" t="str">
            <v>Lihat lampiran.</v>
          </cell>
        </row>
        <row r="2188">
          <cell r="A2188" t="str">
            <v>5.</v>
          </cell>
          <cell r="C2188" t="str">
            <v>ANALISA HARGA SATUAN PEKERJAAN</v>
          </cell>
        </row>
        <row r="2189">
          <cell r="C2189" t="str">
            <v>Lihat perhitungan dalam FORMULIR STANDAR UNTUK</v>
          </cell>
        </row>
        <row r="2190">
          <cell r="C2190" t="str">
            <v>PEREKEMAN ANALISA MASING-MASING HARGA</v>
          </cell>
        </row>
        <row r="2191">
          <cell r="C2191" t="str">
            <v>SATUAN.</v>
          </cell>
        </row>
        <row r="2192">
          <cell r="C2192" t="str">
            <v>Didapat Harga Satuan Pekerjaan :</v>
          </cell>
        </row>
        <row r="2194">
          <cell r="C2194" t="str">
            <v xml:space="preserve">Rp.  </v>
          </cell>
          <cell r="D2194">
            <v>60431.540919435771</v>
          </cell>
          <cell r="E2194" t="str">
            <v xml:space="preserve"> / M2</v>
          </cell>
        </row>
        <row r="2197">
          <cell r="A2197" t="str">
            <v>6.</v>
          </cell>
          <cell r="C2197" t="str">
            <v>WAKTU PELAKSANAAN YANG DIPERLUKAN</v>
          </cell>
        </row>
        <row r="2198">
          <cell r="C2198" t="str">
            <v>Masa Pelaksanaan :</v>
          </cell>
          <cell r="D2198" t="str">
            <v>. . . . . . . . . . . .</v>
          </cell>
          <cell r="E2198" t="str">
            <v>bulan</v>
          </cell>
        </row>
        <row r="2200">
          <cell r="A2200" t="str">
            <v>7.</v>
          </cell>
          <cell r="C2200" t="str">
            <v>VOLUME PEKERJAAN YANG DIPERLUKAN</v>
          </cell>
        </row>
        <row r="2201">
          <cell r="C2201" t="str">
            <v>Volume pekerjaan  :</v>
          </cell>
          <cell r="D2201">
            <v>0</v>
          </cell>
          <cell r="E2201" t="str">
            <v>M3</v>
          </cell>
        </row>
        <row r="2217">
          <cell r="A2217" t="str">
            <v>ITEM PEMBAYARAN NO.</v>
          </cell>
          <cell r="D2217" t="str">
            <v>:  3.1.(8)</v>
          </cell>
          <cell r="J2217" t="str">
            <v>=T2272</v>
          </cell>
        </row>
        <row r="2218">
          <cell r="A2218" t="str">
            <v>JENIS PEKERJAAN</v>
          </cell>
          <cell r="D2218" t="str">
            <v>:  Pembongk Perk Beraspal tanpa Cold Milling Machine</v>
          </cell>
        </row>
        <row r="2219">
          <cell r="A2219" t="str">
            <v>SATUAN PEMBAYARAN</v>
          </cell>
          <cell r="D2219" t="str">
            <v>:  M3</v>
          </cell>
          <cell r="H2219" t="str">
            <v xml:space="preserve">         URAIAN ANALISA HARGA SATUAN</v>
          </cell>
        </row>
        <row r="2222">
          <cell r="A2222" t="str">
            <v>No.</v>
          </cell>
          <cell r="C2222" t="str">
            <v>U R A I A N</v>
          </cell>
          <cell r="G2222" t="str">
            <v>KODE</v>
          </cell>
          <cell r="H2222" t="str">
            <v>KOEF.</v>
          </cell>
          <cell r="I2222" t="str">
            <v>SATUAN</v>
          </cell>
          <cell r="J2222" t="str">
            <v>KETERANGAN</v>
          </cell>
        </row>
        <row r="2225">
          <cell r="A2225" t="str">
            <v>I.</v>
          </cell>
          <cell r="C2225" t="str">
            <v>ASUMSI</v>
          </cell>
        </row>
        <row r="2226">
          <cell r="A2226">
            <v>1</v>
          </cell>
          <cell r="C2226" t="str">
            <v>Pekerjaan dilakukan secara mekanik/manual</v>
          </cell>
        </row>
        <row r="2227">
          <cell r="A2227">
            <v>2</v>
          </cell>
          <cell r="C2227" t="str">
            <v>Lokasi pekerjaan : sepanjang jalan</v>
          </cell>
        </row>
        <row r="2228">
          <cell r="A2228">
            <v>3</v>
          </cell>
          <cell r="C2228" t="str">
            <v>Kondisi Jalan   :  sedang / baik</v>
          </cell>
        </row>
        <row r="2229">
          <cell r="A2229">
            <v>4</v>
          </cell>
          <cell r="C2229" t="str">
            <v>Jam kerja efektif per-hari</v>
          </cell>
          <cell r="G2229" t="str">
            <v>Tk</v>
          </cell>
          <cell r="H2229">
            <v>7</v>
          </cell>
          <cell r="I2229" t="str">
            <v>Jam</v>
          </cell>
        </row>
        <row r="2230">
          <cell r="A2230">
            <v>5</v>
          </cell>
          <cell r="C2230" t="str">
            <v>Faktor pengembangan bahan</v>
          </cell>
          <cell r="G2230" t="str">
            <v>Fk</v>
          </cell>
          <cell r="H2230">
            <v>1.24</v>
          </cell>
          <cell r="I2230" t="str">
            <v>-</v>
          </cell>
        </row>
        <row r="2233">
          <cell r="A2233" t="str">
            <v>II.</v>
          </cell>
          <cell r="C2233" t="str">
            <v>URUTAN KERJA</v>
          </cell>
        </row>
        <row r="2234">
          <cell r="A2234">
            <v>1</v>
          </cell>
          <cell r="C2234" t="str">
            <v>Aspal yg dikeruk umumnya berada di badan jalan</v>
          </cell>
        </row>
        <row r="2235">
          <cell r="A2235">
            <v>2</v>
          </cell>
          <cell r="C2235" t="str">
            <v>Pengerukan dilakukan dengan Jack Hammer dan</v>
          </cell>
        </row>
        <row r="2236">
          <cell r="C2236" t="str">
            <v>dimuat ke dalam truck secara manual</v>
          </cell>
        </row>
        <row r="2237">
          <cell r="A2237">
            <v>3</v>
          </cell>
          <cell r="C2237" t="str">
            <v>Dump Truck membuang material hasil galian keluar</v>
          </cell>
        </row>
        <row r="2238">
          <cell r="C2238" t="str">
            <v>lokasi jalan sejauh :</v>
          </cell>
          <cell r="G2238" t="str">
            <v>L</v>
          </cell>
          <cell r="H2238">
            <v>5</v>
          </cell>
          <cell r="I2238" t="str">
            <v>Km</v>
          </cell>
        </row>
        <row r="2242">
          <cell r="A2242" t="str">
            <v>III.</v>
          </cell>
          <cell r="C2242" t="str">
            <v>PEMAKAIAN BAHAN, ALAT DAN TENAGA</v>
          </cell>
        </row>
        <row r="2244">
          <cell r="A2244" t="str">
            <v xml:space="preserve">   1.</v>
          </cell>
          <cell r="C2244" t="str">
            <v>BAHAN</v>
          </cell>
        </row>
        <row r="2245">
          <cell r="C2245" t="str">
            <v>Tidak ada bahan yang diperlukan</v>
          </cell>
        </row>
        <row r="2248">
          <cell r="A2248" t="str">
            <v xml:space="preserve">   2.</v>
          </cell>
          <cell r="C2248" t="str">
            <v>ALAT</v>
          </cell>
        </row>
        <row r="2249">
          <cell r="A2249" t="str">
            <v xml:space="preserve">   2.a.</v>
          </cell>
          <cell r="C2249" t="str">
            <v>JACK HAMMER, COMPRESSOR</v>
          </cell>
        </row>
        <row r="2250">
          <cell r="C2250" t="str">
            <v>Produksi per jam</v>
          </cell>
          <cell r="G2250" t="str">
            <v>Q1</v>
          </cell>
          <cell r="H2250">
            <v>1</v>
          </cell>
          <cell r="I2250" t="str">
            <v>M3 / Jam</v>
          </cell>
        </row>
        <row r="2252">
          <cell r="C2252" t="str">
            <v>Koefisien Alat / m3</v>
          </cell>
          <cell r="D2252" t="str">
            <v xml:space="preserve"> =  1  :  Q1</v>
          </cell>
          <cell r="H2252">
            <v>1</v>
          </cell>
          <cell r="I2252" t="str">
            <v>Jam</v>
          </cell>
        </row>
        <row r="2255">
          <cell r="A2255" t="str">
            <v xml:space="preserve">   2.b.</v>
          </cell>
          <cell r="C2255" t="str">
            <v>DUMP TRUCK</v>
          </cell>
          <cell r="G2255" t="str">
            <v>(E08)</v>
          </cell>
        </row>
        <row r="2256">
          <cell r="C2256" t="str">
            <v>Kapasitas bak</v>
          </cell>
          <cell r="G2256" t="str">
            <v>V</v>
          </cell>
          <cell r="H2256">
            <v>4</v>
          </cell>
          <cell r="I2256" t="str">
            <v>M3</v>
          </cell>
        </row>
        <row r="2257">
          <cell r="C2257" t="str">
            <v>Faktor  efisiensi alat</v>
          </cell>
          <cell r="G2257" t="str">
            <v>Fa</v>
          </cell>
          <cell r="H2257">
            <v>0.83</v>
          </cell>
          <cell r="I2257" t="str">
            <v>-</v>
          </cell>
        </row>
        <row r="2258">
          <cell r="C2258" t="str">
            <v>Kecepatan rata-rata bermuatan</v>
          </cell>
          <cell r="G2258" t="str">
            <v>v1</v>
          </cell>
          <cell r="H2258">
            <v>45</v>
          </cell>
          <cell r="I2258" t="str">
            <v>KM/Jam</v>
          </cell>
        </row>
        <row r="2259">
          <cell r="C2259" t="str">
            <v>Kecepatan rata-rata kosong</v>
          </cell>
          <cell r="G2259" t="str">
            <v>v2</v>
          </cell>
          <cell r="H2259">
            <v>60</v>
          </cell>
          <cell r="I2259" t="str">
            <v>KM/Jam</v>
          </cell>
        </row>
        <row r="2260">
          <cell r="C2260" t="str">
            <v>Waktu  siklus</v>
          </cell>
          <cell r="G2260" t="str">
            <v>Ts1</v>
          </cell>
          <cell r="I2260" t="str">
            <v>menit</v>
          </cell>
        </row>
        <row r="2261">
          <cell r="C2261" t="str">
            <v>- Waktu tempuh isi</v>
          </cell>
          <cell r="E2261" t="str">
            <v>=   (L  :  v1)  x  60</v>
          </cell>
          <cell r="G2261" t="str">
            <v>T1</v>
          </cell>
          <cell r="H2261">
            <v>6.6666666666666661</v>
          </cell>
          <cell r="I2261" t="str">
            <v>menit</v>
          </cell>
        </row>
        <row r="2262">
          <cell r="C2262" t="str">
            <v>- Waktu tempuh kosong</v>
          </cell>
          <cell r="E2262" t="str">
            <v>=   (L  :  v2)  x  60</v>
          </cell>
          <cell r="G2262" t="str">
            <v>T2</v>
          </cell>
          <cell r="H2262">
            <v>5</v>
          </cell>
          <cell r="I2262" t="str">
            <v>menit</v>
          </cell>
        </row>
        <row r="2263">
          <cell r="C2263" t="str">
            <v>- Muat</v>
          </cell>
          <cell r="E2263" t="str">
            <v>=   (V  :  Q1) x 60</v>
          </cell>
          <cell r="G2263" t="str">
            <v>T3</v>
          </cell>
          <cell r="H2263">
            <v>240</v>
          </cell>
          <cell r="I2263" t="str">
            <v>menit</v>
          </cell>
        </row>
        <row r="2264">
          <cell r="C2264" t="str">
            <v>- Lain-lain</v>
          </cell>
          <cell r="G2264" t="str">
            <v>T4</v>
          </cell>
          <cell r="H2264">
            <v>2</v>
          </cell>
          <cell r="I2264" t="str">
            <v>menit</v>
          </cell>
        </row>
        <row r="2265">
          <cell r="G2265" t="str">
            <v>Ts1</v>
          </cell>
          <cell r="H2265">
            <v>253.66666666666666</v>
          </cell>
          <cell r="I2265" t="str">
            <v>menit</v>
          </cell>
        </row>
        <row r="2268">
          <cell r="C2268" t="str">
            <v>Kapasitas Produksi / Jam   =</v>
          </cell>
          <cell r="E2268" t="str">
            <v>V x Fa x 60</v>
          </cell>
          <cell r="G2268" t="str">
            <v>Q2</v>
          </cell>
          <cell r="H2268">
            <v>0.63329235725488531</v>
          </cell>
          <cell r="I2268" t="str">
            <v xml:space="preserve">M3 / Jam </v>
          </cell>
        </row>
        <row r="2269">
          <cell r="E2269" t="str">
            <v xml:space="preserve">    Fk x Ts1</v>
          </cell>
        </row>
        <row r="2272">
          <cell r="C2272" t="str">
            <v>Koefisien Alat / m3</v>
          </cell>
          <cell r="D2272" t="str">
            <v xml:space="preserve"> =  1  :  Q2</v>
          </cell>
          <cell r="G2272" t="str">
            <v>(E08)</v>
          </cell>
          <cell r="H2272">
            <v>1.5790495314591702</v>
          </cell>
          <cell r="I2272" t="str">
            <v>Jam</v>
          </cell>
        </row>
        <row r="2274">
          <cell r="C2274" t="str">
            <v xml:space="preserve"> </v>
          </cell>
        </row>
        <row r="2275">
          <cell r="C2275" t="str">
            <v xml:space="preserve"> </v>
          </cell>
        </row>
        <row r="2277">
          <cell r="J2277" t="str">
            <v>Berlanjut ke halaman berikut</v>
          </cell>
        </row>
        <row r="2278">
          <cell r="A2278" t="str">
            <v>ITEM PEMBAYARAN NO.</v>
          </cell>
          <cell r="D2278" t="str">
            <v>:  3.1.(8)</v>
          </cell>
          <cell r="J2278" t="str">
            <v>=T2272</v>
          </cell>
        </row>
        <row r="2279">
          <cell r="A2279" t="str">
            <v>JENIS PEKERJAAN</v>
          </cell>
          <cell r="D2279" t="str">
            <v>:  Pembongk Perk Beraspal tanpa Cold Milling Machine</v>
          </cell>
        </row>
        <row r="2280">
          <cell r="A2280" t="str">
            <v>SATUAN PEMBAYARAN</v>
          </cell>
          <cell r="D2280" t="str">
            <v>:  M3</v>
          </cell>
          <cell r="H2280" t="str">
            <v xml:space="preserve">         URAIAN ANALISA HARGA SATUAN</v>
          </cell>
        </row>
        <row r="2281">
          <cell r="J2281" t="str">
            <v>Lanjutan</v>
          </cell>
        </row>
        <row r="2283">
          <cell r="A2283" t="str">
            <v>No.</v>
          </cell>
          <cell r="C2283" t="str">
            <v>U R A I A N</v>
          </cell>
          <cell r="G2283" t="str">
            <v>KODE</v>
          </cell>
          <cell r="H2283" t="str">
            <v>KOEF.</v>
          </cell>
          <cell r="I2283" t="str">
            <v>SATUAN</v>
          </cell>
          <cell r="J2283" t="str">
            <v>KETERANGAN</v>
          </cell>
        </row>
        <row r="2286">
          <cell r="A2286" t="str">
            <v xml:space="preserve"> 2.c</v>
          </cell>
          <cell r="C2286" t="str">
            <v>ALAT  BANTU</v>
          </cell>
        </row>
        <row r="2287">
          <cell r="C2287" t="str">
            <v>Diperlukan alat-alat bantu kecil</v>
          </cell>
          <cell r="J2287" t="str">
            <v>Lump Sump</v>
          </cell>
        </row>
        <row r="2288">
          <cell r="C2288" t="str">
            <v>- Sekop</v>
          </cell>
          <cell r="D2288" t="str">
            <v>= 2 buah</v>
          </cell>
        </row>
        <row r="2289">
          <cell r="C2289" t="str">
            <v>- Kereta Sorong</v>
          </cell>
          <cell r="D2289" t="str">
            <v>= 2 buah</v>
          </cell>
        </row>
        <row r="2291">
          <cell r="A2291" t="str">
            <v xml:space="preserve">   3.</v>
          </cell>
          <cell r="C2291" t="str">
            <v>TENAGA</v>
          </cell>
        </row>
        <row r="2292">
          <cell r="C2292" t="str">
            <v>Produksi menentukan : Jack Hammer</v>
          </cell>
          <cell r="G2292" t="str">
            <v>Q1</v>
          </cell>
          <cell r="H2292">
            <v>1</v>
          </cell>
          <cell r="I2292" t="str">
            <v>M3/Jam</v>
          </cell>
        </row>
        <row r="2293">
          <cell r="C2293" t="str">
            <v>Produksi Galian / hari  =  Tk x Q1</v>
          </cell>
          <cell r="G2293" t="str">
            <v>Qt</v>
          </cell>
          <cell r="H2293">
            <v>7</v>
          </cell>
          <cell r="I2293" t="str">
            <v>M3</v>
          </cell>
        </row>
        <row r="2294">
          <cell r="C2294" t="str">
            <v>Kebutuhan tenaga :</v>
          </cell>
        </row>
        <row r="2295">
          <cell r="D2295" t="str">
            <v>- Pekerja</v>
          </cell>
          <cell r="G2295" t="str">
            <v>P</v>
          </cell>
          <cell r="H2295">
            <v>2</v>
          </cell>
          <cell r="I2295" t="str">
            <v>orang</v>
          </cell>
        </row>
        <row r="2296">
          <cell r="D2296" t="str">
            <v>- Mandor</v>
          </cell>
          <cell r="G2296" t="str">
            <v>M</v>
          </cell>
          <cell r="H2296">
            <v>1</v>
          </cell>
          <cell r="I2296" t="str">
            <v>orang</v>
          </cell>
        </row>
        <row r="2298">
          <cell r="C2298" t="str">
            <v>Koefisien tenaga / M3   :</v>
          </cell>
        </row>
        <row r="2299">
          <cell r="D2299" t="str">
            <v>- Pekerja</v>
          </cell>
          <cell r="E2299" t="str">
            <v>= (Tk x P) : Qt</v>
          </cell>
          <cell r="G2299" t="str">
            <v>(L01)</v>
          </cell>
          <cell r="H2299">
            <v>2</v>
          </cell>
          <cell r="I2299" t="str">
            <v>Jam</v>
          </cell>
        </row>
        <row r="2300">
          <cell r="D2300" t="str">
            <v>- Mandor</v>
          </cell>
          <cell r="E2300" t="str">
            <v>= (Tk x M) : Qt</v>
          </cell>
          <cell r="G2300" t="str">
            <v>(L03)</v>
          </cell>
          <cell r="H2300">
            <v>1</v>
          </cell>
          <cell r="I2300" t="str">
            <v>Jam</v>
          </cell>
        </row>
        <row r="2302">
          <cell r="A2302" t="str">
            <v>4.</v>
          </cell>
          <cell r="C2302" t="str">
            <v>HARGA DASAR SATUAN UPAH, BAHAN DAN ALAT</v>
          </cell>
        </row>
        <row r="2303">
          <cell r="C2303" t="str">
            <v>Lihat lampiran.</v>
          </cell>
        </row>
        <row r="2305">
          <cell r="A2305" t="str">
            <v>5.</v>
          </cell>
          <cell r="C2305" t="str">
            <v>ANALISA HARGA SATUAN PEKERJAAN</v>
          </cell>
        </row>
        <row r="2306">
          <cell r="C2306" t="str">
            <v>Lihat perhitungan dalam FORMULIR STANDAR UNTUK</v>
          </cell>
        </row>
        <row r="2307">
          <cell r="C2307" t="str">
            <v>PEREKEMAN ANALISA MASING-MASING HARGA</v>
          </cell>
        </row>
        <row r="2308">
          <cell r="C2308" t="str">
            <v>SATUAN.</v>
          </cell>
        </row>
        <row r="2309">
          <cell r="C2309" t="str">
            <v>Didapat Harga Satuan Pekerjaan :</v>
          </cell>
        </row>
        <row r="2311">
          <cell r="C2311" t="str">
            <v xml:space="preserve">Rp.  </v>
          </cell>
          <cell r="D2311">
            <v>1633771.8260014895</v>
          </cell>
          <cell r="E2311" t="str">
            <v xml:space="preserve"> / M2</v>
          </cell>
        </row>
        <row r="2314">
          <cell r="A2314" t="str">
            <v>6.</v>
          </cell>
          <cell r="C2314" t="str">
            <v>WAKTU PELAKSANAAN YANG DIPERLUKAN</v>
          </cell>
        </row>
        <row r="2315">
          <cell r="C2315" t="str">
            <v>Masa Pelaksanaan :</v>
          </cell>
          <cell r="D2315" t="str">
            <v>. . . . . . . . . . . .</v>
          </cell>
          <cell r="E2315" t="str">
            <v>bulan</v>
          </cell>
        </row>
        <row r="2317">
          <cell r="A2317" t="str">
            <v>7.</v>
          </cell>
          <cell r="C2317" t="str">
            <v>VOLUME PEKERJAAN YANG DIPERLUKAN</v>
          </cell>
        </row>
        <row r="2318">
          <cell r="C2318" t="str">
            <v>Volume pekerjaan  :</v>
          </cell>
          <cell r="D2318">
            <v>0</v>
          </cell>
          <cell r="E2318" t="str">
            <v>M3</v>
          </cell>
        </row>
        <row r="2335">
          <cell r="A2335" t="str">
            <v>ITEM PEMBAYARAN NO.</v>
          </cell>
          <cell r="D2335" t="str">
            <v xml:space="preserve">:  3.4 </v>
          </cell>
          <cell r="J2335" t="str">
            <v>Analisa EI-312</v>
          </cell>
          <cell r="T2335" t="str">
            <v>Analisa EI-312</v>
          </cell>
        </row>
        <row r="2336">
          <cell r="A2336" t="str">
            <v>JENIS PEKERJAAN</v>
          </cell>
          <cell r="D2336" t="str">
            <v>:  Pengupasan Permukaan Aspal Lama dan Pencampuran Kembali</v>
          </cell>
        </row>
        <row r="2337">
          <cell r="A2337" t="str">
            <v>SATUAN PEMBAYARAN</v>
          </cell>
          <cell r="D2337" t="str">
            <v>:  M2</v>
          </cell>
          <cell r="H2337" t="str">
            <v xml:space="preserve">         URAIAN ANALISA HARGA SATUAN</v>
          </cell>
          <cell r="L2337" t="str">
            <v>FORMULIR STANDAR UNTUK</v>
          </cell>
        </row>
        <row r="2338">
          <cell r="L2338" t="str">
            <v>PEREKAMAN ANALISA MASING-MASING HARGA SATUAN</v>
          </cell>
        </row>
        <row r="2339">
          <cell r="L2339" t="str">
            <v xml:space="preserve">                                                                                                            </v>
          </cell>
        </row>
        <row r="2340">
          <cell r="A2340" t="str">
            <v>No.</v>
          </cell>
          <cell r="C2340" t="str">
            <v>U R A I A N</v>
          </cell>
          <cell r="G2340" t="str">
            <v>KODE</v>
          </cell>
          <cell r="H2340" t="str">
            <v>KOEF.</v>
          </cell>
          <cell r="I2340" t="str">
            <v>SATUAN</v>
          </cell>
          <cell r="J2340" t="str">
            <v>KETERANGAN</v>
          </cell>
        </row>
        <row r="2342">
          <cell r="L2342" t="str">
            <v>PROYEK</v>
          </cell>
          <cell r="O2342" t="str">
            <v>:</v>
          </cell>
        </row>
        <row r="2343">
          <cell r="A2343" t="str">
            <v>I.</v>
          </cell>
          <cell r="C2343" t="str">
            <v>ASUMSI</v>
          </cell>
          <cell r="L2343" t="str">
            <v>No. PAKET KONTRAK</v>
          </cell>
          <cell r="O2343" t="str">
            <v>:</v>
          </cell>
        </row>
        <row r="2344">
          <cell r="A2344">
            <v>1</v>
          </cell>
          <cell r="C2344" t="str">
            <v>Pekerjaan dilakukan secara mekananik</v>
          </cell>
          <cell r="L2344" t="str">
            <v>NAMA PAKET</v>
          </cell>
          <cell r="O2344" t="str">
            <v>:</v>
          </cell>
        </row>
        <row r="2345">
          <cell r="A2345">
            <v>2</v>
          </cell>
          <cell r="C2345" t="str">
            <v>Lokasi pekerjaan : sepanjang jalan</v>
          </cell>
          <cell r="L2345" t="str">
            <v>PROP / KAB / KODYA</v>
          </cell>
          <cell r="O2345" t="str">
            <v>:</v>
          </cell>
        </row>
        <row r="2346">
          <cell r="A2346">
            <v>3</v>
          </cell>
          <cell r="C2346" t="str">
            <v>Kondisi Jalan   :  sedang / baik</v>
          </cell>
          <cell r="L2346" t="str">
            <v>ITEM PEMBAYARAN NO.</v>
          </cell>
          <cell r="O2346" t="str">
            <v xml:space="preserve">:  3.4 </v>
          </cell>
          <cell r="R2346" t="str">
            <v>PERKIRAAN VOL. PEK.</v>
          </cell>
          <cell r="T2346" t="str">
            <v>:</v>
          </cell>
          <cell r="U2346">
            <v>0</v>
          </cell>
        </row>
        <row r="2347">
          <cell r="A2347">
            <v>4</v>
          </cell>
          <cell r="C2347" t="str">
            <v>Jam kerja efektif per-hari</v>
          </cell>
          <cell r="G2347" t="str">
            <v>Tk</v>
          </cell>
          <cell r="H2347">
            <v>7</v>
          </cell>
          <cell r="I2347" t="str">
            <v>Jam</v>
          </cell>
          <cell r="L2347" t="str">
            <v>JENIS PEKERJAAN</v>
          </cell>
          <cell r="O2347" t="str">
            <v>:  Pengupasan Permukaan Aspal Lama dan Pencampuran Kembali</v>
          </cell>
          <cell r="R2347" t="str">
            <v>TOTAL HARGA (Rp.)</v>
          </cell>
          <cell r="T2347" t="str">
            <v>:</v>
          </cell>
          <cell r="U2347">
            <v>0</v>
          </cell>
        </row>
        <row r="2348">
          <cell r="A2348">
            <v>5</v>
          </cell>
          <cell r="C2348" t="str">
            <v>Faktor pengembangan bahan</v>
          </cell>
          <cell r="G2348" t="str">
            <v>Fk</v>
          </cell>
          <cell r="H2348">
            <v>1.24</v>
          </cell>
          <cell r="I2348" t="str">
            <v>-</v>
          </cell>
          <cell r="L2348" t="str">
            <v>SATUAN PEMBAYARAN</v>
          </cell>
          <cell r="O2348" t="str">
            <v>:  M2</v>
          </cell>
          <cell r="R2348" t="str">
            <v>% THD. BIAYA PROYEK</v>
          </cell>
          <cell r="T2348" t="str">
            <v>:</v>
          </cell>
          <cell r="U2348" t="e">
            <v>#DIV/0!</v>
          </cell>
        </row>
        <row r="2349">
          <cell r="A2349">
            <v>6</v>
          </cell>
          <cell r="C2349" t="str">
            <v>Tebal penggaruan 15 cm</v>
          </cell>
        </row>
        <row r="2351">
          <cell r="A2351" t="str">
            <v>II.</v>
          </cell>
          <cell r="C2351" t="str">
            <v>URUTAN KERJA</v>
          </cell>
          <cell r="Q2351" t="str">
            <v>PERKIRAAN</v>
          </cell>
          <cell r="R2351" t="str">
            <v>HARGA</v>
          </cell>
          <cell r="S2351" t="str">
            <v>JUMLAH</v>
          </cell>
        </row>
        <row r="2352">
          <cell r="A2352">
            <v>1</v>
          </cell>
          <cell r="C2352" t="str">
            <v>Penggaruan perkerasan dengan alat cold recycler</v>
          </cell>
          <cell r="L2352" t="str">
            <v>NO.</v>
          </cell>
          <cell r="N2352" t="str">
            <v>KOMPONEN</v>
          </cell>
          <cell r="P2352" t="str">
            <v>SATUAN</v>
          </cell>
          <cell r="Q2352" t="str">
            <v>KUANTITAS</v>
          </cell>
          <cell r="R2352" t="str">
            <v>SATUAN</v>
          </cell>
          <cell r="S2352" t="str">
            <v>HARGA</v>
          </cell>
        </row>
        <row r="2353">
          <cell r="A2353">
            <v>2</v>
          </cell>
          <cell r="C2353" t="str">
            <v xml:space="preserve">Pencampuran kembali dengan bahan pengikat di dalam </v>
          </cell>
          <cell r="R2353" t="str">
            <v>(Rp.)</v>
          </cell>
          <cell r="S2353" t="str">
            <v>(Rp.)</v>
          </cell>
        </row>
        <row r="2354">
          <cell r="C2354" t="str">
            <v>cold recycler</v>
          </cell>
        </row>
        <row r="2355">
          <cell r="A2355">
            <v>3</v>
          </cell>
          <cell r="C2355" t="str">
            <v>Penghamparan langsung dari alat cold recycler</v>
          </cell>
        </row>
        <row r="2356">
          <cell r="A2356">
            <v>4</v>
          </cell>
          <cell r="C2356" t="str">
            <v>Pemadatan dengan alat pemadat tandem roller</v>
          </cell>
          <cell r="G2356" t="str">
            <v xml:space="preserve"> </v>
          </cell>
          <cell r="H2356" t="str">
            <v xml:space="preserve"> </v>
          </cell>
          <cell r="I2356" t="str">
            <v xml:space="preserve"> </v>
          </cell>
          <cell r="L2356" t="str">
            <v>A.</v>
          </cell>
          <cell r="N2356" t="str">
            <v>TENAGA</v>
          </cell>
        </row>
        <row r="2358">
          <cell r="L2358" t="str">
            <v>1.</v>
          </cell>
          <cell r="N2358" t="str">
            <v>Pekerja</v>
          </cell>
          <cell r="O2358" t="str">
            <v>(L01)</v>
          </cell>
          <cell r="P2358" t="str">
            <v>Jam</v>
          </cell>
          <cell r="Q2358">
            <v>2</v>
          </cell>
          <cell r="R2358">
            <v>2857.14</v>
          </cell>
          <cell r="U2358">
            <v>5714.28</v>
          </cell>
        </row>
        <row r="2359">
          <cell r="L2359" t="str">
            <v>2.</v>
          </cell>
          <cell r="N2359" t="str">
            <v>Mandor</v>
          </cell>
          <cell r="O2359" t="str">
            <v>(L03)</v>
          </cell>
          <cell r="P2359" t="str">
            <v>Jam</v>
          </cell>
          <cell r="Q2359">
            <v>0.5</v>
          </cell>
          <cell r="R2359">
            <v>3214.29</v>
          </cell>
          <cell r="U2359">
            <v>1607.145</v>
          </cell>
        </row>
        <row r="2360">
          <cell r="A2360" t="str">
            <v>III.</v>
          </cell>
          <cell r="C2360" t="str">
            <v>PEMAKAIAN BAHAN, ALAT DAN TENAGA</v>
          </cell>
        </row>
        <row r="2362">
          <cell r="A2362" t="str">
            <v xml:space="preserve">   1.</v>
          </cell>
          <cell r="C2362" t="str">
            <v>BAHAN</v>
          </cell>
          <cell r="Q2362" t="str">
            <v xml:space="preserve">JUMLAH HARGA TENAGA   </v>
          </cell>
          <cell r="U2362">
            <v>7321.4249999999993</v>
          </cell>
        </row>
        <row r="2363">
          <cell r="C2363" t="str">
            <v xml:space="preserve">Bahan pengikat (semen, aspal dan air) </v>
          </cell>
        </row>
        <row r="2364">
          <cell r="C2364" t="str">
            <v>- semen</v>
          </cell>
          <cell r="D2364">
            <v>0.06</v>
          </cell>
          <cell r="L2364" t="str">
            <v>B.</v>
          </cell>
          <cell r="N2364" t="str">
            <v>BAHAN</v>
          </cell>
        </row>
        <row r="2365">
          <cell r="C2365" t="str">
            <v>- aspal</v>
          </cell>
          <cell r="D2365">
            <v>0.03</v>
          </cell>
        </row>
        <row r="2366">
          <cell r="C2366" t="str">
            <v>- air</v>
          </cell>
        </row>
        <row r="2368">
          <cell r="A2368" t="str">
            <v xml:space="preserve">   2.</v>
          </cell>
          <cell r="C2368" t="str">
            <v>ALAT</v>
          </cell>
        </row>
        <row r="2369">
          <cell r="A2369" t="str">
            <v xml:space="preserve">   2.a.</v>
          </cell>
          <cell r="C2369" t="str">
            <v>COLD RECYCLER</v>
          </cell>
          <cell r="J2369" t="str">
            <v xml:space="preserve"> (E05/26/10/15)</v>
          </cell>
        </row>
        <row r="2370">
          <cell r="C2370" t="str">
            <v>Produksi per jam</v>
          </cell>
          <cell r="G2370" t="str">
            <v>Q1</v>
          </cell>
          <cell r="H2370">
            <v>2</v>
          </cell>
          <cell r="I2370" t="str">
            <v>M3 / Jam</v>
          </cell>
        </row>
        <row r="2372">
          <cell r="C2372" t="str">
            <v>Koefisien Alat / m3</v>
          </cell>
          <cell r="D2372" t="str">
            <v xml:space="preserve"> =  1  :  Q1</v>
          </cell>
          <cell r="G2372" t="str">
            <v>(E05/26)</v>
          </cell>
          <cell r="H2372">
            <v>0.5</v>
          </cell>
          <cell r="I2372" t="str">
            <v>Jam</v>
          </cell>
        </row>
        <row r="2375">
          <cell r="A2375" t="str">
            <v xml:space="preserve">   2.b.</v>
          </cell>
          <cell r="C2375" t="str">
            <v>WATER TANKER</v>
          </cell>
          <cell r="G2375" t="str">
            <v>(E08)</v>
          </cell>
        </row>
        <row r="2378">
          <cell r="A2378" t="str">
            <v xml:space="preserve">   2.c.</v>
          </cell>
          <cell r="C2378" t="str">
            <v>ASPHALT TANKER</v>
          </cell>
        </row>
        <row r="2381">
          <cell r="A2381" t="str">
            <v xml:space="preserve">   2.d.</v>
          </cell>
          <cell r="C2381" t="str">
            <v>CEMENT TANKER</v>
          </cell>
        </row>
        <row r="2397">
          <cell r="J2397" t="str">
            <v>Berlanjut ke halaman berikut</v>
          </cell>
        </row>
        <row r="2398">
          <cell r="A2398" t="str">
            <v>ITEM PEMBAYARAN NO.</v>
          </cell>
          <cell r="D2398" t="str">
            <v xml:space="preserve">:  3.4 </v>
          </cell>
          <cell r="J2398" t="str">
            <v>Analisa EI-312</v>
          </cell>
        </row>
        <row r="2399">
          <cell r="A2399" t="str">
            <v>JENIS PEKERJAAN</v>
          </cell>
          <cell r="D2399" t="str">
            <v>:  Pengupasan Permukaan Aspal Lama dan Pencampuran Kembali</v>
          </cell>
        </row>
        <row r="2400">
          <cell r="A2400" t="str">
            <v>SATUAN PEMBAYARAN</v>
          </cell>
          <cell r="D2400" t="str">
            <v>:  M2</v>
          </cell>
          <cell r="H2400" t="str">
            <v xml:space="preserve">         URAIAN ANALISA HARGA SATUAN</v>
          </cell>
        </row>
        <row r="2401">
          <cell r="J2401" t="str">
            <v>Lanjutan</v>
          </cell>
        </row>
        <row r="2403">
          <cell r="A2403" t="str">
            <v>No.</v>
          </cell>
          <cell r="C2403" t="str">
            <v>U R A I A N</v>
          </cell>
          <cell r="G2403" t="str">
            <v>KODE</v>
          </cell>
          <cell r="H2403" t="str">
            <v>KOEF.</v>
          </cell>
          <cell r="I2403" t="str">
            <v>SATUAN</v>
          </cell>
          <cell r="J2403" t="str">
            <v>KETERANGAN</v>
          </cell>
        </row>
        <row r="2406">
          <cell r="A2406" t="str">
            <v xml:space="preserve">   3.</v>
          </cell>
          <cell r="C2406" t="str">
            <v>TENAGA</v>
          </cell>
        </row>
        <row r="2407">
          <cell r="C2407" t="str">
            <v>Produksi menentukan :COLD RECYCLER</v>
          </cell>
          <cell r="G2407" t="str">
            <v>Q1</v>
          </cell>
          <cell r="H2407">
            <v>2</v>
          </cell>
          <cell r="I2407" t="str">
            <v>M2/Jam</v>
          </cell>
        </row>
        <row r="2408">
          <cell r="C2408" t="str">
            <v>Produksi Galian / hari  =  Tk x Q1</v>
          </cell>
          <cell r="G2408" t="str">
            <v>Qt</v>
          </cell>
          <cell r="H2408">
            <v>14</v>
          </cell>
          <cell r="I2408" t="str">
            <v>M3</v>
          </cell>
        </row>
        <row r="2409">
          <cell r="C2409" t="str">
            <v>Kebutuhan tenaga :</v>
          </cell>
        </row>
        <row r="2410">
          <cell r="D2410" t="str">
            <v>- Pekerja</v>
          </cell>
          <cell r="G2410" t="str">
            <v>P</v>
          </cell>
          <cell r="H2410">
            <v>4</v>
          </cell>
          <cell r="I2410" t="str">
            <v>orang</v>
          </cell>
        </row>
        <row r="2411">
          <cell r="D2411" t="str">
            <v>- Mandor</v>
          </cell>
          <cell r="G2411" t="str">
            <v>M</v>
          </cell>
          <cell r="H2411">
            <v>1</v>
          </cell>
          <cell r="I2411" t="str">
            <v>orang</v>
          </cell>
        </row>
        <row r="2413">
          <cell r="C2413" t="str">
            <v>Koefisien tenaga / M3   :</v>
          </cell>
        </row>
        <row r="2414">
          <cell r="D2414" t="str">
            <v>- Pekerja</v>
          </cell>
          <cell r="E2414" t="str">
            <v>= (Tk x P) : Qt</v>
          </cell>
          <cell r="G2414" t="str">
            <v>(L01)</v>
          </cell>
          <cell r="H2414">
            <v>2</v>
          </cell>
          <cell r="I2414" t="str">
            <v>Jam</v>
          </cell>
        </row>
        <row r="2415">
          <cell r="D2415" t="str">
            <v>- Mandor</v>
          </cell>
          <cell r="E2415" t="str">
            <v>= (Tk x M) : Qt</v>
          </cell>
          <cell r="G2415" t="str">
            <v>(L03)</v>
          </cell>
          <cell r="H2415">
            <v>0.5</v>
          </cell>
          <cell r="I2415" t="str">
            <v>Jam</v>
          </cell>
        </row>
        <row r="2417">
          <cell r="A2417" t="str">
            <v>4.</v>
          </cell>
          <cell r="C2417" t="str">
            <v>HARGA DASAR SATUAN UPAH, BAHAN DAN ALAT</v>
          </cell>
        </row>
        <row r="2418">
          <cell r="C2418" t="str">
            <v>Lihat lampiran.</v>
          </cell>
        </row>
        <row r="2420">
          <cell r="A2420" t="str">
            <v>5.</v>
          </cell>
          <cell r="C2420" t="str">
            <v>ANALISA HARGA SATUAN PEKERJAAN</v>
          </cell>
        </row>
        <row r="2421">
          <cell r="C2421" t="str">
            <v>Lihat perhitungan dalam FORMULIR STANDAR UNTUK</v>
          </cell>
        </row>
        <row r="2422">
          <cell r="C2422" t="str">
            <v>PEREKEMAN ANALISA MASING-MASING HARGA</v>
          </cell>
        </row>
        <row r="2423">
          <cell r="C2423" t="str">
            <v>SATUAN.</v>
          </cell>
        </row>
        <row r="2424">
          <cell r="C2424" t="str">
            <v>Didapat Harga Satuan Pekerjaan :</v>
          </cell>
        </row>
        <row r="2426">
          <cell r="C2426" t="str">
            <v xml:space="preserve">Rp.  </v>
          </cell>
          <cell r="D2426">
            <v>8053.5674999999992</v>
          </cell>
          <cell r="E2426" t="str">
            <v xml:space="preserve"> / M3</v>
          </cell>
        </row>
        <row r="2429">
          <cell r="A2429" t="str">
            <v>6.</v>
          </cell>
          <cell r="C2429" t="str">
            <v>WAKTU PELAKSANAAN YANG DIPERLUKAN</v>
          </cell>
        </row>
        <row r="2430">
          <cell r="C2430" t="str">
            <v>Masa Pelaksanaan :</v>
          </cell>
          <cell r="D2430" t="str">
            <v>. . . . . . . . . . . .</v>
          </cell>
          <cell r="E2430" t="str">
            <v>bulan</v>
          </cell>
        </row>
        <row r="2432">
          <cell r="A2432" t="str">
            <v>7.</v>
          </cell>
          <cell r="C2432" t="str">
            <v>VOLUME PEKERJAAN YANG DIPERLUKAN</v>
          </cell>
        </row>
        <row r="2433">
          <cell r="C2433" t="str">
            <v>Volume pekerjaan  :</v>
          </cell>
          <cell r="D2433">
            <v>0</v>
          </cell>
          <cell r="E2433" t="str">
            <v>M3</v>
          </cell>
        </row>
        <row r="2452">
          <cell r="N2452" t="str">
            <v>yang dibayar dari kontrak) dan biaya-biaya lainnya.</v>
          </cell>
        </row>
        <row r="2453">
          <cell r="A2453" t="str">
            <v>ITEM PEMBAYARAN NO.</v>
          </cell>
          <cell r="D2453" t="str">
            <v>:  3.2 (4)</v>
          </cell>
          <cell r="J2453">
            <v>0</v>
          </cell>
          <cell r="T2453" t="str">
            <v>Analisa EI-322</v>
          </cell>
        </row>
        <row r="2454">
          <cell r="A2454" t="str">
            <v>JENIS PEKERJAAN</v>
          </cell>
          <cell r="D2454" t="str">
            <v xml:space="preserve">:  Timbunan Batu dengan Manual </v>
          </cell>
        </row>
        <row r="2455">
          <cell r="A2455" t="str">
            <v>SATUAN PEMBAYARAN</v>
          </cell>
          <cell r="D2455" t="str">
            <v>:  M3</v>
          </cell>
          <cell r="E2455" t="str">
            <v xml:space="preserve"> </v>
          </cell>
          <cell r="H2455" t="str">
            <v xml:space="preserve">         URAIAN ANALISA HARGA SATUAN</v>
          </cell>
          <cell r="L2455" t="str">
            <v>FORMULIR STANDAR UNTUK</v>
          </cell>
        </row>
        <row r="2456">
          <cell r="L2456" t="str">
            <v>PEREKAMAN ANALISA MASING-MASING HARGA SATUAN</v>
          </cell>
        </row>
        <row r="2457">
          <cell r="L2457" t="str">
            <v xml:space="preserve">                                                                                                            </v>
          </cell>
        </row>
        <row r="2458">
          <cell r="A2458" t="str">
            <v>No.</v>
          </cell>
          <cell r="C2458" t="str">
            <v>U R A I A N</v>
          </cell>
          <cell r="G2458" t="str">
            <v>KODE</v>
          </cell>
          <cell r="H2458" t="str">
            <v>KOEF.</v>
          </cell>
          <cell r="I2458" t="str">
            <v>SATUAN</v>
          </cell>
          <cell r="J2458" t="str">
            <v>KETERANGAN</v>
          </cell>
        </row>
        <row r="2460">
          <cell r="L2460" t="str">
            <v>PROYEK</v>
          </cell>
          <cell r="O2460" t="str">
            <v>:</v>
          </cell>
        </row>
        <row r="2461">
          <cell r="A2461" t="str">
            <v>I.</v>
          </cell>
          <cell r="C2461" t="str">
            <v>ASUMSI</v>
          </cell>
          <cell r="L2461" t="str">
            <v>No. PAKET KONTRAK</v>
          </cell>
          <cell r="O2461" t="str">
            <v>:</v>
          </cell>
        </row>
        <row r="2462">
          <cell r="A2462">
            <v>1</v>
          </cell>
          <cell r="C2462" t="str">
            <v>Pekerjaan dilakukan secara manual</v>
          </cell>
          <cell r="L2462" t="str">
            <v>NAMA PAKET</v>
          </cell>
          <cell r="O2462" t="str">
            <v>:</v>
          </cell>
        </row>
        <row r="2463">
          <cell r="A2463">
            <v>2</v>
          </cell>
          <cell r="C2463" t="str">
            <v>Lokasi pekerjaan : sepanjang jalan</v>
          </cell>
          <cell r="L2463" t="str">
            <v>PROP / KAB / KODYA</v>
          </cell>
          <cell r="O2463" t="str">
            <v>:</v>
          </cell>
        </row>
        <row r="2464">
          <cell r="A2464">
            <v>3</v>
          </cell>
          <cell r="C2464" t="str">
            <v>Kondisi Jalan   :  sedang / baik</v>
          </cell>
          <cell r="L2464" t="str">
            <v>ITEM PEMBAYARAN NO.</v>
          </cell>
          <cell r="O2464" t="str">
            <v>:  3.2 (4)</v>
          </cell>
          <cell r="R2464" t="str">
            <v>PERKIRAAN VOL. PEK.</v>
          </cell>
          <cell r="T2464" t="str">
            <v>:</v>
          </cell>
          <cell r="U2464">
            <v>1</v>
          </cell>
        </row>
        <row r="2465">
          <cell r="A2465">
            <v>4</v>
          </cell>
          <cell r="C2465" t="str">
            <v>Jam kerja efektif per-hari</v>
          </cell>
          <cell r="G2465" t="str">
            <v>Tk</v>
          </cell>
          <cell r="H2465">
            <v>7</v>
          </cell>
          <cell r="I2465" t="str">
            <v>Jam</v>
          </cell>
          <cell r="L2465" t="str">
            <v>JENIS PEKERJAAN</v>
          </cell>
          <cell r="O2465" t="str">
            <v xml:space="preserve">:  Timbunan Batu dengan Manual </v>
          </cell>
          <cell r="R2465" t="str">
            <v>TOTAL HARGA (Rp.)</v>
          </cell>
          <cell r="T2465" t="str">
            <v>:</v>
          </cell>
          <cell r="U2465">
            <v>263185.3</v>
          </cell>
        </row>
        <row r="2466">
          <cell r="A2466">
            <v>5</v>
          </cell>
          <cell r="C2466" t="str">
            <v>Faktor pengembangan bahan</v>
          </cell>
          <cell r="G2466" t="str">
            <v>Fk</v>
          </cell>
          <cell r="H2466">
            <v>1.24</v>
          </cell>
          <cell r="I2466" t="str">
            <v>-</v>
          </cell>
          <cell r="L2466" t="str">
            <v>SATUAN PEMBAYARAN</v>
          </cell>
          <cell r="O2466" t="str">
            <v>:  M3</v>
          </cell>
          <cell r="P2466" t="str">
            <v xml:space="preserve"> </v>
          </cell>
          <cell r="R2466" t="str">
            <v>% THD. BIAYA PROYEK</v>
          </cell>
          <cell r="T2466" t="str">
            <v>:</v>
          </cell>
          <cell r="U2466" t="e">
            <v>#DIV/0!</v>
          </cell>
        </row>
        <row r="2467">
          <cell r="A2467">
            <v>6</v>
          </cell>
          <cell r="C2467" t="str">
            <v>Tebal hamparan padat</v>
          </cell>
          <cell r="G2467" t="str">
            <v>t</v>
          </cell>
          <cell r="H2467">
            <v>0.45</v>
          </cell>
          <cell r="I2467" t="str">
            <v>M</v>
          </cell>
        </row>
        <row r="2469">
          <cell r="A2469" t="str">
            <v>II.</v>
          </cell>
          <cell r="C2469" t="str">
            <v>URUTAN KERJA</v>
          </cell>
          <cell r="Q2469" t="str">
            <v>PERKIRAAN</v>
          </cell>
          <cell r="R2469" t="str">
            <v>HARGA</v>
          </cell>
          <cell r="S2469" t="str">
            <v>JUMLAH</v>
          </cell>
        </row>
        <row r="2470">
          <cell r="A2470">
            <v>1</v>
          </cell>
          <cell r="C2470" t="str">
            <v>Whell Loader memuat batu ke dalam Dump Truck</v>
          </cell>
          <cell r="L2470" t="str">
            <v>NO.</v>
          </cell>
          <cell r="N2470" t="str">
            <v>KOMPONEN</v>
          </cell>
          <cell r="P2470" t="str">
            <v>SATUAN</v>
          </cell>
          <cell r="Q2470" t="str">
            <v>KUANTITAS</v>
          </cell>
          <cell r="R2470" t="str">
            <v>SATUAN</v>
          </cell>
          <cell r="S2470" t="str">
            <v>HARGA</v>
          </cell>
        </row>
        <row r="2471">
          <cell r="A2471">
            <v>2</v>
          </cell>
          <cell r="C2471" t="str">
            <v>Dump Truck mengangkut ke lapangan dengan jarak</v>
          </cell>
          <cell r="R2471" t="str">
            <v>(Rp.)</v>
          </cell>
          <cell r="S2471" t="str">
            <v>(Rp.)</v>
          </cell>
        </row>
        <row r="2472">
          <cell r="C2472" t="str">
            <v>quari ke lapangan</v>
          </cell>
          <cell r="G2472" t="str">
            <v>L</v>
          </cell>
          <cell r="H2472">
            <v>80.61</v>
          </cell>
          <cell r="I2472" t="str">
            <v>Km</v>
          </cell>
        </row>
        <row r="2473">
          <cell r="A2473">
            <v>3</v>
          </cell>
          <cell r="C2473" t="str">
            <v>Material Timbunan Batu dihampar secara Manual</v>
          </cell>
        </row>
        <row r="2474">
          <cell r="A2474">
            <v>4</v>
          </cell>
          <cell r="C2474" t="str">
            <v>Hamparan batu dipadatkan menggunakan Vibratory</v>
          </cell>
        </row>
        <row r="2475">
          <cell r="C2475" t="str">
            <v>Roller</v>
          </cell>
        </row>
        <row r="2476">
          <cell r="A2476">
            <v>5</v>
          </cell>
          <cell r="C2476" t="str">
            <v>Agregat pengunci dihampar dari Dump Truck, diratakan</v>
          </cell>
        </row>
        <row r="2477">
          <cell r="C2477" t="str">
            <v>menggunakan Bulldozer</v>
          </cell>
        </row>
        <row r="2478">
          <cell r="A2478">
            <v>6</v>
          </cell>
          <cell r="C2478" t="str">
            <v>Hamparan material dipadatkan menggunakan Vibratory</v>
          </cell>
          <cell r="L2478" t="str">
            <v>A.</v>
          </cell>
          <cell r="N2478" t="str">
            <v>TENAGA</v>
          </cell>
        </row>
        <row r="2479">
          <cell r="C2479" t="str">
            <v>Roller</v>
          </cell>
        </row>
        <row r="2480">
          <cell r="C2480" t="str">
            <v xml:space="preserve"> </v>
          </cell>
          <cell r="L2480" t="str">
            <v>1.</v>
          </cell>
          <cell r="N2480" t="str">
            <v>Pekerja</v>
          </cell>
          <cell r="O2480" t="str">
            <v>(L01)</v>
          </cell>
          <cell r="P2480" t="str">
            <v>Jam</v>
          </cell>
          <cell r="Q2480">
            <v>0.14755317566562548</v>
          </cell>
          <cell r="R2480">
            <v>2857.14</v>
          </cell>
          <cell r="U2480">
            <v>421.58008032128515</v>
          </cell>
        </row>
        <row r="2481">
          <cell r="A2481">
            <v>7</v>
          </cell>
          <cell r="C2481" t="str">
            <v>Selama pemadatan sekelompok pekerja  akan</v>
          </cell>
          <cell r="L2481" t="str">
            <v>2.</v>
          </cell>
          <cell r="N2481" t="str">
            <v>Mandor</v>
          </cell>
          <cell r="O2481" t="str">
            <v>(L02)</v>
          </cell>
          <cell r="P2481" t="str">
            <v>Jam</v>
          </cell>
          <cell r="Q2481">
            <v>1.8444146958203185E-2</v>
          </cell>
          <cell r="R2481">
            <v>3214.29</v>
          </cell>
          <cell r="U2481">
            <v>59.284837126282916</v>
          </cell>
        </row>
        <row r="2482">
          <cell r="C2482" t="str">
            <v>merapikan tepi hamparan dan level permukaan</v>
          </cell>
        </row>
        <row r="2483">
          <cell r="C2483" t="str">
            <v>dengan menggunakan alat bantu</v>
          </cell>
        </row>
        <row r="2484">
          <cell r="Q2484" t="str">
            <v xml:space="preserve">JUMLAH HARGA TENAGA   </v>
          </cell>
          <cell r="U2484">
            <v>480.86491744756808</v>
          </cell>
        </row>
        <row r="2485">
          <cell r="A2485" t="str">
            <v>III.</v>
          </cell>
          <cell r="C2485" t="str">
            <v>PEMAKAIAN BAHAN, ALAT DAN TENAGA</v>
          </cell>
        </row>
        <row r="2486">
          <cell r="A2486" t="str">
            <v xml:space="preserve">   1.</v>
          </cell>
          <cell r="C2486" t="str">
            <v>BAHAN</v>
          </cell>
          <cell r="L2486" t="str">
            <v>B.</v>
          </cell>
          <cell r="N2486" t="str">
            <v>BAHAN</v>
          </cell>
        </row>
        <row r="2487">
          <cell r="A2487" t="str">
            <v>1.a.</v>
          </cell>
          <cell r="C2487" t="str">
            <v>Bahan timbunan</v>
          </cell>
          <cell r="D2487" t="str">
            <v xml:space="preserve"> =  1 x  Fk</v>
          </cell>
          <cell r="G2487" t="str">
            <v>(M08)</v>
          </cell>
          <cell r="H2487">
            <v>1.24</v>
          </cell>
          <cell r="I2487" t="str">
            <v>M3</v>
          </cell>
          <cell r="J2487" t="str">
            <v xml:space="preserve"> Borrow Pit</v>
          </cell>
        </row>
        <row r="2489">
          <cell r="A2489" t="str">
            <v xml:space="preserve">   2.</v>
          </cell>
          <cell r="C2489" t="str">
            <v>ALAT</v>
          </cell>
        </row>
        <row r="2490">
          <cell r="A2490" t="str">
            <v>2.a.</v>
          </cell>
          <cell r="C2490" t="str">
            <v>WHELL  LOADER</v>
          </cell>
          <cell r="G2490" t="str">
            <v>(E15)</v>
          </cell>
        </row>
        <row r="2491">
          <cell r="C2491" t="str">
            <v>Kapasitas  Bucket</v>
          </cell>
          <cell r="G2491" t="str">
            <v>V</v>
          </cell>
          <cell r="H2491">
            <v>1.5</v>
          </cell>
          <cell r="I2491" t="str">
            <v>M3</v>
          </cell>
        </row>
        <row r="2492">
          <cell r="C2492" t="str">
            <v>Faktor Bucket</v>
          </cell>
          <cell r="G2492" t="str">
            <v>Fb</v>
          </cell>
          <cell r="H2492">
            <v>0.9</v>
          </cell>
          <cell r="I2492" t="str">
            <v>-</v>
          </cell>
        </row>
        <row r="2493">
          <cell r="C2493" t="str">
            <v>Faktor Efisiensi Alat</v>
          </cell>
          <cell r="G2493" t="str">
            <v>Fa</v>
          </cell>
          <cell r="H2493">
            <v>0.83</v>
          </cell>
          <cell r="I2493" t="str">
            <v>-</v>
          </cell>
        </row>
        <row r="2494">
          <cell r="C2494" t="str">
            <v>Waktu sklus</v>
          </cell>
          <cell r="G2494" t="str">
            <v>Ts1</v>
          </cell>
          <cell r="I2494" t="str">
            <v>menit</v>
          </cell>
        </row>
        <row r="2495">
          <cell r="C2495" t="str">
            <v>- Muat</v>
          </cell>
          <cell r="G2495" t="str">
            <v>T1</v>
          </cell>
          <cell r="H2495">
            <v>0.5</v>
          </cell>
          <cell r="I2495" t="str">
            <v>menit</v>
          </cell>
        </row>
        <row r="2496">
          <cell r="C2496" t="str">
            <v>- Lain-lain</v>
          </cell>
          <cell r="G2496" t="str">
            <v>T2</v>
          </cell>
          <cell r="H2496">
            <v>0.5</v>
          </cell>
          <cell r="I2496" t="str">
            <v>menit</v>
          </cell>
        </row>
        <row r="2497">
          <cell r="G2497" t="str">
            <v>Ts1</v>
          </cell>
          <cell r="H2497">
            <v>1</v>
          </cell>
          <cell r="I2497" t="str">
            <v>menit</v>
          </cell>
        </row>
        <row r="2499">
          <cell r="C2499" t="str">
            <v>Kapasitas Produksi / Jam =</v>
          </cell>
          <cell r="E2499" t="str">
            <v>V  x  Fb x Fa x 60</v>
          </cell>
          <cell r="G2499" t="str">
            <v>Q1</v>
          </cell>
          <cell r="H2499">
            <v>54.217741935483872</v>
          </cell>
          <cell r="I2499" t="str">
            <v>M3</v>
          </cell>
        </row>
        <row r="2500">
          <cell r="E2500" t="str">
            <v xml:space="preserve">      Fk x Ts1</v>
          </cell>
        </row>
        <row r="2502">
          <cell r="C2502" t="str">
            <v>Koefisienalat / M3</v>
          </cell>
          <cell r="D2502" t="str">
            <v xml:space="preserve"> =   1 : Q1</v>
          </cell>
          <cell r="G2502" t="str">
            <v>(E15)</v>
          </cell>
          <cell r="H2502">
            <v>1.8444146958203182E-2</v>
          </cell>
          <cell r="I2502" t="str">
            <v>Jam</v>
          </cell>
        </row>
        <row r="2504">
          <cell r="A2504" t="str">
            <v xml:space="preserve">   2.b.</v>
          </cell>
          <cell r="C2504" t="str">
            <v>DUMP TRUCK</v>
          </cell>
          <cell r="G2504" t="str">
            <v>(E08)</v>
          </cell>
        </row>
        <row r="2505">
          <cell r="C2505" t="str">
            <v>Kapasitas bak</v>
          </cell>
          <cell r="G2505" t="str">
            <v>V</v>
          </cell>
          <cell r="H2505">
            <v>6.666666666666667</v>
          </cell>
          <cell r="I2505" t="str">
            <v>M3</v>
          </cell>
        </row>
        <row r="2506">
          <cell r="C2506" t="str">
            <v>Faktor  efisiensi alat</v>
          </cell>
          <cell r="G2506" t="str">
            <v>Fa</v>
          </cell>
          <cell r="H2506">
            <v>0.83</v>
          </cell>
          <cell r="I2506" t="str">
            <v>-</v>
          </cell>
        </row>
        <row r="2507">
          <cell r="C2507" t="str">
            <v>Kecepatan rata-rata bermuatan</v>
          </cell>
          <cell r="G2507" t="str">
            <v>v1</v>
          </cell>
          <cell r="H2507">
            <v>40</v>
          </cell>
          <cell r="I2507" t="str">
            <v>KM/Jam</v>
          </cell>
        </row>
        <row r="2508">
          <cell r="C2508" t="str">
            <v>Kecepatan rata-rata kosong</v>
          </cell>
          <cell r="G2508" t="str">
            <v>v2</v>
          </cell>
          <cell r="H2508">
            <v>60</v>
          </cell>
          <cell r="I2508" t="str">
            <v>KM/Jam</v>
          </cell>
        </row>
        <row r="2509">
          <cell r="C2509" t="str">
            <v>Waktusiklus :</v>
          </cell>
          <cell r="G2509" t="str">
            <v>Ts2</v>
          </cell>
        </row>
        <row r="2510">
          <cell r="C2510" t="str">
            <v>-  Waktu tempuh isi   = (L : v1) x 60</v>
          </cell>
          <cell r="G2510" t="str">
            <v>T1</v>
          </cell>
          <cell r="H2510">
            <v>120.91499999999999</v>
          </cell>
          <cell r="I2510" t="str">
            <v>menit</v>
          </cell>
        </row>
        <row r="2511">
          <cell r="C2511" t="str">
            <v>-  Waktu tempuh kosong   = (L : v2) x 60</v>
          </cell>
          <cell r="G2511" t="str">
            <v>T2</v>
          </cell>
          <cell r="H2511">
            <v>80.61</v>
          </cell>
          <cell r="I2511" t="str">
            <v>menit</v>
          </cell>
        </row>
        <row r="2512">
          <cell r="C2512" t="str">
            <v>- Lain-lain</v>
          </cell>
          <cell r="G2512" t="str">
            <v>T3</v>
          </cell>
          <cell r="H2512">
            <v>4</v>
          </cell>
          <cell r="I2512" t="str">
            <v>menit</v>
          </cell>
        </row>
        <row r="2513">
          <cell r="G2513" t="str">
            <v>Ts2</v>
          </cell>
          <cell r="H2513">
            <v>205.52499999999998</v>
          </cell>
          <cell r="I2513" t="str">
            <v>menit</v>
          </cell>
        </row>
        <row r="2517">
          <cell r="J2517" t="str">
            <v>Berlanjut ke halaman berikut</v>
          </cell>
        </row>
        <row r="2518">
          <cell r="A2518" t="str">
            <v>ITEM PEMBAYARAN NO.</v>
          </cell>
          <cell r="D2518" t="str">
            <v>:  3.2 (4)</v>
          </cell>
          <cell r="J2518">
            <v>0</v>
          </cell>
        </row>
        <row r="2519">
          <cell r="A2519" t="str">
            <v>JENIS PEKERJAAN</v>
          </cell>
          <cell r="D2519" t="str">
            <v xml:space="preserve">:  Timbunan Batu dengan Manual </v>
          </cell>
        </row>
        <row r="2520">
          <cell r="A2520" t="str">
            <v>SATUAN PEMBAYARAN</v>
          </cell>
          <cell r="D2520" t="str">
            <v>:  M3</v>
          </cell>
          <cell r="E2520" t="str">
            <v xml:space="preserve"> </v>
          </cell>
          <cell r="H2520" t="str">
            <v xml:space="preserve">         URAIAN ANALISA HARGA SATUAN</v>
          </cell>
        </row>
        <row r="2521">
          <cell r="J2521" t="str">
            <v>Lanjutan</v>
          </cell>
        </row>
        <row r="2523">
          <cell r="A2523" t="str">
            <v>No.</v>
          </cell>
          <cell r="C2523" t="str">
            <v>U R A I A N</v>
          </cell>
          <cell r="G2523" t="str">
            <v>KODE</v>
          </cell>
          <cell r="H2523" t="str">
            <v>KOEF.</v>
          </cell>
          <cell r="I2523" t="str">
            <v>SATUAN</v>
          </cell>
          <cell r="J2523" t="str">
            <v>KETERANGAN</v>
          </cell>
        </row>
        <row r="2526">
          <cell r="C2526" t="str">
            <v>Kapasitas Produksi / Jam   =</v>
          </cell>
          <cell r="E2526" t="str">
            <v>V x Fa x 60</v>
          </cell>
          <cell r="G2526" t="str">
            <v>Q2</v>
          </cell>
          <cell r="H2526">
            <v>1.3027219826486851</v>
          </cell>
          <cell r="I2526" t="str">
            <v>M3</v>
          </cell>
        </row>
        <row r="2527">
          <cell r="E2527" t="str">
            <v xml:space="preserve">    Fk x Ts2</v>
          </cell>
        </row>
        <row r="2529">
          <cell r="C2529" t="str">
            <v>Koefisien Alat / M3</v>
          </cell>
          <cell r="D2529" t="str">
            <v xml:space="preserve"> =  1  :  Q2</v>
          </cell>
          <cell r="G2529" t="str">
            <v>(E08)</v>
          </cell>
          <cell r="H2529">
            <v>0.76762349397590346</v>
          </cell>
          <cell r="I2529" t="str">
            <v>Jam</v>
          </cell>
        </row>
        <row r="2531">
          <cell r="A2531" t="str">
            <v>2.c.</v>
          </cell>
          <cell r="C2531" t="str">
            <v>BULLDOZER</v>
          </cell>
          <cell r="G2531" t="str">
            <v>(E13)</v>
          </cell>
        </row>
        <row r="2532">
          <cell r="C2532" t="str">
            <v>Panjang hamparan</v>
          </cell>
          <cell r="G2532" t="str">
            <v>Lh</v>
          </cell>
          <cell r="H2532">
            <v>50</v>
          </cell>
          <cell r="I2532" t="str">
            <v>M</v>
          </cell>
        </row>
        <row r="2533">
          <cell r="C2533" t="str">
            <v>Lebar Efektif kerja Blade</v>
          </cell>
          <cell r="G2533" t="str">
            <v>b</v>
          </cell>
          <cell r="H2533">
            <v>2.4</v>
          </cell>
          <cell r="I2533" t="str">
            <v>M</v>
          </cell>
        </row>
        <row r="2534">
          <cell r="C2534" t="str">
            <v>Faktor Efisiensi Alat</v>
          </cell>
          <cell r="G2534" t="str">
            <v>Fa</v>
          </cell>
          <cell r="H2534">
            <v>0.83</v>
          </cell>
          <cell r="I2534" t="str">
            <v>-</v>
          </cell>
        </row>
        <row r="2535">
          <cell r="C2535" t="str">
            <v>Kecepatan rata-rata alat</v>
          </cell>
          <cell r="G2535" t="str">
            <v>v</v>
          </cell>
          <cell r="H2535">
            <v>5</v>
          </cell>
          <cell r="I2535" t="str">
            <v>Km / Jam</v>
          </cell>
        </row>
        <row r="2536">
          <cell r="C2536" t="str">
            <v>Jumlah lintasan</v>
          </cell>
          <cell r="G2536" t="str">
            <v>n</v>
          </cell>
          <cell r="H2536">
            <v>5</v>
          </cell>
          <cell r="I2536" t="str">
            <v>lintasan</v>
          </cell>
        </row>
        <row r="2537">
          <cell r="C2537" t="str">
            <v>Waktu siklus</v>
          </cell>
          <cell r="G2537" t="str">
            <v>Ts3</v>
          </cell>
        </row>
        <row r="2538">
          <cell r="C2538" t="str">
            <v>- Perataan 1 kali lintasan    = Lh : (v x 1000) x 60</v>
          </cell>
          <cell r="G2538" t="str">
            <v>T1</v>
          </cell>
          <cell r="H2538">
            <v>0.6</v>
          </cell>
          <cell r="I2538" t="str">
            <v>menit</v>
          </cell>
        </row>
        <row r="2539">
          <cell r="C2539" t="str">
            <v>- Lain-lain</v>
          </cell>
          <cell r="G2539" t="str">
            <v>T2</v>
          </cell>
          <cell r="H2539">
            <v>0.5</v>
          </cell>
          <cell r="I2539" t="str">
            <v>menit</v>
          </cell>
        </row>
        <row r="2540">
          <cell r="G2540" t="str">
            <v>Ts3</v>
          </cell>
          <cell r="H2540">
            <v>1.1000000000000001</v>
          </cell>
          <cell r="I2540" t="str">
            <v>menit</v>
          </cell>
        </row>
        <row r="2542">
          <cell r="C2542" t="str">
            <v>Kapasitas Produksi / Jam   =</v>
          </cell>
          <cell r="E2542" t="str">
            <v>Lh x b x t x Fa x 60</v>
          </cell>
          <cell r="G2542" t="str">
            <v>Q3</v>
          </cell>
          <cell r="H2542">
            <v>488.94545454545454</v>
          </cell>
          <cell r="I2542" t="str">
            <v>M3</v>
          </cell>
        </row>
        <row r="2543">
          <cell r="E2543" t="str">
            <v xml:space="preserve">      n x Ts3</v>
          </cell>
        </row>
        <row r="2545">
          <cell r="C2545" t="str">
            <v>Koefisien Alat / M3</v>
          </cell>
          <cell r="D2545" t="str">
            <v xml:space="preserve"> =  1  :  Q3</v>
          </cell>
          <cell r="G2545" t="str">
            <v>(E13)</v>
          </cell>
          <cell r="H2545">
            <v>2.045217908671724E-3</v>
          </cell>
          <cell r="I2545" t="str">
            <v>Jam</v>
          </cell>
        </row>
        <row r="2547">
          <cell r="A2547" t="str">
            <v>2.d.</v>
          </cell>
          <cell r="C2547" t="str">
            <v>VIBRATORY ROLLER</v>
          </cell>
          <cell r="G2547" t="str">
            <v>(E19)</v>
          </cell>
        </row>
        <row r="2548">
          <cell r="C2548" t="str">
            <v>Kecepatan rata-rata alat</v>
          </cell>
          <cell r="G2548" t="str">
            <v>v</v>
          </cell>
          <cell r="H2548">
            <v>4</v>
          </cell>
          <cell r="I2548" t="str">
            <v>Km / Jam</v>
          </cell>
        </row>
        <row r="2549">
          <cell r="C2549" t="str">
            <v>Lebar efektif pemadatan</v>
          </cell>
          <cell r="G2549" t="str">
            <v>b</v>
          </cell>
          <cell r="H2549">
            <v>1.2</v>
          </cell>
          <cell r="I2549" t="str">
            <v>M</v>
          </cell>
        </row>
        <row r="2550">
          <cell r="C2550" t="str">
            <v>Jumlah lintasan</v>
          </cell>
          <cell r="G2550" t="str">
            <v>n</v>
          </cell>
          <cell r="H2550">
            <v>6</v>
          </cell>
          <cell r="I2550" t="str">
            <v>lintasan</v>
          </cell>
        </row>
        <row r="2551">
          <cell r="C2551" t="str">
            <v>Faktor efisiensi alat</v>
          </cell>
          <cell r="G2551" t="str">
            <v>Fa</v>
          </cell>
          <cell r="H2551">
            <v>0.83</v>
          </cell>
          <cell r="I2551" t="str">
            <v>-</v>
          </cell>
        </row>
        <row r="2553">
          <cell r="C2553" t="str">
            <v>Kapasitas Prod./Jam   =</v>
          </cell>
          <cell r="D2553" t="str">
            <v>(v x 1000) x b x t x Fa</v>
          </cell>
          <cell r="G2553" t="str">
            <v>Q4</v>
          </cell>
          <cell r="H2553">
            <v>298.8</v>
          </cell>
          <cell r="I2553" t="str">
            <v>M3</v>
          </cell>
        </row>
        <row r="2554">
          <cell r="D2554" t="str">
            <v>n</v>
          </cell>
        </row>
        <row r="2556">
          <cell r="C2556" t="str">
            <v>Koefisien Alat / M3</v>
          </cell>
          <cell r="D2556" t="str">
            <v xml:space="preserve"> =  1  :  Q4</v>
          </cell>
          <cell r="G2556" t="str">
            <v>(E19)</v>
          </cell>
          <cell r="H2556">
            <v>3.3467202141900937E-3</v>
          </cell>
          <cell r="I2556" t="str">
            <v>Jam</v>
          </cell>
        </row>
        <row r="2570">
          <cell r="A2570" t="str">
            <v>2.f.</v>
          </cell>
          <cell r="C2570" t="str">
            <v>ALAT  BANTU</v>
          </cell>
        </row>
        <row r="2571">
          <cell r="C2571" t="str">
            <v>Diperlukan alat-alat bantu kecil</v>
          </cell>
          <cell r="J2571" t="str">
            <v>Lump Sump</v>
          </cell>
        </row>
        <row r="2572">
          <cell r="C2572" t="str">
            <v xml:space="preserve">- Sekop    </v>
          </cell>
          <cell r="D2572" t="str">
            <v>= 2 buah</v>
          </cell>
        </row>
        <row r="2573">
          <cell r="C2573" t="str">
            <v>- Palu besar</v>
          </cell>
          <cell r="D2573" t="str">
            <v>= 1 buah</v>
          </cell>
        </row>
        <row r="2574">
          <cell r="C2574" t="str">
            <v>- Kereta dorong</v>
          </cell>
          <cell r="D2574" t="str">
            <v>= 6 buah</v>
          </cell>
        </row>
        <row r="2576">
          <cell r="J2576" t="str">
            <v>Berlanjut ke halaman berikut</v>
          </cell>
        </row>
        <row r="2577">
          <cell r="A2577" t="str">
            <v>ITEM PEMBAYARAN NO.</v>
          </cell>
          <cell r="D2577" t="str">
            <v>:  3.2 (4)</v>
          </cell>
          <cell r="J2577">
            <v>0</v>
          </cell>
        </row>
        <row r="2578">
          <cell r="A2578" t="str">
            <v>JENIS PEKERJAAN</v>
          </cell>
          <cell r="D2578" t="str">
            <v xml:space="preserve">:  Timbunan Batu dengan Manual </v>
          </cell>
        </row>
        <row r="2579">
          <cell r="A2579" t="str">
            <v>SATUAN PEMBAYARAN</v>
          </cell>
          <cell r="D2579" t="str">
            <v>:  M3</v>
          </cell>
          <cell r="E2579" t="str">
            <v xml:space="preserve"> </v>
          </cell>
          <cell r="H2579" t="str">
            <v xml:space="preserve">         URAIAN ANALISA HARGA SATUAN</v>
          </cell>
        </row>
        <row r="2580">
          <cell r="J2580" t="str">
            <v>Lanjutan</v>
          </cell>
        </row>
        <row r="2582">
          <cell r="A2582" t="str">
            <v>No.</v>
          </cell>
          <cell r="C2582" t="str">
            <v>U R A I A N</v>
          </cell>
          <cell r="G2582" t="str">
            <v>KODE</v>
          </cell>
          <cell r="H2582" t="str">
            <v>KOEF.</v>
          </cell>
          <cell r="I2582" t="str">
            <v>SATUAN</v>
          </cell>
          <cell r="J2582" t="str">
            <v>KETERANGAN</v>
          </cell>
        </row>
        <row r="2585">
          <cell r="A2585" t="str">
            <v xml:space="preserve">   3.</v>
          </cell>
          <cell r="C2585" t="str">
            <v>TENAGA</v>
          </cell>
        </row>
        <row r="2586">
          <cell r="C2586" t="str">
            <v>Produksi menentukan : DUMP TRUCK</v>
          </cell>
          <cell r="G2586" t="str">
            <v>Q1</v>
          </cell>
          <cell r="H2586">
            <v>54.217741935483872</v>
          </cell>
          <cell r="I2586" t="str">
            <v>M3/Jam</v>
          </cell>
        </row>
        <row r="2587">
          <cell r="C2587" t="str">
            <v>Produksi Timbunan / hari  =  Tk x Q1</v>
          </cell>
          <cell r="G2587" t="str">
            <v>Qt</v>
          </cell>
          <cell r="H2587">
            <v>379.52419354838707</v>
          </cell>
          <cell r="I2587" t="str">
            <v>M3</v>
          </cell>
        </row>
        <row r="2588">
          <cell r="C2588" t="str">
            <v>Kebutuhan tenaga :</v>
          </cell>
        </row>
        <row r="2589">
          <cell r="D2589" t="str">
            <v>- Pekerja</v>
          </cell>
          <cell r="G2589" t="str">
            <v>P</v>
          </cell>
          <cell r="H2589">
            <v>8</v>
          </cell>
          <cell r="I2589" t="str">
            <v>orang</v>
          </cell>
        </row>
        <row r="2590">
          <cell r="D2590" t="str">
            <v>- Mandor</v>
          </cell>
          <cell r="G2590" t="str">
            <v>M</v>
          </cell>
          <cell r="H2590">
            <v>1</v>
          </cell>
          <cell r="I2590" t="str">
            <v>orang</v>
          </cell>
        </row>
        <row r="2593">
          <cell r="C2593" t="str">
            <v>Koefisien tenaga / M3   :</v>
          </cell>
        </row>
        <row r="2594">
          <cell r="D2594" t="str">
            <v>- Pekerja</v>
          </cell>
          <cell r="E2594" t="str">
            <v>= (Tk x P) : Qt</v>
          </cell>
          <cell r="G2594" t="str">
            <v>(L01)</v>
          </cell>
          <cell r="H2594">
            <v>0.14755317566562548</v>
          </cell>
          <cell r="I2594" t="str">
            <v>Jam</v>
          </cell>
        </row>
        <row r="2595">
          <cell r="D2595" t="str">
            <v>- Mandor</v>
          </cell>
          <cell r="E2595" t="str">
            <v>= (Tk x M) : Qt</v>
          </cell>
          <cell r="G2595" t="str">
            <v>(L02)</v>
          </cell>
          <cell r="H2595">
            <v>1.8444146958203185E-2</v>
          </cell>
          <cell r="I2595" t="str">
            <v>Jam</v>
          </cell>
        </row>
        <row r="2598">
          <cell r="A2598" t="str">
            <v>4.</v>
          </cell>
          <cell r="C2598" t="str">
            <v>HARGA DASAR SATUAN UPAH, BAHAN DAN ALAT</v>
          </cell>
        </row>
        <row r="2599">
          <cell r="C2599" t="str">
            <v>Lihat lampiran.</v>
          </cell>
        </row>
        <row r="2602">
          <cell r="A2602" t="str">
            <v>5.</v>
          </cell>
          <cell r="C2602" t="str">
            <v>ANALISA HARGA SATUAN PEKERJAAN</v>
          </cell>
        </row>
        <row r="2603">
          <cell r="C2603" t="str">
            <v>Lihat perhitungan dalam FORMULIR STANDAR UNTUK</v>
          </cell>
        </row>
        <row r="2604">
          <cell r="C2604" t="str">
            <v>PEREKEMAN ANALISA MASING-MASING HARGA</v>
          </cell>
        </row>
        <row r="2605">
          <cell r="C2605" t="str">
            <v>SATUAN.</v>
          </cell>
        </row>
        <row r="2606">
          <cell r="C2606" t="str">
            <v>Didapat Harga Satuan Pekerjaan :</v>
          </cell>
        </row>
        <row r="2608">
          <cell r="C2608" t="str">
            <v xml:space="preserve">Rp.  </v>
          </cell>
          <cell r="D2608">
            <v>162398.24383290968</v>
          </cell>
          <cell r="E2608" t="str">
            <v xml:space="preserve"> / M3</v>
          </cell>
        </row>
      </sheetData>
      <sheetData sheetId="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ck up"/>
      <sheetName val="BOQ"/>
      <sheetName val="UMUM"/>
      <sheetName val="BASIC"/>
      <sheetName val="BATU"/>
      <sheetName val="ALAT"/>
      <sheetName val="AGREGAT"/>
      <sheetName val="DIV1"/>
      <sheetName val="DIV2"/>
      <sheetName val="DIV3"/>
      <sheetName val="DIV4"/>
      <sheetName val="DIV5"/>
      <sheetName val="DIV6"/>
      <sheetName val="DIV7"/>
      <sheetName val="DIV8"/>
      <sheetName val="DIV9"/>
      <sheetName val="DIV10"/>
      <sheetName val="ts"/>
      <sheetName val="escon"/>
      <sheetName val="ANALISA SNI'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DIV4"/>
      <sheetName val="3_DIV4"/>
    </sheetNames>
    <sheetDataSet>
      <sheetData sheetId="0" refreshError="1">
        <row r="1">
          <cell r="A1" t="str">
            <v>ITEM PEMBAYARAN NO.</v>
          </cell>
          <cell r="D1" t="str">
            <v>:  4.2 (1)</v>
          </cell>
          <cell r="J1" t="str">
            <v>Analisa EI-421</v>
          </cell>
          <cell r="T1" t="str">
            <v>Analisa EI-421</v>
          </cell>
        </row>
        <row r="2">
          <cell r="A2" t="str">
            <v>JENIS PEKERJAAN</v>
          </cell>
          <cell r="D2" t="str">
            <v>:  Lps. Pond. Ag. Kls. A, CBR Min 80%</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existing jalan : sedang</v>
          </cell>
          <cell r="L12" t="str">
            <v>ITEM PEMBAYARAN NO.</v>
          </cell>
          <cell r="O12" t="str">
            <v>:  4.2 (1)</v>
          </cell>
          <cell r="R12" t="str">
            <v>PERKIRAAN VOL. PEK.</v>
          </cell>
          <cell r="T12" t="str">
            <v>:</v>
          </cell>
          <cell r="U12">
            <v>0</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 (Rp.)</v>
          </cell>
          <cell r="T13" t="str">
            <v>:</v>
          </cell>
          <cell r="U13">
            <v>0</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t="e">
            <v>#DIV/0!</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Lebar bahu jalan</v>
          </cell>
          <cell r="G17" t="str">
            <v>Lb</v>
          </cell>
          <cell r="H17">
            <v>1</v>
          </cell>
          <cell r="I17" t="str">
            <v>M</v>
          </cell>
          <cell r="Q17" t="str">
            <v>PERKIRAAN</v>
          </cell>
          <cell r="R17" t="str">
            <v>HARGA</v>
          </cell>
          <cell r="S17" t="str">
            <v>JUMLAH</v>
          </cell>
        </row>
        <row r="18">
          <cell r="A18">
            <v>9</v>
          </cell>
          <cell r="C18" t="str">
            <v>Proporsi Campuran :</v>
          </cell>
          <cell r="D18" t="str">
            <v>- Agregat Kasar</v>
          </cell>
          <cell r="G18" t="str">
            <v>Ak</v>
          </cell>
          <cell r="H18">
            <v>55</v>
          </cell>
          <cell r="I18" t="str">
            <v>%</v>
          </cell>
          <cell r="J18" t="str">
            <v xml:space="preserve"> Gradasi harus -</v>
          </cell>
          <cell r="L18" t="str">
            <v>NO.</v>
          </cell>
          <cell r="N18" t="str">
            <v>KOMPONEN</v>
          </cell>
          <cell r="P18" t="str">
            <v>SATUAN</v>
          </cell>
          <cell r="Q18" t="str">
            <v>KUANTITAS</v>
          </cell>
          <cell r="R18" t="str">
            <v>SATUAN</v>
          </cell>
          <cell r="S18" t="str">
            <v>HARGA</v>
          </cell>
        </row>
        <row r="19">
          <cell r="D19" t="str">
            <v>- Agregat Halus</v>
          </cell>
          <cell r="G19" t="str">
            <v>Ah</v>
          </cell>
          <cell r="H19">
            <v>45</v>
          </cell>
          <cell r="I19" t="str">
            <v>%</v>
          </cell>
          <cell r="J19" t="str">
            <v xml:space="preserve"> memenuhi Spec.</v>
          </cell>
          <cell r="R19" t="str">
            <v>(Rp.)</v>
          </cell>
          <cell r="S19" t="str">
            <v>(Rp.)</v>
          </cell>
        </row>
        <row r="20">
          <cell r="A20" t="str">
            <v>II.</v>
          </cell>
          <cell r="C20" t="str">
            <v>URUTAN KERJA</v>
          </cell>
        </row>
        <row r="21">
          <cell r="A21">
            <v>1</v>
          </cell>
          <cell r="C21" t="str">
            <v xml:space="preserve">Wheel Loader mencampur &amp; memuat Agregat ke </v>
          </cell>
        </row>
        <row r="22">
          <cell r="C22" t="str">
            <v>dalam Dump Truck di Base Camp</v>
          </cell>
          <cell r="L22" t="str">
            <v>A.</v>
          </cell>
          <cell r="N22" t="str">
            <v>TENAGA</v>
          </cell>
        </row>
        <row r="23">
          <cell r="A23">
            <v>2</v>
          </cell>
          <cell r="C23" t="str">
            <v>Dump Truck mengangkut Agregat ke lokasi</v>
          </cell>
        </row>
        <row r="24">
          <cell r="C24" t="str">
            <v>pekerjaan dan dihampar dengan Motor Grader</v>
          </cell>
          <cell r="L24" t="str">
            <v>1.</v>
          </cell>
          <cell r="N24" t="str">
            <v>Pekerja</v>
          </cell>
          <cell r="O24" t="str">
            <v>(L01)</v>
          </cell>
          <cell r="P24" t="str">
            <v>Jam</v>
          </cell>
          <cell r="Q24">
            <v>0.24988844265952695</v>
          </cell>
          <cell r="R24">
            <v>2857.14</v>
          </cell>
          <cell r="U24">
            <v>713.96626506024074</v>
          </cell>
        </row>
        <row r="25">
          <cell r="A25">
            <v>3</v>
          </cell>
          <cell r="C25" t="str">
            <v>Hamparan Agregat dibasahi dengan Water Tank Truck</v>
          </cell>
          <cell r="L25" t="str">
            <v>2.</v>
          </cell>
          <cell r="N25" t="str">
            <v>Mandor</v>
          </cell>
          <cell r="O25" t="str">
            <v>(L03)</v>
          </cell>
          <cell r="P25" t="str">
            <v>Jam</v>
          </cell>
          <cell r="Q25">
            <v>3.5698348951360995E-2</v>
          </cell>
          <cell r="R25">
            <v>3214.29</v>
          </cell>
          <cell r="U25">
            <v>114.74484605087014</v>
          </cell>
        </row>
        <row r="26">
          <cell r="C26" t="str">
            <v>sebelum dipadatkan dengan Tandem Roller &amp; PTR</v>
          </cell>
        </row>
        <row r="27">
          <cell r="A27">
            <v>4</v>
          </cell>
          <cell r="C27" t="str">
            <v>Selama pemadatan sekelompok pekerja akan</v>
          </cell>
        </row>
        <row r="28">
          <cell r="C28" t="str">
            <v>merapikan tepi hamparan dan level permukaan</v>
          </cell>
          <cell r="Q28" t="str">
            <v xml:space="preserve">JUMLAH HARGA TENAGA   </v>
          </cell>
          <cell r="U28">
            <v>828.71111111111088</v>
          </cell>
        </row>
        <row r="29">
          <cell r="C29" t="str">
            <v>dengan menggunakan alat bantu</v>
          </cell>
        </row>
        <row r="30">
          <cell r="L30" t="str">
            <v>B.</v>
          </cell>
          <cell r="N30" t="str">
            <v>BAHAN</v>
          </cell>
        </row>
        <row r="31">
          <cell r="A31" t="str">
            <v>III.</v>
          </cell>
          <cell r="C31" t="str">
            <v>PEMAKAIAN BAHAN, ALAT DAN TENAGA</v>
          </cell>
        </row>
        <row r="32">
          <cell r="L32" t="str">
            <v>1.</v>
          </cell>
          <cell r="N32" t="str">
            <v>Agregat Kasar     (M03)</v>
          </cell>
          <cell r="P32" t="str">
            <v>M3</v>
          </cell>
          <cell r="Q32">
            <v>0.66</v>
          </cell>
          <cell r="R32">
            <v>222345.54558042376</v>
          </cell>
          <cell r="U32">
            <v>146748.06008307968</v>
          </cell>
        </row>
        <row r="33">
          <cell r="A33" t="str">
            <v xml:space="preserve">   1.</v>
          </cell>
          <cell r="C33" t="str">
            <v>BAHAN</v>
          </cell>
          <cell r="L33" t="str">
            <v>2.</v>
          </cell>
          <cell r="N33" t="str">
            <v>Agregat Halus     (M04)</v>
          </cell>
          <cell r="P33" t="str">
            <v>M3</v>
          </cell>
          <cell r="Q33">
            <v>0.54</v>
          </cell>
          <cell r="R33">
            <v>194196.70775416915</v>
          </cell>
          <cell r="U33">
            <v>104866.22218725135</v>
          </cell>
        </row>
        <row r="34">
          <cell r="C34" t="str">
            <v>- Agregat Kasar</v>
          </cell>
          <cell r="D34" t="str">
            <v>=  Ak x 1 M3 x Fk</v>
          </cell>
          <cell r="G34" t="str">
            <v>M03</v>
          </cell>
          <cell r="H34">
            <v>0.66</v>
          </cell>
          <cell r="I34" t="str">
            <v>M3</v>
          </cell>
        </row>
        <row r="35">
          <cell r="C35" t="str">
            <v>- Agregat Halus</v>
          </cell>
          <cell r="D35" t="str">
            <v>=  Ah x 1 M3 x Fk</v>
          </cell>
          <cell r="G35" t="str">
            <v>M04</v>
          </cell>
          <cell r="H35">
            <v>0.54</v>
          </cell>
          <cell r="I35" t="str">
            <v>M3</v>
          </cell>
        </row>
        <row r="37">
          <cell r="A37" t="str">
            <v xml:space="preserve">   2.</v>
          </cell>
          <cell r="C37" t="str">
            <v>ALAT</v>
          </cell>
        </row>
        <row r="38">
          <cell r="A38" t="str">
            <v>2.a.</v>
          </cell>
          <cell r="C38" t="str">
            <v>WHEEL LOADER</v>
          </cell>
          <cell r="G38" t="str">
            <v>(E15)</v>
          </cell>
          <cell r="Q38" t="str">
            <v xml:space="preserve">JUMLAH HARGA BAHAN   </v>
          </cell>
          <cell r="U38">
            <v>251614.28227033102</v>
          </cell>
        </row>
        <row r="39">
          <cell r="C39" t="str">
            <v>Kapasitas bucket</v>
          </cell>
          <cell r="G39" t="str">
            <v>V</v>
          </cell>
          <cell r="H39">
            <v>1.5</v>
          </cell>
          <cell r="I39" t="str">
            <v>M3</v>
          </cell>
        </row>
        <row r="40">
          <cell r="C40" t="str">
            <v>Faktor bucket</v>
          </cell>
          <cell r="G40" t="str">
            <v>Fb</v>
          </cell>
          <cell r="H40">
            <v>0.9</v>
          </cell>
          <cell r="I40" t="str">
            <v>-</v>
          </cell>
          <cell r="J40" t="str">
            <v>Pemuatan ringan</v>
          </cell>
          <cell r="L40" t="str">
            <v>C.</v>
          </cell>
          <cell r="N40" t="str">
            <v>PERALATAN</v>
          </cell>
        </row>
        <row r="41">
          <cell r="C41" t="str">
            <v>Faktor Efisiensi alat</v>
          </cell>
          <cell r="G41" t="str">
            <v>Fa</v>
          </cell>
          <cell r="H41">
            <v>0.83</v>
          </cell>
          <cell r="I41" t="str">
            <v>-</v>
          </cell>
        </row>
        <row r="42">
          <cell r="C42" t="str">
            <v>Waktu siklus</v>
          </cell>
          <cell r="G42" t="str">
            <v>Ts1</v>
          </cell>
          <cell r="L42" t="str">
            <v>1</v>
          </cell>
          <cell r="N42" t="str">
            <v>Wheel Loader</v>
          </cell>
          <cell r="O42" t="str">
            <v>E15</v>
          </cell>
          <cell r="P42" t="str">
            <v>Jam</v>
          </cell>
          <cell r="Q42">
            <v>3.5698348951360995E-2</v>
          </cell>
          <cell r="R42">
            <v>163808.13869490434</v>
          </cell>
          <cell r="U42">
            <v>5847.680096203635</v>
          </cell>
        </row>
        <row r="43">
          <cell r="C43" t="str">
            <v>- Mencampur</v>
          </cell>
          <cell r="G43" t="str">
            <v>T1</v>
          </cell>
          <cell r="H43">
            <v>1.5</v>
          </cell>
          <cell r="I43" t="str">
            <v>menit</v>
          </cell>
          <cell r="L43" t="str">
            <v>2</v>
          </cell>
          <cell r="N43" t="str">
            <v>Dump Truck</v>
          </cell>
          <cell r="O43" t="str">
            <v>E09</v>
          </cell>
          <cell r="P43" t="str">
            <v>Jam</v>
          </cell>
          <cell r="Q43">
            <v>0.14542063837680036</v>
          </cell>
          <cell r="R43">
            <v>70230.073977639215</v>
          </cell>
          <cell r="U43">
            <v>10212.90219107821</v>
          </cell>
        </row>
        <row r="44">
          <cell r="C44" t="str">
            <v>- Memuat dan lain-lain</v>
          </cell>
          <cell r="G44" t="str">
            <v>T2</v>
          </cell>
          <cell r="H44">
            <v>0.5</v>
          </cell>
          <cell r="I44" t="str">
            <v>menit</v>
          </cell>
          <cell r="L44" t="str">
            <v>3</v>
          </cell>
          <cell r="N44" t="str">
            <v>Motor Grader</v>
          </cell>
          <cell r="O44" t="str">
            <v>E13</v>
          </cell>
          <cell r="P44" t="str">
            <v>Jam</v>
          </cell>
          <cell r="Q44">
            <v>1.1713520749665328E-2</v>
          </cell>
          <cell r="R44">
            <v>201666.62574070093</v>
          </cell>
          <cell r="U44">
            <v>2362.2262051286921</v>
          </cell>
        </row>
        <row r="45">
          <cell r="G45" t="str">
            <v>Ts1</v>
          </cell>
          <cell r="H45">
            <v>2</v>
          </cell>
          <cell r="I45" t="str">
            <v>menit</v>
          </cell>
          <cell r="L45" t="str">
            <v>4</v>
          </cell>
          <cell r="N45" t="str">
            <v>Tandem Roller</v>
          </cell>
          <cell r="O45" t="str">
            <v>E17</v>
          </cell>
          <cell r="P45" t="str">
            <v>Jam</v>
          </cell>
          <cell r="Q45">
            <v>1.7849174475680501E-2</v>
          </cell>
          <cell r="R45">
            <v>293927.19306224468</v>
          </cell>
          <cell r="U45">
            <v>5246.3577521150328</v>
          </cell>
        </row>
        <row r="46">
          <cell r="L46" t="str">
            <v>5</v>
          </cell>
          <cell r="N46" t="str">
            <v>Water Tanker</v>
          </cell>
          <cell r="O46" t="str">
            <v>E23</v>
          </cell>
          <cell r="P46" t="str">
            <v>Jam</v>
          </cell>
          <cell r="Q46">
            <v>2.1084337349397592E-2</v>
          </cell>
          <cell r="R46">
            <v>67020.510980434308</v>
          </cell>
          <cell r="U46">
            <v>1413.0830628404826</v>
          </cell>
        </row>
        <row r="47">
          <cell r="C47" t="str">
            <v>Kap. Prod. / jam =</v>
          </cell>
          <cell r="D47" t="str">
            <v>V x Fb x Fa x 60</v>
          </cell>
          <cell r="G47" t="str">
            <v>Q1</v>
          </cell>
          <cell r="H47">
            <v>28.012500000000003</v>
          </cell>
          <cell r="I47" t="str">
            <v>M3</v>
          </cell>
          <cell r="L47" t="str">
            <v>6</v>
          </cell>
          <cell r="N47" t="str">
            <v>Alat Bantu</v>
          </cell>
          <cell r="P47" t="str">
            <v>Ls</v>
          </cell>
          <cell r="Q47">
            <v>1</v>
          </cell>
          <cell r="R47">
            <v>75</v>
          </cell>
          <cell r="U47">
            <v>75</v>
          </cell>
        </row>
        <row r="48">
          <cell r="D48" t="str">
            <v>Fk x Ts1</v>
          </cell>
        </row>
        <row r="49">
          <cell r="C49" t="str">
            <v>Koefisien Alat / M3</v>
          </cell>
          <cell r="D49" t="str">
            <v xml:space="preserve"> =  1  :  Q1</v>
          </cell>
          <cell r="G49" t="str">
            <v>(E15)</v>
          </cell>
          <cell r="H49">
            <v>3.5698348951360995E-2</v>
          </cell>
          <cell r="I49" t="str">
            <v>Jam</v>
          </cell>
        </row>
        <row r="50">
          <cell r="Q50" t="str">
            <v xml:space="preserve">JUMLAH HARGA PERALATAN   </v>
          </cell>
          <cell r="U50">
            <v>25157.249307366055</v>
          </cell>
        </row>
        <row r="51">
          <cell r="A51" t="str">
            <v>2.b.</v>
          </cell>
          <cell r="C51" t="str">
            <v>DUMP TRUCK</v>
          </cell>
          <cell r="G51" t="str">
            <v>(E09)</v>
          </cell>
        </row>
        <row r="52">
          <cell r="C52" t="str">
            <v>Kapasitas bak</v>
          </cell>
          <cell r="G52" t="str">
            <v>V</v>
          </cell>
          <cell r="H52">
            <v>6</v>
          </cell>
          <cell r="I52" t="str">
            <v>M3</v>
          </cell>
          <cell r="L52" t="str">
            <v>D.</v>
          </cell>
          <cell r="N52" t="str">
            <v>JUMLAH HARGA TENAGA, BAHAN DAN PERALATAN  ( A + B + C )</v>
          </cell>
          <cell r="U52">
            <v>277600.24268880818</v>
          </cell>
        </row>
        <row r="53">
          <cell r="C53" t="str">
            <v>Faktor Efisiensi alat</v>
          </cell>
          <cell r="G53" t="str">
            <v>Fa</v>
          </cell>
          <cell r="H53">
            <v>0.83</v>
          </cell>
          <cell r="I53" t="str">
            <v>-</v>
          </cell>
          <cell r="L53" t="str">
            <v>E.</v>
          </cell>
          <cell r="N53" t="str">
            <v>OVERHEAD &amp; PROFIT</v>
          </cell>
          <cell r="P53">
            <v>10</v>
          </cell>
          <cell r="Q53" t="str">
            <v>%  x  D</v>
          </cell>
          <cell r="U53">
            <v>27760.024268880821</v>
          </cell>
        </row>
        <row r="54">
          <cell r="C54" t="str">
            <v>Kecepatan rata-rata bermuatan</v>
          </cell>
          <cell r="G54" t="str">
            <v>v1</v>
          </cell>
          <cell r="H54">
            <v>45</v>
          </cell>
          <cell r="I54" t="str">
            <v>KM / Jam</v>
          </cell>
          <cell r="L54" t="str">
            <v>F.</v>
          </cell>
          <cell r="N54" t="str">
            <v>HARGA SATUAN PEKERJAAN  ( D + E )</v>
          </cell>
          <cell r="U54">
            <v>305360.26695768902</v>
          </cell>
        </row>
        <row r="55">
          <cell r="C55" t="str">
            <v>Kecepatan rata-rata kosong</v>
          </cell>
          <cell r="G55" t="str">
            <v>v2</v>
          </cell>
          <cell r="H55">
            <v>60</v>
          </cell>
          <cell r="I55" t="str">
            <v>KM / Jam</v>
          </cell>
          <cell r="L55" t="str">
            <v>Note: 1</v>
          </cell>
          <cell r="N55" t="str">
            <v>SATUAN dapat berdasarkan atas jam operasi untuk Tenaga Kerja dan Peralatan, volume dan/atau ukuran</v>
          </cell>
        </row>
        <row r="56">
          <cell r="C56" t="str">
            <v>Waktu Siklus  :  - Waktu memuat = V : Q1 x 60</v>
          </cell>
          <cell r="G56" t="str">
            <v>T1</v>
          </cell>
          <cell r="H56">
            <v>12.851405622489958</v>
          </cell>
          <cell r="I56" t="str">
            <v>menit</v>
          </cell>
          <cell r="N56" t="str">
            <v>berat untuk bahan-bahan.</v>
          </cell>
        </row>
        <row r="57">
          <cell r="C57" t="str">
            <v>- Waktu tempuh isi = (L : v1) x 60 menit</v>
          </cell>
          <cell r="G57" t="str">
            <v>T2</v>
          </cell>
          <cell r="H57">
            <v>11.633333333333333</v>
          </cell>
          <cell r="I57" t="str">
            <v>menit</v>
          </cell>
          <cell r="L57">
            <v>2</v>
          </cell>
          <cell r="N57" t="str">
            <v>Kuantitas satuan adalah kuantitas setiap komponen untuk menyelesaikan satu satuan pekerjaan dari nomor</v>
          </cell>
        </row>
        <row r="58">
          <cell r="C58" t="str">
            <v>- Waktu tempuh kosong = (L : v2) x 60 menit</v>
          </cell>
          <cell r="G58" t="str">
            <v>T3</v>
          </cell>
          <cell r="H58">
            <v>8.7249999999999996</v>
          </cell>
          <cell r="I58" t="str">
            <v>menit</v>
          </cell>
          <cell r="N58" t="str">
            <v>mata pembayaran.</v>
          </cell>
        </row>
        <row r="59">
          <cell r="C59" t="str">
            <v>- Lain-lain termasuk menurunkan Agregat</v>
          </cell>
          <cell r="G59" t="str">
            <v>T4</v>
          </cell>
          <cell r="H59">
            <v>3</v>
          </cell>
          <cell r="I59" t="str">
            <v>menit</v>
          </cell>
          <cell r="L59">
            <v>3</v>
          </cell>
          <cell r="N59" t="str">
            <v>Biaya satuan untuk peralatan sudah termasuk bahan bakar, bahan habis dipakai dan operator.</v>
          </cell>
        </row>
        <row r="60">
          <cell r="G60" t="str">
            <v>Ts2</v>
          </cell>
          <cell r="H60">
            <v>36.20973895582329</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4.2 (1)</v>
          </cell>
          <cell r="J62" t="str">
            <v>Analisa EI-421</v>
          </cell>
        </row>
        <row r="63">
          <cell r="A63" t="str">
            <v>JENIS PEKERJAAN</v>
          </cell>
          <cell r="D63" t="str">
            <v>:  Lps. Pond. Ag. Kls. A, CBR Min 80%</v>
          </cell>
        </row>
        <row r="64">
          <cell r="A64" t="str">
            <v>SATUAN PEMBAYARAN</v>
          </cell>
          <cell r="D64" t="str">
            <v>:  M3</v>
          </cell>
          <cell r="J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 xml:space="preserve">Kap. Prod./jam = </v>
          </cell>
          <cell r="D70" t="str">
            <v>V x Fa x 60</v>
          </cell>
          <cell r="G70" t="str">
            <v>Q2</v>
          </cell>
          <cell r="H70">
            <v>6.8766030129017413</v>
          </cell>
          <cell r="I70" t="str">
            <v>M3</v>
          </cell>
        </row>
        <row r="71">
          <cell r="D71" t="str">
            <v>Fk x Ts2</v>
          </cell>
        </row>
        <row r="72">
          <cell r="C72" t="str">
            <v>Koefisien Alat / M3 = 1 : Q2</v>
          </cell>
          <cell r="D72" t="str">
            <v xml:space="preserve"> =  1 : Q2</v>
          </cell>
          <cell r="G72" t="str">
            <v>(E08)</v>
          </cell>
          <cell r="H72">
            <v>0.14542063837680036</v>
          </cell>
          <cell r="I72" t="str">
            <v>Jam</v>
          </cell>
        </row>
        <row r="74">
          <cell r="A74" t="str">
            <v>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 / Jam</v>
          </cell>
        </row>
        <row r="79">
          <cell r="C79" t="str">
            <v>Jumlah lintasan</v>
          </cell>
          <cell r="G79" t="str">
            <v>n</v>
          </cell>
          <cell r="H79">
            <v>6</v>
          </cell>
          <cell r="I79" t="str">
            <v>lintasan</v>
          </cell>
          <cell r="J79" t="str">
            <v>3 x pp</v>
          </cell>
        </row>
        <row r="80">
          <cell r="C80" t="str">
            <v>Waktu Siklus</v>
          </cell>
          <cell r="G80" t="str">
            <v>Ts3</v>
          </cell>
        </row>
        <row r="81">
          <cell r="C81" t="str">
            <v>- Perataan 1 lintasan  = (Lh x 60) : (v x 1000)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2.d.</v>
          </cell>
          <cell r="C89" t="str">
            <v>TANDEM ROLLER</v>
          </cell>
          <cell r="G89" t="str">
            <v>(E17)</v>
          </cell>
        </row>
        <row r="90">
          <cell r="C90" t="str">
            <v>Kecepatan rata-rata</v>
          </cell>
          <cell r="G90" t="str">
            <v>v</v>
          </cell>
          <cell r="H90">
            <v>3</v>
          </cell>
          <cell r="I90" t="str">
            <v>KM / 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(E17)</v>
          </cell>
          <cell r="H97">
            <v>1.7849174475680501E-2</v>
          </cell>
          <cell r="I97" t="str">
            <v>Jam</v>
          </cell>
        </row>
        <row r="99">
          <cell r="A99" t="str">
            <v>2.e.</v>
          </cell>
          <cell r="C99" t="str">
            <v>WATERTANK TRUCK</v>
          </cell>
          <cell r="G99" t="str">
            <v>(E23)</v>
          </cell>
        </row>
        <row r="100">
          <cell r="C100" t="str">
            <v>Volume tangki air</v>
          </cell>
          <cell r="G100" t="str">
            <v>V</v>
          </cell>
          <cell r="H100">
            <v>4</v>
          </cell>
          <cell r="I100" t="str">
            <v>M3</v>
          </cell>
        </row>
        <row r="101">
          <cell r="C101" t="str">
            <v>Kebutuhan air / M3 agregat padat</v>
          </cell>
          <cell r="G101" t="str">
            <v>Wc</v>
          </cell>
          <cell r="H101">
            <v>7.0000000000000007E-2</v>
          </cell>
          <cell r="I101" t="str">
            <v>M3</v>
          </cell>
        </row>
        <row r="102">
          <cell r="C102" t="str">
            <v>Pengisian tangki / jam</v>
          </cell>
          <cell r="G102" t="str">
            <v>n</v>
          </cell>
          <cell r="H102">
            <v>1</v>
          </cell>
          <cell r="I102" t="str">
            <v>kali</v>
          </cell>
        </row>
        <row r="103">
          <cell r="C103" t="str">
            <v>Faktor Efisiensi alat</v>
          </cell>
          <cell r="G103" t="str">
            <v>Fa</v>
          </cell>
          <cell r="H103">
            <v>0.83</v>
          </cell>
          <cell r="I103" t="str">
            <v>-</v>
          </cell>
        </row>
        <row r="105">
          <cell r="C105" t="str">
            <v>Kap.Prod. / jam =</v>
          </cell>
          <cell r="D105" t="str">
            <v>V x n x Fa</v>
          </cell>
          <cell r="G105" t="str">
            <v>Q5</v>
          </cell>
          <cell r="H105">
            <v>47.428571428571423</v>
          </cell>
          <cell r="I105" t="str">
            <v>M3</v>
          </cell>
        </row>
        <row r="106">
          <cell r="D106" t="str">
            <v>Wc</v>
          </cell>
        </row>
        <row r="107">
          <cell r="C107" t="str">
            <v>Koefisien Alat / M3</v>
          </cell>
          <cell r="D107" t="str">
            <v xml:space="preserve"> = 1 : Q5</v>
          </cell>
          <cell r="G107" t="str">
            <v>(E23)</v>
          </cell>
          <cell r="H107">
            <v>2.1084337349397592E-2</v>
          </cell>
          <cell r="I107" t="str">
            <v>Jam</v>
          </cell>
        </row>
        <row r="110">
          <cell r="A110" t="str">
            <v>2.g.</v>
          </cell>
          <cell r="C110" t="str">
            <v>ALAT BANTU</v>
          </cell>
        </row>
        <row r="111">
          <cell r="C111" t="str">
            <v>diperlukan :</v>
          </cell>
          <cell r="J111" t="str">
            <v>Lump Sum</v>
          </cell>
        </row>
        <row r="112">
          <cell r="C112" t="str">
            <v>- Kereta dorong     = 2 buah</v>
          </cell>
        </row>
        <row r="113">
          <cell r="C113" t="str">
            <v>- Sekop                = 3 buah</v>
          </cell>
        </row>
        <row r="114">
          <cell r="C114" t="str">
            <v>- Garpu                = 2 buah</v>
          </cell>
        </row>
        <row r="120">
          <cell r="J120" t="str">
            <v>Berlanjut ke halaman berikut</v>
          </cell>
        </row>
        <row r="121">
          <cell r="A121" t="str">
            <v>ITEM PEMBAYARAN NO.</v>
          </cell>
          <cell r="D121" t="str">
            <v>:  4.2 (1)</v>
          </cell>
          <cell r="J121" t="str">
            <v>Analisa EI-421</v>
          </cell>
        </row>
        <row r="122">
          <cell r="A122" t="str">
            <v>JENIS PEKERJAAN</v>
          </cell>
          <cell r="D122" t="str">
            <v>:  Lps. Pond. Ag. Kls. A, CBR Min 80%</v>
          </cell>
        </row>
        <row r="123">
          <cell r="A123" t="str">
            <v>SATUAN PEMBAYARAN</v>
          </cell>
          <cell r="D123" t="str">
            <v>:  M3</v>
          </cell>
          <cell r="J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3.</v>
          </cell>
          <cell r="C129" t="str">
            <v>TENAGA</v>
          </cell>
        </row>
        <row r="130">
          <cell r="C130" t="str">
            <v>Produksi menentukan : WHEEL LOADER</v>
          </cell>
          <cell r="G130" t="str">
            <v>Q1</v>
          </cell>
          <cell r="H130">
            <v>28.012500000000003</v>
          </cell>
          <cell r="I130" t="str">
            <v>M3/Jam</v>
          </cell>
        </row>
        <row r="131">
          <cell r="C131" t="str">
            <v>Produksi Agregat / hari  =  Tk x Q1</v>
          </cell>
          <cell r="G131" t="str">
            <v>Qt</v>
          </cell>
          <cell r="H131">
            <v>196.08750000000003</v>
          </cell>
          <cell r="I131" t="str">
            <v>M3</v>
          </cell>
        </row>
        <row r="132">
          <cell r="C132" t="str">
            <v>Kebutuhan tenaga :</v>
          </cell>
        </row>
        <row r="133">
          <cell r="D133" t="str">
            <v>- Pekerja</v>
          </cell>
          <cell r="G133" t="str">
            <v>P</v>
          </cell>
          <cell r="H133">
            <v>7</v>
          </cell>
          <cell r="I133" t="str">
            <v>orang</v>
          </cell>
        </row>
        <row r="134">
          <cell r="D134" t="str">
            <v>- Mandor</v>
          </cell>
          <cell r="G134" t="str">
            <v>M</v>
          </cell>
          <cell r="H134">
            <v>1</v>
          </cell>
          <cell r="I134" t="str">
            <v>orang</v>
          </cell>
        </row>
        <row r="136">
          <cell r="C136" t="str">
            <v>Koefisien tenaga / M3     :</v>
          </cell>
        </row>
        <row r="137">
          <cell r="D137" t="str">
            <v>- Pekerja</v>
          </cell>
          <cell r="E137" t="str">
            <v>= (Tk x P) : Qt</v>
          </cell>
          <cell r="G137" t="str">
            <v>(L01)</v>
          </cell>
          <cell r="H137">
            <v>0.24988844265952695</v>
          </cell>
          <cell r="I137" t="str">
            <v>Jam</v>
          </cell>
        </row>
        <row r="138">
          <cell r="D138" t="str">
            <v>- Mandor</v>
          </cell>
          <cell r="E138" t="str">
            <v>= (Tk x M) : Qt</v>
          </cell>
          <cell r="G138" t="str">
            <v>(L03)</v>
          </cell>
          <cell r="H138">
            <v>3.5698348951360995E-2</v>
          </cell>
          <cell r="I138" t="str">
            <v>Jam</v>
          </cell>
        </row>
        <row r="141">
          <cell r="A141" t="str">
            <v>4.</v>
          </cell>
          <cell r="C141" t="str">
            <v>HARGA DASAR SATUAN UPAH, BAHAN DAN ALAT</v>
          </cell>
        </row>
        <row r="142">
          <cell r="C142" t="str">
            <v>Lihat lampiran.</v>
          </cell>
        </row>
        <row r="144">
          <cell r="A144" t="str">
            <v>5.</v>
          </cell>
          <cell r="C144" t="str">
            <v>ANALISA HARGA SATUAN PEKERJAAN</v>
          </cell>
        </row>
        <row r="145">
          <cell r="C145" t="str">
            <v>Lihat perhitungan dalam FORMULIR STANDAR UNTUK</v>
          </cell>
        </row>
        <row r="146">
          <cell r="C146" t="str">
            <v>PEREKEMAN ANALISA MASING-MASING HARGA</v>
          </cell>
        </row>
        <row r="147">
          <cell r="C147" t="str">
            <v>SATUAN.</v>
          </cell>
        </row>
        <row r="148">
          <cell r="C148" t="str">
            <v>Didapat Harga Satuan Pekerjaan :</v>
          </cell>
        </row>
        <row r="150">
          <cell r="C150" t="str">
            <v xml:space="preserve">Rp.  </v>
          </cell>
          <cell r="D150">
            <v>305360.26695768902</v>
          </cell>
          <cell r="E150" t="str">
            <v xml:space="preserve"> / M3.</v>
          </cell>
        </row>
        <row r="153">
          <cell r="A153" t="str">
            <v>6.</v>
          </cell>
          <cell r="C153" t="str">
            <v>WAKTU PELAKSANAAN YANG DIPERLUKAN</v>
          </cell>
        </row>
        <row r="154">
          <cell r="C154" t="str">
            <v>Waktu pelaksanaan</v>
          </cell>
          <cell r="D154" t="str">
            <v>:  . . . . . . .  bulan</v>
          </cell>
        </row>
        <row r="156">
          <cell r="A156" t="str">
            <v>7.</v>
          </cell>
          <cell r="C156" t="str">
            <v>VOLUME PEKERJAAN YANG DIPERLUKAN</v>
          </cell>
        </row>
        <row r="157">
          <cell r="C157" t="str">
            <v>Volume pekerjaan  :</v>
          </cell>
          <cell r="D157">
            <v>0</v>
          </cell>
          <cell r="E157" t="str">
            <v>M3</v>
          </cell>
        </row>
        <row r="180">
          <cell r="A180" t="str">
            <v>ITEM PEMBAYARAN NO.</v>
          </cell>
          <cell r="D180" t="str">
            <v>:  4.2 (2)</v>
          </cell>
          <cell r="J180" t="str">
            <v>Analisa EI-422</v>
          </cell>
          <cell r="T180" t="str">
            <v>Analisa EI-422</v>
          </cell>
        </row>
        <row r="181">
          <cell r="A181" t="str">
            <v>JENIS PEKERJAAN</v>
          </cell>
          <cell r="D181" t="str">
            <v>:  Lps. Pond. Ag. Kls. B, CBR Min 35%</v>
          </cell>
        </row>
        <row r="182">
          <cell r="A182" t="str">
            <v>SATUAN PEMBAYARAN</v>
          </cell>
          <cell r="D182" t="str">
            <v>:  M3</v>
          </cell>
          <cell r="J182" t="str">
            <v xml:space="preserve">         URAIAN ANALISA HARGA SATUAN</v>
          </cell>
          <cell r="L182" t="str">
            <v>FORMULIR STANDAR UNTUK</v>
          </cell>
        </row>
        <row r="183">
          <cell r="L183" t="str">
            <v>PEREKAMAN ANALISA MASING-MASING HARGA SATUAN</v>
          </cell>
        </row>
        <row r="184">
          <cell r="L184" t="str">
            <v xml:space="preserve">                                                                                                            </v>
          </cell>
        </row>
        <row r="185">
          <cell r="A185" t="str">
            <v>No.</v>
          </cell>
          <cell r="C185" t="str">
            <v>U R A I A N</v>
          </cell>
          <cell r="G185" t="str">
            <v>KODE</v>
          </cell>
          <cell r="H185" t="str">
            <v>KOEF.</v>
          </cell>
          <cell r="I185" t="str">
            <v>SATUAN</v>
          </cell>
          <cell r="J185" t="str">
            <v>KETERANGAN</v>
          </cell>
        </row>
        <row r="187">
          <cell r="L187" t="str">
            <v>PROYEK</v>
          </cell>
          <cell r="O187" t="str">
            <v>:</v>
          </cell>
        </row>
        <row r="188">
          <cell r="A188" t="str">
            <v>I.</v>
          </cell>
          <cell r="C188" t="str">
            <v>ASUMSI</v>
          </cell>
          <cell r="L188" t="str">
            <v>No. PAKET KONTRAK</v>
          </cell>
          <cell r="O188" t="str">
            <v>:</v>
          </cell>
        </row>
        <row r="189">
          <cell r="A189">
            <v>1</v>
          </cell>
          <cell r="C189" t="str">
            <v>Menggunakan alat berat (cara mekanik)</v>
          </cell>
          <cell r="L189" t="str">
            <v>NAMA PAKET</v>
          </cell>
          <cell r="O189" t="str">
            <v>:</v>
          </cell>
        </row>
        <row r="190">
          <cell r="A190">
            <v>2</v>
          </cell>
          <cell r="C190" t="str">
            <v>Lokasi pekerjaan : sepanjang jalan</v>
          </cell>
          <cell r="L190" t="str">
            <v>PROP / KAB / KODYA</v>
          </cell>
          <cell r="O190" t="str">
            <v>:</v>
          </cell>
        </row>
        <row r="191">
          <cell r="A191">
            <v>3</v>
          </cell>
          <cell r="C191" t="str">
            <v>Kondisi existing jalan : sedang</v>
          </cell>
          <cell r="L191" t="str">
            <v>ITEM PEMBAYARAN NO.</v>
          </cell>
          <cell r="O191" t="str">
            <v>:  4.2 (2)</v>
          </cell>
          <cell r="R191" t="str">
            <v>PERKIRAAN VOL. PEK.</v>
          </cell>
          <cell r="T191" t="str">
            <v>:</v>
          </cell>
          <cell r="U191">
            <v>0</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 (Rp.)</v>
          </cell>
          <cell r="T192" t="str">
            <v>:</v>
          </cell>
          <cell r="U192">
            <v>3711291.7469440131</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t="e">
            <v>#DIV/0!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Lebar bahu jalan</v>
          </cell>
          <cell r="G196" t="str">
            <v>Lb</v>
          </cell>
          <cell r="H196">
            <v>1</v>
          </cell>
          <cell r="I196" t="str">
            <v>M</v>
          </cell>
          <cell r="Q196" t="str">
            <v>PERKIRAAN</v>
          </cell>
          <cell r="R196" t="str">
            <v>HARGA</v>
          </cell>
          <cell r="S196" t="str">
            <v>JUMLAH</v>
          </cell>
        </row>
        <row r="197">
          <cell r="A197">
            <v>9</v>
          </cell>
          <cell r="C197" t="str">
            <v>Proporsi Campuran :</v>
          </cell>
          <cell r="D197" t="str">
            <v>- Agregat Kasar</v>
          </cell>
          <cell r="G197" t="str">
            <v>Ak</v>
          </cell>
          <cell r="H197">
            <v>35</v>
          </cell>
          <cell r="I197" t="str">
            <v>%</v>
          </cell>
          <cell r="J197" t="str">
            <v xml:space="preserve"> Gradasi harus</v>
          </cell>
          <cell r="L197" t="str">
            <v>NO.</v>
          </cell>
          <cell r="N197" t="str">
            <v>KOMPONEN</v>
          </cell>
          <cell r="P197" t="str">
            <v>SATUAN</v>
          </cell>
          <cell r="Q197" t="str">
            <v>KUANTITAS</v>
          </cell>
          <cell r="R197" t="str">
            <v>SATUAN</v>
          </cell>
          <cell r="S197" t="str">
            <v>HARGA</v>
          </cell>
        </row>
        <row r="198">
          <cell r="D198" t="str">
            <v>- Agregat Halus</v>
          </cell>
          <cell r="G198" t="str">
            <v>Ah</v>
          </cell>
          <cell r="H198">
            <v>20</v>
          </cell>
          <cell r="I198" t="str">
            <v>%</v>
          </cell>
          <cell r="J198" t="str">
            <v xml:space="preserve"> memenuhi</v>
          </cell>
          <cell r="R198" t="str">
            <v>(Rp.)</v>
          </cell>
          <cell r="S198" t="str">
            <v>(Rp.)</v>
          </cell>
        </row>
        <row r="199">
          <cell r="D199" t="str">
            <v>- Sirtu</v>
          </cell>
          <cell r="G199" t="str">
            <v>St</v>
          </cell>
          <cell r="H199">
            <v>45</v>
          </cell>
          <cell r="I199" t="str">
            <v>%</v>
          </cell>
          <cell r="J199" t="str">
            <v xml:space="preserve"> Spesifikasi</v>
          </cell>
        </row>
        <row r="200">
          <cell r="A200" t="str">
            <v>II.</v>
          </cell>
          <cell r="C200" t="str">
            <v>URUTAN KERJA</v>
          </cell>
        </row>
        <row r="201">
          <cell r="A201">
            <v>1</v>
          </cell>
          <cell r="C201" t="str">
            <v xml:space="preserve">Wheel Loader mencampur &amp; memuat Agregat ke </v>
          </cell>
          <cell r="L201" t="str">
            <v>A.</v>
          </cell>
          <cell r="N201" t="str">
            <v>TENAGA</v>
          </cell>
        </row>
        <row r="202">
          <cell r="C202" t="str">
            <v>dalam Dump Truck di Base Camp</v>
          </cell>
        </row>
        <row r="203">
          <cell r="A203">
            <v>2</v>
          </cell>
          <cell r="C203" t="str">
            <v>Dump Truck mengangkut Agregat ke lokasi</v>
          </cell>
          <cell r="L203" t="str">
            <v>1.</v>
          </cell>
          <cell r="N203" t="str">
            <v>Pekerja</v>
          </cell>
          <cell r="O203" t="str">
            <v>(L01)</v>
          </cell>
          <cell r="P203" t="str">
            <v>Jam</v>
          </cell>
          <cell r="Q203">
            <v>0.24988844265952695</v>
          </cell>
          <cell r="R203">
            <v>2857.14</v>
          </cell>
          <cell r="U203">
            <v>713.96626506024074</v>
          </cell>
        </row>
        <row r="204">
          <cell r="C204" t="str">
            <v>pekerjaan dan dihampar dengan Motor Grader</v>
          </cell>
          <cell r="L204" t="str">
            <v>2.</v>
          </cell>
          <cell r="N204" t="str">
            <v>Mandor</v>
          </cell>
          <cell r="O204" t="str">
            <v>(L03)</v>
          </cell>
          <cell r="P204" t="str">
            <v>Jam</v>
          </cell>
          <cell r="Q204">
            <v>3.5698348951360995E-2</v>
          </cell>
          <cell r="R204">
            <v>3214.29</v>
          </cell>
          <cell r="U204">
            <v>114.74484605087014</v>
          </cell>
        </row>
        <row r="205">
          <cell r="A205">
            <v>3</v>
          </cell>
          <cell r="C205" t="str">
            <v>Hamparan Agregat dibasahi dengan Water Tank Truck</v>
          </cell>
        </row>
        <row r="206">
          <cell r="C206" t="str">
            <v>sebelum dipadatkan dengan Tandem Roller &amp; PTR</v>
          </cell>
        </row>
        <row r="207">
          <cell r="A207">
            <v>4</v>
          </cell>
          <cell r="C207" t="str">
            <v>Selama pemadatan sekelompok pekerja akan</v>
          </cell>
          <cell r="Q207" t="str">
            <v xml:space="preserve">JUMLAH HARGA TENAGA   </v>
          </cell>
          <cell r="U207">
            <v>828.71111111111088</v>
          </cell>
        </row>
        <row r="208">
          <cell r="C208" t="str">
            <v>merapikan tepi hamparan dan level permukaan</v>
          </cell>
        </row>
        <row r="209">
          <cell r="C209" t="str">
            <v>dengan menggunakan alat bantu</v>
          </cell>
          <cell r="L209" t="str">
            <v>B.</v>
          </cell>
          <cell r="N209" t="str">
            <v>BAHAN</v>
          </cell>
        </row>
        <row r="211">
          <cell r="A211" t="str">
            <v>III.</v>
          </cell>
          <cell r="C211" t="str">
            <v>PEMAKAIAN BAHAN, ALAT DAN TENAGA</v>
          </cell>
          <cell r="L211" t="str">
            <v>1.</v>
          </cell>
          <cell r="N211" t="str">
            <v>Agregat Kasar     (M03)</v>
          </cell>
          <cell r="P211" t="str">
            <v>M3</v>
          </cell>
          <cell r="Q211">
            <v>0.42</v>
          </cell>
          <cell r="R211">
            <v>222345.54558042376</v>
          </cell>
          <cell r="U211">
            <v>93385.129143777973</v>
          </cell>
        </row>
        <row r="212">
          <cell r="A212" t="str">
            <v xml:space="preserve">   1.</v>
          </cell>
          <cell r="C212" t="str">
            <v>BAHAN</v>
          </cell>
          <cell r="L212" t="str">
            <v>2.</v>
          </cell>
          <cell r="N212" t="str">
            <v>Agregat Halus     (M04)</v>
          </cell>
          <cell r="P212" t="str">
            <v>M3</v>
          </cell>
          <cell r="Q212">
            <v>0.24</v>
          </cell>
          <cell r="R212">
            <v>194196.70775416915</v>
          </cell>
          <cell r="U212">
            <v>46607.209861000592</v>
          </cell>
        </row>
        <row r="213">
          <cell r="C213" t="str">
            <v>- Agregat Kasar</v>
          </cell>
          <cell r="D213" t="str">
            <v>=  Ak x 1 M3 x Fk</v>
          </cell>
          <cell r="G213" t="str">
            <v>M03</v>
          </cell>
          <cell r="H213">
            <v>0.42</v>
          </cell>
          <cell r="I213" t="str">
            <v>M3</v>
          </cell>
          <cell r="L213" t="str">
            <v>3.</v>
          </cell>
          <cell r="N213" t="str">
            <v>Sirtu</v>
          </cell>
          <cell r="O213" t="str">
            <v>(M16)</v>
          </cell>
          <cell r="P213" t="str">
            <v>M3</v>
          </cell>
          <cell r="Q213">
            <v>0.54</v>
          </cell>
          <cell r="R213">
            <v>264500</v>
          </cell>
          <cell r="U213">
            <v>142830</v>
          </cell>
        </row>
        <row r="214">
          <cell r="C214" t="str">
            <v>- Agregat Halus</v>
          </cell>
          <cell r="D214" t="str">
            <v>=  Ah x 1 M3 x Fk</v>
          </cell>
          <cell r="G214" t="str">
            <v>M04</v>
          </cell>
          <cell r="H214">
            <v>0.24</v>
          </cell>
          <cell r="I214" t="str">
            <v>M3</v>
          </cell>
        </row>
        <row r="215">
          <cell r="C215" t="str">
            <v>- Sirtu</v>
          </cell>
          <cell r="D215" t="str">
            <v>=  St x 1 M3 x Fk</v>
          </cell>
          <cell r="G215" t="str">
            <v>M16</v>
          </cell>
          <cell r="H215">
            <v>0.54</v>
          </cell>
          <cell r="I215" t="str">
            <v>M3</v>
          </cell>
        </row>
        <row r="216">
          <cell r="A216" t="str">
            <v xml:space="preserve">   2.</v>
          </cell>
          <cell r="C216" t="str">
            <v>ALAT</v>
          </cell>
        </row>
        <row r="217">
          <cell r="A217" t="str">
            <v>2.a.</v>
          </cell>
          <cell r="C217" t="str">
            <v>WHEEL LOADER</v>
          </cell>
          <cell r="G217" t="str">
            <v>(E15)</v>
          </cell>
          <cell r="Q217" t="str">
            <v xml:space="preserve">JUMLAH HARGA BAHAN   </v>
          </cell>
          <cell r="U217">
            <v>282822.33900477854</v>
          </cell>
        </row>
        <row r="218">
          <cell r="C218" t="str">
            <v>Kapasitas bucket</v>
          </cell>
          <cell r="G218" t="str">
            <v>V</v>
          </cell>
          <cell r="H218">
            <v>1.5</v>
          </cell>
          <cell r="I218" t="str">
            <v>M3</v>
          </cell>
        </row>
        <row r="219">
          <cell r="C219" t="str">
            <v>Faktor bucket</v>
          </cell>
          <cell r="G219" t="str">
            <v>Fb</v>
          </cell>
          <cell r="H219">
            <v>0.9</v>
          </cell>
          <cell r="I219" t="str">
            <v>-</v>
          </cell>
          <cell r="J219" t="str">
            <v>Pemuatan ringan</v>
          </cell>
          <cell r="L219" t="str">
            <v>C.</v>
          </cell>
          <cell r="N219" t="str">
            <v>PERALATAN</v>
          </cell>
        </row>
        <row r="220">
          <cell r="C220" t="str">
            <v>Faktor Efisiensi alat</v>
          </cell>
          <cell r="G220" t="str">
            <v>Fa</v>
          </cell>
          <cell r="H220">
            <v>0.83</v>
          </cell>
          <cell r="I220" t="str">
            <v>-</v>
          </cell>
        </row>
        <row r="221">
          <cell r="C221" t="str">
            <v>Waktu siklus</v>
          </cell>
          <cell r="G221" t="str">
            <v>Ts1</v>
          </cell>
          <cell r="L221" t="str">
            <v>1</v>
          </cell>
          <cell r="N221" t="str">
            <v>Wheel Loader</v>
          </cell>
          <cell r="O221" t="str">
            <v>E15</v>
          </cell>
          <cell r="P221" t="str">
            <v>Jam</v>
          </cell>
          <cell r="Q221">
            <v>3.5698348951360995E-2</v>
          </cell>
          <cell r="R221">
            <v>163808.13869490434</v>
          </cell>
          <cell r="U221">
            <v>5847.680096203635</v>
          </cell>
        </row>
        <row r="222">
          <cell r="C222" t="str">
            <v>- Mencampur</v>
          </cell>
          <cell r="G222" t="str">
            <v>T1</v>
          </cell>
          <cell r="H222">
            <v>1.5</v>
          </cell>
          <cell r="I222" t="str">
            <v>menit</v>
          </cell>
          <cell r="L222" t="str">
            <v>2</v>
          </cell>
          <cell r="N222" t="str">
            <v>Dump Truck</v>
          </cell>
          <cell r="O222" t="str">
            <v>E09</v>
          </cell>
          <cell r="P222" t="str">
            <v>Jam</v>
          </cell>
          <cell r="Q222">
            <v>0.14542063837680036</v>
          </cell>
          <cell r="R222">
            <v>70230.073977639215</v>
          </cell>
          <cell r="U222">
            <v>10212.90219107821</v>
          </cell>
        </row>
        <row r="223">
          <cell r="C223" t="str">
            <v>- Memuat dan lain-lain</v>
          </cell>
          <cell r="G223" t="str">
            <v>T2</v>
          </cell>
          <cell r="H223">
            <v>0.5</v>
          </cell>
          <cell r="I223" t="str">
            <v>menit</v>
          </cell>
          <cell r="L223" t="str">
            <v>3</v>
          </cell>
          <cell r="N223" t="str">
            <v>Motor Grader</v>
          </cell>
          <cell r="O223" t="str">
            <v>E13</v>
          </cell>
          <cell r="P223" t="str">
            <v>Jam</v>
          </cell>
          <cell r="Q223">
            <v>1.1713520749665328E-2</v>
          </cell>
          <cell r="R223">
            <v>201666.62574070093</v>
          </cell>
          <cell r="U223">
            <v>2362.2262051286921</v>
          </cell>
        </row>
        <row r="224">
          <cell r="G224" t="str">
            <v>Ts1</v>
          </cell>
          <cell r="H224">
            <v>2</v>
          </cell>
          <cell r="I224" t="str">
            <v>menit</v>
          </cell>
          <cell r="L224" t="str">
            <v>4</v>
          </cell>
          <cell r="N224" t="str">
            <v>Tandem Roller</v>
          </cell>
          <cell r="O224" t="str">
            <v>E17</v>
          </cell>
          <cell r="P224" t="str">
            <v>Jam</v>
          </cell>
          <cell r="Q224">
            <v>1.7849174475680501E-2</v>
          </cell>
          <cell r="R224">
            <v>293927.19306224468</v>
          </cell>
          <cell r="U224">
            <v>5246.3577521150328</v>
          </cell>
        </row>
        <row r="225">
          <cell r="L225" t="str">
            <v>5</v>
          </cell>
          <cell r="N225" t="str">
            <v>Water Tanker</v>
          </cell>
          <cell r="O225" t="str">
            <v>E23</v>
          </cell>
          <cell r="P225" t="str">
            <v>Jam</v>
          </cell>
          <cell r="Q225">
            <v>2.1084337349397592E-2</v>
          </cell>
          <cell r="R225">
            <v>67020.510980434308</v>
          </cell>
          <cell r="U225">
            <v>1413.0830628404826</v>
          </cell>
        </row>
        <row r="226">
          <cell r="C226" t="str">
            <v>Kap. Prod. / jam =</v>
          </cell>
          <cell r="D226" t="str">
            <v>V x Fb x Fa x 60</v>
          </cell>
          <cell r="G226" t="str">
            <v>Q1</v>
          </cell>
          <cell r="H226">
            <v>28.012500000000003</v>
          </cell>
          <cell r="I226" t="str">
            <v>M3</v>
          </cell>
          <cell r="L226" t="str">
            <v>6</v>
          </cell>
          <cell r="N226" t="str">
            <v>Alat Bantu</v>
          </cell>
          <cell r="P226" t="str">
            <v>Ls</v>
          </cell>
          <cell r="Q226">
            <v>1</v>
          </cell>
          <cell r="R226">
            <v>75</v>
          </cell>
          <cell r="U226">
            <v>75</v>
          </cell>
        </row>
        <row r="227">
          <cell r="D227" t="str">
            <v>Fk x Ts1</v>
          </cell>
        </row>
        <row r="228">
          <cell r="C228" t="str">
            <v>Koefisien Alat / M3</v>
          </cell>
          <cell r="D228" t="str">
            <v xml:space="preserve"> =  1  :  Q1</v>
          </cell>
          <cell r="G228" t="str">
            <v>(E15)</v>
          </cell>
          <cell r="H228">
            <v>3.5698348951360995E-2</v>
          </cell>
          <cell r="I228" t="str">
            <v>Jam</v>
          </cell>
        </row>
        <row r="229">
          <cell r="Q229" t="str">
            <v xml:space="preserve">JUMLAH HARGA PERALATAN   </v>
          </cell>
          <cell r="U229">
            <v>25157.249307366055</v>
          </cell>
        </row>
        <row r="230">
          <cell r="A230" t="str">
            <v>2.b.</v>
          </cell>
          <cell r="C230" t="str">
            <v>DUMP TRUCK</v>
          </cell>
          <cell r="G230" t="str">
            <v>(E09)</v>
          </cell>
        </row>
        <row r="231">
          <cell r="C231" t="str">
            <v>Kapasitas bak</v>
          </cell>
          <cell r="G231" t="str">
            <v>V</v>
          </cell>
          <cell r="H231">
            <v>6</v>
          </cell>
          <cell r="I231" t="str">
            <v>M3</v>
          </cell>
          <cell r="L231" t="str">
            <v>D.</v>
          </cell>
          <cell r="N231" t="str">
            <v>JUMLAH HARGA TENAGA, BAHAN DAN PERALATAN  ( A + B + C )</v>
          </cell>
          <cell r="U231">
            <v>308808.29942325567</v>
          </cell>
        </row>
        <row r="232">
          <cell r="C232" t="str">
            <v>Faktor Efisiensi alat</v>
          </cell>
          <cell r="G232" t="str">
            <v>Fa</v>
          </cell>
          <cell r="H232">
            <v>0.83</v>
          </cell>
          <cell r="I232" t="str">
            <v>-</v>
          </cell>
          <cell r="L232" t="str">
            <v>E.</v>
          </cell>
          <cell r="N232" t="str">
            <v>OVERHEAD &amp; PROFIT</v>
          </cell>
          <cell r="P232">
            <v>10</v>
          </cell>
          <cell r="Q232" t="str">
            <v>%  x  D</v>
          </cell>
          <cell r="U232">
            <v>30880.829942325567</v>
          </cell>
        </row>
        <row r="233">
          <cell r="C233" t="str">
            <v>Kecepatan rata-rata bermuatan</v>
          </cell>
          <cell r="G233" t="str">
            <v>v1</v>
          </cell>
          <cell r="H233">
            <v>45</v>
          </cell>
          <cell r="I233" t="str">
            <v>KM / Jam</v>
          </cell>
          <cell r="L233" t="str">
            <v>F.</v>
          </cell>
          <cell r="N233" t="str">
            <v>HARGA SATUAN PEKERJAAN  ( D + E )</v>
          </cell>
          <cell r="U233">
            <v>339689.1293655812</v>
          </cell>
        </row>
        <row r="234">
          <cell r="C234" t="str">
            <v>Kecepatan rata-rata kosong</v>
          </cell>
          <cell r="G234" t="str">
            <v>v2</v>
          </cell>
          <cell r="H234">
            <v>60</v>
          </cell>
          <cell r="I234" t="str">
            <v>KM / Jam</v>
          </cell>
          <cell r="L234" t="str">
            <v>Note: 1</v>
          </cell>
          <cell r="N234" t="str">
            <v>SATUAN dapat berdasarkan atas jam operasi untuk Tenaga Kerja dan Peralatan, volume dan/atau ukuran</v>
          </cell>
        </row>
        <row r="235">
          <cell r="C235" t="str">
            <v>Waktu Siklus  :  - Waktu memuat = V : Q1 x 60</v>
          </cell>
          <cell r="G235" t="str">
            <v>T1</v>
          </cell>
          <cell r="H235">
            <v>12.851405622489958</v>
          </cell>
          <cell r="I235" t="str">
            <v>menit</v>
          </cell>
          <cell r="N235" t="str">
            <v>berat untuk bahan-bahan.</v>
          </cell>
        </row>
        <row r="236">
          <cell r="C236" t="str">
            <v>- Waktu tempuh isi = (L : v1) x 60 menit</v>
          </cell>
          <cell r="G236" t="str">
            <v>T2</v>
          </cell>
          <cell r="H236">
            <v>11.633333333333333</v>
          </cell>
          <cell r="I236" t="str">
            <v>menit</v>
          </cell>
          <cell r="L236">
            <v>2</v>
          </cell>
          <cell r="N236" t="str">
            <v>Kuantitas satuan adalah kuantitas setiap komponen untuk menyelesaikan satu satuan pekerjaan dari nomor</v>
          </cell>
        </row>
        <row r="237">
          <cell r="C237" t="str">
            <v>- Waktu tempuh kosong = (L : v2) x 60 menit</v>
          </cell>
          <cell r="G237" t="str">
            <v>T3</v>
          </cell>
          <cell r="H237">
            <v>8.7249999999999996</v>
          </cell>
          <cell r="I237" t="str">
            <v>menit</v>
          </cell>
          <cell r="N237" t="str">
            <v>mata pembayaran.</v>
          </cell>
        </row>
        <row r="238">
          <cell r="C238" t="str">
            <v>- Lain-lain termasuk menurunkan Agregat</v>
          </cell>
          <cell r="G238" t="str">
            <v>T4</v>
          </cell>
          <cell r="H238">
            <v>3</v>
          </cell>
          <cell r="I238" t="str">
            <v>menit</v>
          </cell>
          <cell r="L238">
            <v>3</v>
          </cell>
          <cell r="N238" t="str">
            <v>Biaya satuan untuk peralatan sudah termasuk bahan bakar, bahan habis dipakai dan operator.</v>
          </cell>
        </row>
        <row r="239">
          <cell r="G239" t="str">
            <v>Ts2</v>
          </cell>
          <cell r="H239">
            <v>36.20973895582329</v>
          </cell>
          <cell r="I239" t="str">
            <v>menit</v>
          </cell>
          <cell r="L239">
            <v>4</v>
          </cell>
          <cell r="N239" t="str">
            <v>Biaya satuan sudah termasuk pengeluaran untuk seluruh pajak yang berkaitan (tetapi tidak termasuk PPN</v>
          </cell>
        </row>
        <row r="240">
          <cell r="J240" t="str">
            <v>Berlanjut ke halaman berikut</v>
          </cell>
          <cell r="N240" t="str">
            <v>yang dibayar dari kontrak) dan biaya-biaya lainnya.</v>
          </cell>
        </row>
        <row r="241">
          <cell r="A241" t="str">
            <v>ITEM PEMBAYARAN NO.</v>
          </cell>
          <cell r="D241" t="str">
            <v>:  4.2 (2)</v>
          </cell>
          <cell r="J241" t="str">
            <v>Analisa EI-422</v>
          </cell>
        </row>
        <row r="242">
          <cell r="A242" t="str">
            <v>JENIS PEKERJAAN</v>
          </cell>
          <cell r="D242" t="str">
            <v>:  Lps. Pond. Ag. Kls. B, CBR Min 35%</v>
          </cell>
        </row>
        <row r="243">
          <cell r="A243" t="str">
            <v>SATUAN PEMBAYARAN</v>
          </cell>
          <cell r="D243" t="str">
            <v>:  M3</v>
          </cell>
          <cell r="J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 xml:space="preserve">Kap. Prod. / Jam = </v>
          </cell>
          <cell r="D249" t="str">
            <v>V x Fa x 60</v>
          </cell>
          <cell r="G249" t="str">
            <v>Q2</v>
          </cell>
          <cell r="H249">
            <v>6.8766030129017413</v>
          </cell>
          <cell r="I249" t="str">
            <v>M3</v>
          </cell>
        </row>
        <row r="250">
          <cell r="D250" t="str">
            <v>Fk x Ts2</v>
          </cell>
        </row>
        <row r="251">
          <cell r="C251" t="str">
            <v>Koefisien Alat / M3</v>
          </cell>
          <cell r="D251" t="str">
            <v xml:space="preserve"> = 1 : Q2</v>
          </cell>
          <cell r="G251" t="str">
            <v>(E08)</v>
          </cell>
          <cell r="H251">
            <v>0.14542063837680036</v>
          </cell>
          <cell r="I251" t="str">
            <v>Jam</v>
          </cell>
        </row>
        <row r="253">
          <cell r="A253" t="str">
            <v>2.c.</v>
          </cell>
          <cell r="C253" t="str">
            <v>MOTOR GRADER</v>
          </cell>
          <cell r="G253" t="str">
            <v>(E13)</v>
          </cell>
        </row>
        <row r="254">
          <cell r="C254" t="str">
            <v>Panjang hamparaan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 / Jam</v>
          </cell>
        </row>
        <row r="258">
          <cell r="C258" t="str">
            <v>Jumlah lintasan</v>
          </cell>
          <cell r="G258" t="str">
            <v>n</v>
          </cell>
          <cell r="H258">
            <v>6</v>
          </cell>
          <cell r="I258" t="str">
            <v>lintasan</v>
          </cell>
          <cell r="J258" t="str">
            <v>3 x pp</v>
          </cell>
        </row>
        <row r="259">
          <cell r="C259" t="str">
            <v>Waktu Siklus</v>
          </cell>
          <cell r="G259" t="str">
            <v>Ts3</v>
          </cell>
        </row>
        <row r="260">
          <cell r="C260" t="str">
            <v>- Perataan 1 lintasan  = (Lh x 60) : (v x 1000)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2.d.</v>
          </cell>
          <cell r="C268" t="str">
            <v>TANDEM ROLLER</v>
          </cell>
          <cell r="G268" t="str">
            <v>(E17)</v>
          </cell>
        </row>
        <row r="269">
          <cell r="C269" t="str">
            <v>Kecepatan rata-rata</v>
          </cell>
          <cell r="G269" t="str">
            <v>v</v>
          </cell>
          <cell r="H269">
            <v>3</v>
          </cell>
          <cell r="I269" t="str">
            <v>KM / 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Kap.Prod./jam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(E17)</v>
          </cell>
          <cell r="H276">
            <v>1.7849174475680501E-2</v>
          </cell>
          <cell r="I276" t="str">
            <v>Jam</v>
          </cell>
        </row>
        <row r="279">
          <cell r="A279" t="str">
            <v>2.e.</v>
          </cell>
          <cell r="C279" t="str">
            <v>WATER TANKER</v>
          </cell>
          <cell r="G279" t="str">
            <v>(E23)</v>
          </cell>
        </row>
        <row r="280">
          <cell r="C280" t="str">
            <v>Volume Tangki air</v>
          </cell>
          <cell r="G280" t="str">
            <v>V</v>
          </cell>
          <cell r="H280">
            <v>4</v>
          </cell>
          <cell r="I280" t="str">
            <v>M3</v>
          </cell>
          <cell r="J280" t="str">
            <v>Lump Sum</v>
          </cell>
        </row>
        <row r="281">
          <cell r="C281" t="str">
            <v>Kebutuhan air / M3 agregat padat</v>
          </cell>
          <cell r="G281" t="str">
            <v>Wc</v>
          </cell>
          <cell r="H281">
            <v>7.0000000000000007E-2</v>
          </cell>
          <cell r="I281" t="str">
            <v>M3</v>
          </cell>
        </row>
        <row r="282">
          <cell r="C282" t="str">
            <v>Pengisian tangki / Jam</v>
          </cell>
          <cell r="G282" t="str">
            <v>n</v>
          </cell>
          <cell r="H282">
            <v>1</v>
          </cell>
          <cell r="I282" t="str">
            <v>kali</v>
          </cell>
        </row>
        <row r="283">
          <cell r="C283" t="str">
            <v>Faktor efisiensi alat</v>
          </cell>
          <cell r="G283" t="str">
            <v>Fa</v>
          </cell>
          <cell r="H283">
            <v>0.83</v>
          </cell>
          <cell r="I283" t="str">
            <v>-</v>
          </cell>
        </row>
        <row r="285">
          <cell r="C285" t="str">
            <v>Kap. Prod. / Jam  =</v>
          </cell>
          <cell r="D285" t="str">
            <v>V x n Fa</v>
          </cell>
          <cell r="G285" t="str">
            <v>Q5</v>
          </cell>
          <cell r="H285">
            <v>47.428571428571423</v>
          </cell>
          <cell r="I285" t="str">
            <v>M3</v>
          </cell>
        </row>
        <row r="286">
          <cell r="D286" t="str">
            <v>Wc</v>
          </cell>
        </row>
        <row r="288">
          <cell r="C288" t="str">
            <v>Koefisien Alat / M3</v>
          </cell>
          <cell r="D288" t="str">
            <v xml:space="preserve"> =   1 : Q5</v>
          </cell>
          <cell r="G288" t="str">
            <v>(E23)</v>
          </cell>
          <cell r="H288">
            <v>2.1084337349397592E-2</v>
          </cell>
          <cell r="I288" t="str">
            <v>Jam</v>
          </cell>
        </row>
        <row r="292">
          <cell r="C292" t="str">
            <v>ALAT BANTU</v>
          </cell>
        </row>
        <row r="293">
          <cell r="C293" t="str">
            <v>diperlukan :</v>
          </cell>
        </row>
        <row r="294">
          <cell r="C294" t="str">
            <v>- Kereta dorong   = 2 buah</v>
          </cell>
        </row>
        <row r="295">
          <cell r="C295" t="str">
            <v>- Sekop                = 3 buah</v>
          </cell>
        </row>
        <row r="296">
          <cell r="C296" t="str">
            <v>- Garpu                = 2 buah</v>
          </cell>
        </row>
        <row r="299">
          <cell r="J299" t="str">
            <v>Berlanjut ke halaman berikut</v>
          </cell>
        </row>
        <row r="300">
          <cell r="A300" t="str">
            <v>ITEM PEMBAYARAN NO.</v>
          </cell>
          <cell r="D300" t="str">
            <v>:  4.2 (2)</v>
          </cell>
          <cell r="J300" t="str">
            <v>Analisa EI-422</v>
          </cell>
        </row>
        <row r="301">
          <cell r="A301" t="str">
            <v>JENIS PEKERJAAN</v>
          </cell>
          <cell r="D301" t="str">
            <v>:  Lps. Pond. Ag. Kls. B, CBR Min 35%</v>
          </cell>
        </row>
        <row r="302">
          <cell r="A302" t="str">
            <v>SATUAN PEMBAYARAN</v>
          </cell>
          <cell r="D302" t="str">
            <v>:  M3</v>
          </cell>
          <cell r="J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3.</v>
          </cell>
          <cell r="C308" t="str">
            <v>TENAGA</v>
          </cell>
        </row>
        <row r="309">
          <cell r="C309" t="str">
            <v>Produksi menentukan : WHEEL LOADER</v>
          </cell>
          <cell r="G309" t="str">
            <v>Q1</v>
          </cell>
          <cell r="H309">
            <v>28.012500000000003</v>
          </cell>
          <cell r="I309" t="str">
            <v>M3/Jam</v>
          </cell>
        </row>
        <row r="310">
          <cell r="C310" t="str">
            <v>Produksi Agregat / hari  =  Tk x Q1</v>
          </cell>
          <cell r="G310" t="str">
            <v>Qt</v>
          </cell>
          <cell r="H310">
            <v>196.08750000000003</v>
          </cell>
          <cell r="I310" t="str">
            <v>M3</v>
          </cell>
        </row>
        <row r="311">
          <cell r="C311" t="str">
            <v>Kebutuhan tenaga :</v>
          </cell>
        </row>
        <row r="312">
          <cell r="D312" t="str">
            <v>- Pekerja</v>
          </cell>
          <cell r="G312" t="str">
            <v>P</v>
          </cell>
          <cell r="H312">
            <v>7</v>
          </cell>
          <cell r="I312" t="str">
            <v>orang</v>
          </cell>
        </row>
        <row r="313">
          <cell r="D313" t="str">
            <v>- Mandor</v>
          </cell>
          <cell r="G313" t="str">
            <v>M</v>
          </cell>
          <cell r="H313">
            <v>1</v>
          </cell>
          <cell r="I313" t="str">
            <v>orang</v>
          </cell>
        </row>
        <row r="315">
          <cell r="C315" t="str">
            <v>Koefisien tenaga / M3     :</v>
          </cell>
        </row>
        <row r="316">
          <cell r="D316" t="str">
            <v>- Pekerja</v>
          </cell>
          <cell r="E316" t="str">
            <v>= (Tk x P) : Qt</v>
          </cell>
          <cell r="G316" t="str">
            <v>(L01)</v>
          </cell>
          <cell r="H316">
            <v>0.24988844265952695</v>
          </cell>
          <cell r="I316" t="str">
            <v>Jam</v>
          </cell>
        </row>
        <row r="317">
          <cell r="D317" t="str">
            <v>- Mandor</v>
          </cell>
          <cell r="E317" t="str">
            <v>= (Tk x M) : Qt</v>
          </cell>
          <cell r="G317" t="str">
            <v>(L03)</v>
          </cell>
          <cell r="H317">
            <v>3.5698348951360995E-2</v>
          </cell>
          <cell r="I317" t="str">
            <v>Jam</v>
          </cell>
        </row>
        <row r="319">
          <cell r="A319" t="str">
            <v>4.</v>
          </cell>
          <cell r="C319" t="str">
            <v>HARGA DASAR SATUAN UPAH, BAHAN DAN ALAT</v>
          </cell>
        </row>
        <row r="320">
          <cell r="C320" t="str">
            <v>Lihat lampiran.</v>
          </cell>
        </row>
        <row r="322">
          <cell r="A322" t="str">
            <v>5.</v>
          </cell>
          <cell r="C322" t="str">
            <v>ANALISA HARGA SATUAN PEKERJAAN</v>
          </cell>
        </row>
        <row r="323">
          <cell r="C323" t="str">
            <v>Lihat perhitungan dalam FORMULIR STANDAR UNTUK</v>
          </cell>
        </row>
        <row r="324">
          <cell r="C324" t="str">
            <v>PEREKEMAN ANALISA MASING-MASING HARGA</v>
          </cell>
        </row>
        <row r="325">
          <cell r="C325" t="str">
            <v>SATUAN.</v>
          </cell>
        </row>
        <row r="326">
          <cell r="C326" t="str">
            <v>Didapat Harga Satuan Pekerjaan :</v>
          </cell>
        </row>
        <row r="328">
          <cell r="C328" t="str">
            <v xml:space="preserve">Rp.  </v>
          </cell>
          <cell r="D328">
            <v>339689.1293655812</v>
          </cell>
          <cell r="E328" t="str">
            <v xml:space="preserve"> / M3.</v>
          </cell>
        </row>
        <row r="331">
          <cell r="A331" t="str">
            <v>6.</v>
          </cell>
          <cell r="C331" t="str">
            <v>WAKTU PELAKSANAAN YANG DIPERLUKAN</v>
          </cell>
        </row>
        <row r="332">
          <cell r="C332" t="str">
            <v>Waktu pelaksanaan</v>
          </cell>
          <cell r="D332" t="str">
            <v>:  . . . . . . .  bulan</v>
          </cell>
        </row>
        <row r="334">
          <cell r="A334" t="str">
            <v>7.</v>
          </cell>
          <cell r="C334" t="str">
            <v>VOLUME PEKERJAAN YANG DIPERLUKAN</v>
          </cell>
        </row>
        <row r="335">
          <cell r="C335" t="str">
            <v>Volume pekerjaan  :</v>
          </cell>
          <cell r="D335">
            <v>0</v>
          </cell>
          <cell r="E335" t="str">
            <v>M3</v>
          </cell>
        </row>
        <row r="359">
          <cell r="A359" t="str">
            <v>ITEM PEMBAYARAN NO.</v>
          </cell>
          <cell r="D359" t="str">
            <v>:  4.2 (4)</v>
          </cell>
          <cell r="J359" t="str">
            <v>Analisa EI-424</v>
          </cell>
          <cell r="T359" t="str">
            <v>Analisa EI-424</v>
          </cell>
        </row>
        <row r="360">
          <cell r="A360" t="str">
            <v>JENIS PEKERJAAN</v>
          </cell>
          <cell r="D360" t="str">
            <v>:  SEMEN Utk. Pond. Semen Tanah</v>
          </cell>
        </row>
        <row r="361">
          <cell r="A361" t="str">
            <v>SATUAN PEMBAYARAN</v>
          </cell>
          <cell r="D361" t="str">
            <v>:  TON</v>
          </cell>
          <cell r="J361" t="str">
            <v xml:space="preserve">         URAIAN ANALISA HARGA SATUAN</v>
          </cell>
          <cell r="L361" t="str">
            <v>FORMULIR STANDAR UNTUK</v>
          </cell>
        </row>
        <row r="362">
          <cell r="L362" t="str">
            <v>PEREKAMAN ANALISA MASING-MASING HARGA SATUAN</v>
          </cell>
        </row>
        <row r="363">
          <cell r="L363" t="str">
            <v xml:space="preserve">                                                                                                            </v>
          </cell>
        </row>
        <row r="364">
          <cell r="A364" t="str">
            <v>No.</v>
          </cell>
          <cell r="C364" t="str">
            <v>U R A I A N</v>
          </cell>
          <cell r="G364" t="str">
            <v>KODE</v>
          </cell>
          <cell r="H364" t="str">
            <v>KOEF.</v>
          </cell>
          <cell r="I364" t="str">
            <v>SATUAN</v>
          </cell>
          <cell r="J364" t="str">
            <v>KETERANGAN</v>
          </cell>
        </row>
        <row r="366">
          <cell r="L366" t="str">
            <v>PROYEK</v>
          </cell>
          <cell r="O366" t="str">
            <v>:</v>
          </cell>
        </row>
        <row r="367">
          <cell r="A367" t="str">
            <v>I.</v>
          </cell>
          <cell r="C367" t="str">
            <v>ASUMSI</v>
          </cell>
          <cell r="L367" t="str">
            <v>No. PAKET KONTRAK</v>
          </cell>
          <cell r="O367" t="str">
            <v>:</v>
          </cell>
        </row>
        <row r="368">
          <cell r="A368">
            <v>1</v>
          </cell>
          <cell r="C368" t="str">
            <v>Pekerjaan dilakukan secara manual</v>
          </cell>
          <cell r="L368" t="str">
            <v>NAMA PAKET</v>
          </cell>
          <cell r="O368" t="str">
            <v>:</v>
          </cell>
        </row>
        <row r="369">
          <cell r="A369">
            <v>2</v>
          </cell>
          <cell r="C369" t="str">
            <v>Lokasi pekerjaan : sepanjang jalan</v>
          </cell>
          <cell r="L369" t="str">
            <v>PROP / KAB / KODYA</v>
          </cell>
          <cell r="O369" t="str">
            <v>:</v>
          </cell>
        </row>
        <row r="370">
          <cell r="A370">
            <v>3</v>
          </cell>
          <cell r="C370" t="str">
            <v>Kondisi Jalan   :  sedang / baik</v>
          </cell>
          <cell r="L370" t="str">
            <v>ITEM PEMBAYARAN NO.</v>
          </cell>
          <cell r="O370" t="str">
            <v>:  4.2 (4)</v>
          </cell>
          <cell r="R370" t="str">
            <v>PERKIRAAN VOL. PEK.</v>
          </cell>
          <cell r="T370" t="str">
            <v>:</v>
          </cell>
          <cell r="U370">
            <v>0</v>
          </cell>
        </row>
        <row r="371">
          <cell r="A371">
            <v>4</v>
          </cell>
          <cell r="C371" t="str">
            <v>Jarak rata-rata Base Camp ke lokasi pekerjaan</v>
          </cell>
          <cell r="G371" t="str">
            <v>L</v>
          </cell>
          <cell r="H371">
            <v>8.7249999999999996</v>
          </cell>
          <cell r="I371" t="str">
            <v>Km</v>
          </cell>
          <cell r="L371" t="str">
            <v>JENIS PEKERJAAN</v>
          </cell>
          <cell r="O371" t="str">
            <v>:  SEMEN Utk. Pond. Semen Tanah</v>
          </cell>
          <cell r="R371" t="str">
            <v>TOTAL HARGA (Rp.)</v>
          </cell>
          <cell r="T371" t="str">
            <v>:</v>
          </cell>
          <cell r="U371">
            <v>0</v>
          </cell>
        </row>
        <row r="372">
          <cell r="A372">
            <v>5</v>
          </cell>
          <cell r="C372" t="str">
            <v>Jam kerja efektif per-hari</v>
          </cell>
          <cell r="G372" t="str">
            <v>Tk</v>
          </cell>
          <cell r="H372">
            <v>7</v>
          </cell>
          <cell r="I372" t="str">
            <v>Jam</v>
          </cell>
          <cell r="L372" t="str">
            <v>SATUAN PEMBAYARAN</v>
          </cell>
          <cell r="O372" t="str">
            <v>:  TON</v>
          </cell>
          <cell r="R372" t="str">
            <v>% THD. BIAYA PROYEK</v>
          </cell>
          <cell r="T372" t="str">
            <v>:</v>
          </cell>
          <cell r="U372" t="e">
            <v>#DIV/0!</v>
          </cell>
        </row>
        <row r="373">
          <cell r="A373">
            <v>6</v>
          </cell>
          <cell r="C373" t="str">
            <v>Semen diangkut dari Base Camp ke lapangan</v>
          </cell>
        </row>
        <row r="374">
          <cell r="C374" t="str">
            <v>dengan menggunakan Dump Truck</v>
          </cell>
        </row>
        <row r="375">
          <cell r="A375">
            <v>7</v>
          </cell>
          <cell r="C375" t="str">
            <v>Satu hari dapat diselesaikan hamparan Soil Cement</v>
          </cell>
          <cell r="Q375" t="str">
            <v>PERKIRAAN</v>
          </cell>
          <cell r="R375" t="str">
            <v>HARGA</v>
          </cell>
          <cell r="S375" t="str">
            <v>JUMLAH</v>
          </cell>
        </row>
        <row r="376">
          <cell r="C376" t="str">
            <v>sepanjang</v>
          </cell>
          <cell r="G376" t="str">
            <v>Ls</v>
          </cell>
          <cell r="H376">
            <v>400</v>
          </cell>
          <cell r="I376" t="str">
            <v>M</v>
          </cell>
          <cell r="L376" t="str">
            <v>NO.</v>
          </cell>
          <cell r="N376" t="str">
            <v>KOMPONEN</v>
          </cell>
          <cell r="P376" t="str">
            <v>SATUAN</v>
          </cell>
          <cell r="Q376" t="str">
            <v>KUANTITAS</v>
          </cell>
          <cell r="R376" t="str">
            <v>SATUAN</v>
          </cell>
          <cell r="S376" t="str">
            <v>HARGA</v>
          </cell>
        </row>
        <row r="377">
          <cell r="A377">
            <v>8</v>
          </cell>
          <cell r="C377" t="str">
            <v>Faktor kehilangan bahan</v>
          </cell>
          <cell r="G377" t="str">
            <v>Fh</v>
          </cell>
          <cell r="H377">
            <v>1.05</v>
          </cell>
          <cell r="I377" t="str">
            <v>-</v>
          </cell>
          <cell r="R377" t="str">
            <v>(Rp.)</v>
          </cell>
          <cell r="S377" t="str">
            <v>(Rp.)</v>
          </cell>
        </row>
        <row r="378">
          <cell r="A378">
            <v>9</v>
          </cell>
          <cell r="C378" t="str">
            <v>Tebal hamparan</v>
          </cell>
          <cell r="G378" t="str">
            <v>t</v>
          </cell>
          <cell r="H378">
            <v>0.15</v>
          </cell>
          <cell r="I378" t="str">
            <v>M</v>
          </cell>
        </row>
        <row r="380">
          <cell r="A380" t="str">
            <v>II.</v>
          </cell>
          <cell r="C380" t="str">
            <v>URUTAN KERJA</v>
          </cell>
          <cell r="L380" t="str">
            <v>A.</v>
          </cell>
          <cell r="N380" t="str">
            <v>TENAGA</v>
          </cell>
        </row>
        <row r="381">
          <cell r="A381">
            <v>1</v>
          </cell>
          <cell r="C381" t="str">
            <v>Dump Truck mengangkut semen dari Base Camp</v>
          </cell>
        </row>
        <row r="382">
          <cell r="C382" t="str">
            <v>ke lokasi Pekerjaan</v>
          </cell>
          <cell r="L382" t="str">
            <v>1.</v>
          </cell>
          <cell r="N382" t="str">
            <v>Pekerja</v>
          </cell>
          <cell r="O382" t="str">
            <v>(L01)</v>
          </cell>
          <cell r="P382" t="str">
            <v>Jam</v>
          </cell>
          <cell r="Q382">
            <v>2.4305555555555554</v>
          </cell>
          <cell r="R382">
            <v>2857.14</v>
          </cell>
          <cell r="U382">
            <v>6944.4374999999991</v>
          </cell>
        </row>
        <row r="383">
          <cell r="A383">
            <v>2</v>
          </cell>
          <cell r="C383" t="str">
            <v>Semen diatur/disusun di tempat hamparan</v>
          </cell>
          <cell r="L383" t="str">
            <v>2.</v>
          </cell>
          <cell r="N383" t="str">
            <v>Mandor</v>
          </cell>
          <cell r="O383" t="str">
            <v>(L03)</v>
          </cell>
          <cell r="P383" t="str">
            <v>Jam</v>
          </cell>
          <cell r="Q383">
            <v>0.16203703703703703</v>
          </cell>
          <cell r="R383">
            <v>3214.29</v>
          </cell>
          <cell r="U383">
            <v>520.83402777777781</v>
          </cell>
        </row>
        <row r="384">
          <cell r="C384" t="str">
            <v>soil/tanah oleh tenaga manusia</v>
          </cell>
        </row>
        <row r="386">
          <cell r="A386" t="str">
            <v>III.</v>
          </cell>
          <cell r="C386" t="str">
            <v>PEMAKAIAN BAHAN, ALAT DAN TENAGA</v>
          </cell>
          <cell r="Q386" t="str">
            <v xml:space="preserve">JUMLAH HARGA TENAGA   </v>
          </cell>
          <cell r="U386">
            <v>7465.271527777777</v>
          </cell>
        </row>
        <row r="387">
          <cell r="A387" t="str">
            <v xml:space="preserve">   1.</v>
          </cell>
          <cell r="C387" t="str">
            <v>BAHAN</v>
          </cell>
        </row>
        <row r="388">
          <cell r="C388" t="str">
            <v>Semen yang diperlukan / ton   = (1 x Fh) x 1000</v>
          </cell>
          <cell r="G388" t="str">
            <v>(M12)</v>
          </cell>
          <cell r="H388">
            <v>1050</v>
          </cell>
          <cell r="I388" t="str">
            <v>Kg</v>
          </cell>
          <cell r="L388" t="str">
            <v>B.</v>
          </cell>
          <cell r="N388" t="str">
            <v>BAHAN</v>
          </cell>
        </row>
        <row r="389">
          <cell r="L389" t="str">
            <v>1.</v>
          </cell>
          <cell r="N389" t="str">
            <v>Semen</v>
          </cell>
          <cell r="O389" t="str">
            <v>(M12)</v>
          </cell>
          <cell r="P389" t="str">
            <v>Kg</v>
          </cell>
          <cell r="Q389">
            <v>1050</v>
          </cell>
          <cell r="R389">
            <v>550.92499999999995</v>
          </cell>
          <cell r="U389">
            <v>578471.25</v>
          </cell>
        </row>
        <row r="390">
          <cell r="A390" t="str">
            <v xml:space="preserve">   2.</v>
          </cell>
          <cell r="C390" t="str">
            <v>ALAT</v>
          </cell>
        </row>
        <row r="391">
          <cell r="A391" t="str">
            <v>2.a.</v>
          </cell>
          <cell r="C391" t="str">
            <v>DUMP TRUCK</v>
          </cell>
          <cell r="G391" t="str">
            <v>(E08)</v>
          </cell>
        </row>
        <row r="392">
          <cell r="C392" t="str">
            <v>Kapasitas bak</v>
          </cell>
          <cell r="G392" t="str">
            <v>V</v>
          </cell>
          <cell r="H392">
            <v>10</v>
          </cell>
          <cell r="I392" t="str">
            <v>Ton</v>
          </cell>
        </row>
        <row r="393">
          <cell r="C393" t="str">
            <v>Faktor efisiensi alat</v>
          </cell>
          <cell r="G393" t="str">
            <v>Fa</v>
          </cell>
          <cell r="H393">
            <v>0.83</v>
          </cell>
          <cell r="I393" t="str">
            <v>-</v>
          </cell>
        </row>
        <row r="394">
          <cell r="C394" t="str">
            <v>Kecepatan rata-rata bermuatan</v>
          </cell>
          <cell r="G394" t="str">
            <v>v1</v>
          </cell>
          <cell r="H394">
            <v>45</v>
          </cell>
          <cell r="I394" t="str">
            <v>Km / Jam</v>
          </cell>
        </row>
        <row r="395">
          <cell r="C395" t="str">
            <v>Kecepatan rata-rata kosong</v>
          </cell>
          <cell r="G395" t="str">
            <v>v2</v>
          </cell>
          <cell r="H395">
            <v>60</v>
          </cell>
          <cell r="I395" t="str">
            <v>Km / Jam</v>
          </cell>
        </row>
        <row r="396">
          <cell r="C396" t="str">
            <v>Waktu siklus</v>
          </cell>
          <cell r="G396" t="str">
            <v>Ts1</v>
          </cell>
          <cell r="Q396" t="str">
            <v xml:space="preserve">JUMLAH HARGA BAHAN   </v>
          </cell>
          <cell r="U396">
            <v>578471.25</v>
          </cell>
        </row>
        <row r="397">
          <cell r="C397" t="str">
            <v>- Waktu tempuh isi            = (L : v1) x 60</v>
          </cell>
          <cell r="G397" t="str">
            <v>T1</v>
          </cell>
          <cell r="H397">
            <v>11.633333333333333</v>
          </cell>
          <cell r="I397" t="str">
            <v>menit</v>
          </cell>
        </row>
        <row r="398">
          <cell r="C398" t="str">
            <v>- Waktu tempuh kosong   = (L : v2) x 60</v>
          </cell>
          <cell r="G398" t="str">
            <v>T2</v>
          </cell>
          <cell r="H398">
            <v>8.7249999999999996</v>
          </cell>
          <cell r="I398" t="str">
            <v>menit</v>
          </cell>
          <cell r="L398" t="str">
            <v>C.</v>
          </cell>
          <cell r="N398" t="str">
            <v>PERALATAN</v>
          </cell>
        </row>
        <row r="399">
          <cell r="C399" t="str">
            <v>- Waktu mengisi</v>
          </cell>
          <cell r="G399" t="str">
            <v>T3</v>
          </cell>
          <cell r="H399">
            <v>40</v>
          </cell>
          <cell r="I399" t="str">
            <v>menit</v>
          </cell>
          <cell r="L399" t="str">
            <v>1.</v>
          </cell>
          <cell r="N399" t="str">
            <v>Dump Truck</v>
          </cell>
          <cell r="O399" t="str">
            <v>(E08)</v>
          </cell>
          <cell r="P399" t="str">
            <v>Jam</v>
          </cell>
          <cell r="Q399">
            <v>0.21159889558232936</v>
          </cell>
          <cell r="R399">
            <v>153645.58193291764</v>
          </cell>
          <cell r="U399">
            <v>32511.23544810967</v>
          </cell>
        </row>
        <row r="400">
          <cell r="C400" t="str">
            <v>- Waktu bongkar</v>
          </cell>
          <cell r="G400" t="str">
            <v>T4</v>
          </cell>
          <cell r="H400">
            <v>30</v>
          </cell>
          <cell r="I400" t="str">
            <v>menit</v>
          </cell>
        </row>
        <row r="401">
          <cell r="C401" t="str">
            <v>- Lain-lain</v>
          </cell>
          <cell r="G401" t="str">
            <v>T5</v>
          </cell>
          <cell r="H401">
            <v>10</v>
          </cell>
          <cell r="I401" t="str">
            <v>menit</v>
          </cell>
        </row>
        <row r="402">
          <cell r="G402" t="str">
            <v>Ts1</v>
          </cell>
          <cell r="H402">
            <v>100.35833333333333</v>
          </cell>
          <cell r="I402" t="str">
            <v>menit</v>
          </cell>
        </row>
        <row r="404">
          <cell r="C404" t="str">
            <v>Kap. Prod. / jam =</v>
          </cell>
          <cell r="D404" t="str">
            <v>V x Fa x 60</v>
          </cell>
          <cell r="G404" t="str">
            <v>Q1</v>
          </cell>
          <cell r="H404">
            <v>4.7259225869206762</v>
          </cell>
          <cell r="I404" t="str">
            <v>Ton</v>
          </cell>
        </row>
        <row r="405">
          <cell r="D405" t="str">
            <v xml:space="preserve">   Fh x Ts1</v>
          </cell>
        </row>
        <row r="407">
          <cell r="C407" t="str">
            <v>Koefisien Alat/Ton</v>
          </cell>
          <cell r="D407" t="str">
            <v xml:space="preserve">  =    1 / Q1</v>
          </cell>
          <cell r="G407" t="str">
            <v>(E08)</v>
          </cell>
          <cell r="H407">
            <v>0.21159889558232936</v>
          </cell>
          <cell r="I407" t="str">
            <v>Jam</v>
          </cell>
        </row>
        <row r="408">
          <cell r="Q408" t="str">
            <v xml:space="preserve">JUMLAH HARGA PERALATAN   </v>
          </cell>
          <cell r="U408">
            <v>32511.23544810967</v>
          </cell>
        </row>
        <row r="409">
          <cell r="A409" t="str">
            <v xml:space="preserve">   3.</v>
          </cell>
          <cell r="C409" t="str">
            <v>TENAGA</v>
          </cell>
        </row>
        <row r="410">
          <cell r="C410" t="str">
            <v>Lebar Hamparan Soil Cement</v>
          </cell>
          <cell r="G410" t="str">
            <v>b</v>
          </cell>
          <cell r="H410">
            <v>6</v>
          </cell>
          <cell r="I410" t="str">
            <v>M</v>
          </cell>
          <cell r="L410" t="str">
            <v>D.</v>
          </cell>
          <cell r="N410" t="str">
            <v>JUMLAH HARGA TENAGA, BAHAN DAN PERALATAN  ( A + B + C )</v>
          </cell>
          <cell r="U410">
            <v>618447.75697588746</v>
          </cell>
        </row>
        <row r="411">
          <cell r="C411" t="str">
            <v>Kadar semen  (3 - 12) %</v>
          </cell>
          <cell r="G411" t="str">
            <v>s</v>
          </cell>
          <cell r="H411">
            <v>7.5</v>
          </cell>
          <cell r="I411" t="str">
            <v>%</v>
          </cell>
          <cell r="L411" t="str">
            <v>E.</v>
          </cell>
          <cell r="N411" t="str">
            <v>OVERHEAD &amp; PROFIT</v>
          </cell>
          <cell r="P411">
            <v>10</v>
          </cell>
          <cell r="Q411" t="str">
            <v>%  x  D</v>
          </cell>
          <cell r="U411">
            <v>61844.775697588746</v>
          </cell>
        </row>
        <row r="412">
          <cell r="C412" t="str">
            <v>Berat jenis tanah</v>
          </cell>
          <cell r="G412" t="str">
            <v>Bj</v>
          </cell>
          <cell r="H412">
            <v>1.6</v>
          </cell>
          <cell r="I412" t="str">
            <v>ton / M3</v>
          </cell>
          <cell r="L412" t="str">
            <v>F.</v>
          </cell>
          <cell r="N412" t="str">
            <v>HARGA SATUAN PEKERJAAN  ( D + E )</v>
          </cell>
          <cell r="U412">
            <v>680292.53267347626</v>
          </cell>
        </row>
        <row r="413">
          <cell r="C413" t="str">
            <v>Setiap hari dengan produksi = {(s : 100) x t x b x Ls} x Bj</v>
          </cell>
          <cell r="G413" t="str">
            <v>Qt</v>
          </cell>
          <cell r="H413">
            <v>43.2</v>
          </cell>
          <cell r="I413" t="str">
            <v>Ton</v>
          </cell>
          <cell r="L413" t="str">
            <v>Note: 1</v>
          </cell>
          <cell r="N413" t="str">
            <v>SATUAN dapat berdasarkan atas jam operasi untuk Tenaga Kerja dan Peralatan, volume dan/atau ukuran</v>
          </cell>
        </row>
        <row r="414">
          <cell r="N414" t="str">
            <v>berat untuk bahan-bahan.</v>
          </cell>
        </row>
        <row r="415">
          <cell r="C415" t="str">
            <v>Kebutuhan tenaga :</v>
          </cell>
          <cell r="L415">
            <v>2</v>
          </cell>
          <cell r="N415" t="str">
            <v>Kuantitas satuan adalah kuantitas setiap komponen untuk menyelesaikan satu satuan pekerjaan dari nomor</v>
          </cell>
        </row>
        <row r="416">
          <cell r="D416" t="str">
            <v>- Pekerja</v>
          </cell>
          <cell r="G416" t="str">
            <v>P</v>
          </cell>
          <cell r="H416">
            <v>15</v>
          </cell>
          <cell r="I416" t="str">
            <v>orang</v>
          </cell>
          <cell r="N416" t="str">
            <v>mata pembayaran.</v>
          </cell>
        </row>
        <row r="417">
          <cell r="D417" t="str">
            <v>- Mandor</v>
          </cell>
          <cell r="G417" t="str">
            <v>M</v>
          </cell>
          <cell r="H417">
            <v>1</v>
          </cell>
          <cell r="I417" t="str">
            <v>orang</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halaman berikut</v>
          </cell>
          <cell r="N419" t="str">
            <v>yang dibayar dari kontrak) dan biaya-biaya lainnya.</v>
          </cell>
        </row>
        <row r="420">
          <cell r="A420" t="str">
            <v>ITEM PEMBAYARAN NO.</v>
          </cell>
          <cell r="D420" t="str">
            <v>:  4.2 (4)</v>
          </cell>
          <cell r="J420" t="str">
            <v>Analisa EI-424</v>
          </cell>
        </row>
        <row r="421">
          <cell r="A421" t="str">
            <v>JENIS PEKERJAAN</v>
          </cell>
          <cell r="D421" t="str">
            <v>:  SEMEN Utk. Pond. Semen Tanah</v>
          </cell>
        </row>
        <row r="422">
          <cell r="A422" t="str">
            <v>SATUAN PEMBAYARAN</v>
          </cell>
          <cell r="D422" t="str">
            <v>:  TON</v>
          </cell>
          <cell r="J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Koefisien tenaga / Ton  :</v>
          </cell>
        </row>
        <row r="429">
          <cell r="D429" t="str">
            <v>- Pekerja</v>
          </cell>
          <cell r="E429" t="str">
            <v>= (Tk x P) : Qt</v>
          </cell>
          <cell r="G429" t="str">
            <v>(L01)</v>
          </cell>
          <cell r="H429">
            <v>2.4305555555555554</v>
          </cell>
          <cell r="I429" t="str">
            <v>Jam</v>
          </cell>
        </row>
        <row r="430">
          <cell r="D430" t="str">
            <v>- Mandor</v>
          </cell>
          <cell r="E430" t="str">
            <v>= (Tk x M) : Qt</v>
          </cell>
          <cell r="G430" t="str">
            <v>(L03)</v>
          </cell>
          <cell r="H430">
            <v>0.16203703703703703</v>
          </cell>
          <cell r="I430" t="str">
            <v>Jam</v>
          </cell>
        </row>
        <row r="433">
          <cell r="A433" t="str">
            <v>4.</v>
          </cell>
          <cell r="C433" t="str">
            <v>HARGA DASAR SATUAN UPAH, BAHAN DAN ALAT</v>
          </cell>
        </row>
        <row r="434">
          <cell r="C434" t="str">
            <v>Lihat lampiran.</v>
          </cell>
        </row>
        <row r="437">
          <cell r="A437" t="str">
            <v>5.</v>
          </cell>
          <cell r="C437" t="str">
            <v>ANALISA HARGA SATUAN PEKERJAAN</v>
          </cell>
        </row>
        <row r="438">
          <cell r="C438" t="str">
            <v>Lihat perhitungan dalam FORMULIR STANDAR UNTUK</v>
          </cell>
        </row>
        <row r="439">
          <cell r="C439" t="str">
            <v>PEREKEMAN ANALISA MASING-MASING HARGA</v>
          </cell>
        </row>
        <row r="440">
          <cell r="C440" t="str">
            <v>SATUAN.</v>
          </cell>
        </row>
        <row r="441">
          <cell r="C441" t="str">
            <v>Didapat Harga Satuan Pekerjaan :</v>
          </cell>
        </row>
        <row r="443">
          <cell r="C443" t="str">
            <v xml:space="preserve">Rp.  </v>
          </cell>
          <cell r="D443">
            <v>680292.53267347626</v>
          </cell>
          <cell r="E443" t="str">
            <v xml:space="preserve"> / Ton</v>
          </cell>
        </row>
        <row r="446">
          <cell r="A446" t="str">
            <v>6.</v>
          </cell>
          <cell r="C446" t="str">
            <v>WAKTU PELAKSANAAN YANG DIPERLUKAN</v>
          </cell>
        </row>
        <row r="447">
          <cell r="C447" t="str">
            <v>Waktu pelaksanaan</v>
          </cell>
          <cell r="D447" t="str">
            <v>:  . . . . . . .  bulan</v>
          </cell>
        </row>
        <row r="449">
          <cell r="A449" t="str">
            <v>7.</v>
          </cell>
          <cell r="C449" t="str">
            <v>VOLUME PEKERJAAN YANG DIPERLUKAN</v>
          </cell>
        </row>
        <row r="450">
          <cell r="C450" t="str">
            <v>Volume pekerjaan  :</v>
          </cell>
          <cell r="D450">
            <v>0</v>
          </cell>
          <cell r="E450" t="str">
            <v>Ton</v>
          </cell>
        </row>
        <row r="479">
          <cell r="A479" t="str">
            <v>ITEM PEMBAYARAN NO.</v>
          </cell>
          <cell r="D479" t="str">
            <v>:  4.2 (3)</v>
          </cell>
          <cell r="J479" t="str">
            <v>Analisa EI-423</v>
          </cell>
          <cell r="T479" t="str">
            <v>Analisa EI-423</v>
          </cell>
        </row>
        <row r="480">
          <cell r="A480" t="str">
            <v>JENIS PEKERJAAN</v>
          </cell>
          <cell r="D480" t="str">
            <v>:  Lapis Pondasi Semen Tanah</v>
          </cell>
        </row>
        <row r="481">
          <cell r="A481" t="str">
            <v>SATUAN PEMBAYARAN</v>
          </cell>
          <cell r="D481" t="str">
            <v>:  M3</v>
          </cell>
          <cell r="J481" t="str">
            <v xml:space="preserve">         URAIAN ANALISA HARGA SATUAN</v>
          </cell>
          <cell r="L481" t="str">
            <v>FORMULIR STANDAR UNTUK</v>
          </cell>
        </row>
        <row r="482">
          <cell r="L482" t="str">
            <v>PEREKAMAN ANALISA MASING-MASING HARGA SATUAN</v>
          </cell>
        </row>
        <row r="483">
          <cell r="L483" t="str">
            <v xml:space="preserve">                                                                                                            </v>
          </cell>
        </row>
        <row r="484">
          <cell r="A484" t="str">
            <v>No.</v>
          </cell>
          <cell r="C484" t="str">
            <v>U R A I A N</v>
          </cell>
          <cell r="G484" t="str">
            <v>KODE</v>
          </cell>
          <cell r="H484" t="str">
            <v>KOEF.</v>
          </cell>
          <cell r="I484" t="str">
            <v>SATUAN</v>
          </cell>
          <cell r="J484" t="str">
            <v>KETERANGAN</v>
          </cell>
        </row>
        <row r="486">
          <cell r="L486" t="str">
            <v>PROYEK</v>
          </cell>
          <cell r="O486" t="str">
            <v>:</v>
          </cell>
        </row>
        <row r="487">
          <cell r="A487" t="str">
            <v>I.</v>
          </cell>
          <cell r="C487" t="str">
            <v>ASUMSI</v>
          </cell>
          <cell r="L487" t="str">
            <v>No. PAKET KONTRAK</v>
          </cell>
          <cell r="O487" t="str">
            <v>:</v>
          </cell>
        </row>
        <row r="488">
          <cell r="A488">
            <v>1</v>
          </cell>
          <cell r="C488" t="str">
            <v>Pekerjaan dilakukan secara mekanik</v>
          </cell>
          <cell r="L488" t="str">
            <v>NAMA PAKET</v>
          </cell>
          <cell r="O488" t="str">
            <v>:</v>
          </cell>
        </row>
        <row r="489">
          <cell r="A489">
            <v>2</v>
          </cell>
          <cell r="C489" t="str">
            <v>Lokasi pekerjaan : sepanjang jalan</v>
          </cell>
          <cell r="L489" t="str">
            <v>PROP / KAB / KODYA</v>
          </cell>
          <cell r="O489" t="str">
            <v>:</v>
          </cell>
        </row>
        <row r="490">
          <cell r="A490">
            <v>3</v>
          </cell>
          <cell r="C490" t="str">
            <v>Kondisi Jalan   :  sedang / baik</v>
          </cell>
          <cell r="L490" t="str">
            <v>ITEM PEMBAYARAN NO.</v>
          </cell>
          <cell r="O490" t="str">
            <v>:  4.2 (3)</v>
          </cell>
          <cell r="R490" t="str">
            <v>PERKIRAAN VOL. PEK.</v>
          </cell>
          <cell r="T490" t="str">
            <v>:</v>
          </cell>
          <cell r="U490">
            <v>0</v>
          </cell>
        </row>
        <row r="491">
          <cell r="A491">
            <v>4</v>
          </cell>
          <cell r="C491" t="str">
            <v>Jarak rata-rata sumber material ke lokasi pekerjaan</v>
          </cell>
          <cell r="G491" t="str">
            <v>L</v>
          </cell>
          <cell r="H491">
            <v>8.7249999999999996</v>
          </cell>
          <cell r="I491" t="str">
            <v>Km</v>
          </cell>
          <cell r="L491" t="str">
            <v>JENIS PEKERJAAN</v>
          </cell>
          <cell r="O491" t="str">
            <v>:  Lapis Pondasi Semen Tanah</v>
          </cell>
          <cell r="R491" t="str">
            <v>TOTAL HARGA (Rp.)</v>
          </cell>
          <cell r="T491" t="str">
            <v>:</v>
          </cell>
          <cell r="U491">
            <v>0</v>
          </cell>
        </row>
        <row r="492">
          <cell r="A492">
            <v>5</v>
          </cell>
          <cell r="C492" t="str">
            <v>Jam kerja efektif per-hari</v>
          </cell>
          <cell r="G492" t="str">
            <v>Tk</v>
          </cell>
          <cell r="H492">
            <v>7</v>
          </cell>
          <cell r="I492" t="str">
            <v>Jam</v>
          </cell>
          <cell r="L492" t="str">
            <v>SATUAN PEMBAYARAN</v>
          </cell>
          <cell r="O492" t="str">
            <v>:  M3</v>
          </cell>
          <cell r="R492" t="str">
            <v>% THD. BIAYA PROYEK</v>
          </cell>
          <cell r="T492" t="str">
            <v>:</v>
          </cell>
          <cell r="U492" t="e">
            <v>#DIV/0!</v>
          </cell>
        </row>
        <row r="493">
          <cell r="A493">
            <v>6</v>
          </cell>
          <cell r="C493" t="str">
            <v>Harga pembayaran tidak termasuk semen ( semen</v>
          </cell>
        </row>
        <row r="494">
          <cell r="C494" t="str">
            <v>dibayar dalam item tersendiri)</v>
          </cell>
        </row>
        <row r="495">
          <cell r="A495">
            <v>7</v>
          </cell>
          <cell r="C495" t="str">
            <v>Satu hari dapat diselesaikan hamparan Soil Cement</v>
          </cell>
          <cell r="Q495" t="str">
            <v>PERKIRAAN</v>
          </cell>
          <cell r="R495" t="str">
            <v>HARGA</v>
          </cell>
          <cell r="S495" t="str">
            <v>JUMLAH</v>
          </cell>
        </row>
        <row r="496">
          <cell r="C496" t="str">
            <v>sepanjang</v>
          </cell>
          <cell r="G496" t="str">
            <v>Ls</v>
          </cell>
          <cell r="H496">
            <v>400</v>
          </cell>
          <cell r="I496" t="str">
            <v>M</v>
          </cell>
          <cell r="L496" t="str">
            <v>NO.</v>
          </cell>
          <cell r="N496" t="str">
            <v>KOMPONEN</v>
          </cell>
          <cell r="P496" t="str">
            <v>SATUAN</v>
          </cell>
          <cell r="Q496" t="str">
            <v>KUANTITAS</v>
          </cell>
          <cell r="R496" t="str">
            <v>SATUAN</v>
          </cell>
          <cell r="S496" t="str">
            <v>HARGA</v>
          </cell>
        </row>
        <row r="497">
          <cell r="A497">
            <v>8</v>
          </cell>
          <cell r="C497" t="str">
            <v>Faktor kembang material (padat - lepas)</v>
          </cell>
          <cell r="G497" t="str">
            <v>Fk</v>
          </cell>
          <cell r="H497">
            <v>1.2</v>
          </cell>
          <cell r="I497" t="str">
            <v>-</v>
          </cell>
          <cell r="R497" t="str">
            <v>(Rp.)</v>
          </cell>
          <cell r="S497" t="str">
            <v>(Rp.)</v>
          </cell>
        </row>
        <row r="498">
          <cell r="A498">
            <v>9</v>
          </cell>
          <cell r="C498" t="str">
            <v>Tebal hamparan padat</v>
          </cell>
          <cell r="G498" t="str">
            <v>t</v>
          </cell>
          <cell r="H498">
            <v>0.15</v>
          </cell>
          <cell r="I498" t="str">
            <v>M</v>
          </cell>
        </row>
        <row r="500">
          <cell r="A500" t="str">
            <v>II.</v>
          </cell>
          <cell r="C500" t="str">
            <v>URUTAN KERJA</v>
          </cell>
          <cell r="L500" t="str">
            <v>A.</v>
          </cell>
          <cell r="N500" t="str">
            <v>TENAGA</v>
          </cell>
        </row>
        <row r="501">
          <cell r="A501">
            <v>1</v>
          </cell>
          <cell r="C501" t="str">
            <v>Whell Loader memuat material ke dalam Dump Truck</v>
          </cell>
        </row>
        <row r="502">
          <cell r="C502" t="str">
            <v>di lokasi sumber bahan</v>
          </cell>
          <cell r="L502" t="str">
            <v>1.</v>
          </cell>
          <cell r="N502" t="str">
            <v>Pekerja</v>
          </cell>
          <cell r="O502" t="str">
            <v>(L01)</v>
          </cell>
          <cell r="P502" t="str">
            <v>Jam</v>
          </cell>
          <cell r="Q502">
            <v>0.12494422132976349</v>
          </cell>
          <cell r="R502">
            <v>2857.14</v>
          </cell>
          <cell r="U502">
            <v>356.98313253012043</v>
          </cell>
        </row>
        <row r="503">
          <cell r="A503">
            <v>2</v>
          </cell>
          <cell r="C503" t="str">
            <v>Dump Truck mengangkut material ke lokasi pekerjaan</v>
          </cell>
          <cell r="L503" t="str">
            <v>2.</v>
          </cell>
          <cell r="N503" t="str">
            <v>Mandor</v>
          </cell>
          <cell r="O503" t="str">
            <v>(L03)</v>
          </cell>
          <cell r="P503" t="str">
            <v>Jam</v>
          </cell>
          <cell r="Q503">
            <v>1.7849174475680501E-2</v>
          </cell>
          <cell r="R503">
            <v>3214.29</v>
          </cell>
          <cell r="U503">
            <v>57.372423025435076</v>
          </cell>
        </row>
        <row r="504">
          <cell r="A504">
            <v>3</v>
          </cell>
          <cell r="C504" t="str">
            <v>Motor Grader menghampar material di lokasi pekerjaan</v>
          </cell>
        </row>
        <row r="505">
          <cell r="A505">
            <v>4</v>
          </cell>
          <cell r="C505" t="str">
            <v>Semen dan material tanah diaduk ditempat dengan</v>
          </cell>
        </row>
        <row r="506">
          <cell r="C506" t="str">
            <v>menggunakan Vulvi Mixer</v>
          </cell>
          <cell r="Q506" t="str">
            <v xml:space="preserve">JUMLAH HARGA TENAGA   </v>
          </cell>
          <cell r="U506">
            <v>414.3555555555555</v>
          </cell>
        </row>
        <row r="507">
          <cell r="A507">
            <v>5</v>
          </cell>
          <cell r="C507" t="str">
            <v>Sebelum pemadatan material dibasahi dengan</v>
          </cell>
        </row>
        <row r="508">
          <cell r="C508" t="str">
            <v>menggunakan Water Tank Truck</v>
          </cell>
          <cell r="L508" t="str">
            <v>B.</v>
          </cell>
          <cell r="N508" t="str">
            <v>BAHAN</v>
          </cell>
        </row>
        <row r="509">
          <cell r="A509">
            <v>6</v>
          </cell>
          <cell r="C509" t="str">
            <v>Pemadatan dilakukan dengan menggunakan</v>
          </cell>
          <cell r="L509" t="str">
            <v>1.</v>
          </cell>
          <cell r="N509" t="str">
            <v>Tanah Timbunan  (M08)</v>
          </cell>
          <cell r="P509" t="str">
            <v>M3</v>
          </cell>
          <cell r="Q509">
            <v>1.2</v>
          </cell>
          <cell r="R509">
            <v>20000</v>
          </cell>
          <cell r="U509">
            <v>24000</v>
          </cell>
        </row>
        <row r="510">
          <cell r="C510" t="str">
            <v>Vibrator Roller dan Pneumatic Tire Roller</v>
          </cell>
        </row>
        <row r="511">
          <cell r="A511">
            <v>7</v>
          </cell>
          <cell r="C511" t="str">
            <v>Selama pelaksanaan pekerjaan sekelompok pekerja</v>
          </cell>
        </row>
        <row r="512">
          <cell r="C512" t="str">
            <v>akan merapikan tepi hamparan dan level permukaan</v>
          </cell>
        </row>
        <row r="513">
          <cell r="C513" t="str">
            <v>dengan menggunakan alat bantu</v>
          </cell>
        </row>
        <row r="515">
          <cell r="A515" t="str">
            <v>III.</v>
          </cell>
          <cell r="C515" t="str">
            <v>PEMAKAIAN BAHAN, ALAT DAN TENAGA</v>
          </cell>
        </row>
        <row r="516">
          <cell r="Q516" t="str">
            <v xml:space="preserve">JUMLAH HARGA BAHAN   </v>
          </cell>
          <cell r="U516">
            <v>24000</v>
          </cell>
        </row>
        <row r="517">
          <cell r="A517" t="str">
            <v>1.</v>
          </cell>
          <cell r="C517" t="str">
            <v>BAHAN</v>
          </cell>
        </row>
        <row r="518">
          <cell r="C518" t="str">
            <v>Setiap M3 Soil Cement padat diperlukan = 1 x Fk</v>
          </cell>
          <cell r="G518" t="str">
            <v>(M08)</v>
          </cell>
          <cell r="H518">
            <v>1.2</v>
          </cell>
          <cell r="I518" t="str">
            <v>M3</v>
          </cell>
          <cell r="L518" t="str">
            <v>C.</v>
          </cell>
          <cell r="N518" t="str">
            <v>PERALATAN</v>
          </cell>
        </row>
        <row r="519">
          <cell r="L519" t="str">
            <v>1.</v>
          </cell>
          <cell r="N519" t="str">
            <v>Wheel Loader</v>
          </cell>
          <cell r="O519" t="str">
            <v>(E15)</v>
          </cell>
          <cell r="P519" t="str">
            <v>Jam</v>
          </cell>
          <cell r="Q519">
            <v>1.7849174475680497E-2</v>
          </cell>
          <cell r="R519">
            <v>163808.13869490434</v>
          </cell>
          <cell r="U519">
            <v>2923.8400481018175</v>
          </cell>
        </row>
        <row r="520">
          <cell r="A520" t="str">
            <v>2.</v>
          </cell>
          <cell r="C520" t="str">
            <v>ALAT</v>
          </cell>
          <cell r="L520" t="str">
            <v>2.</v>
          </cell>
          <cell r="N520" t="str">
            <v>Dump Truck</v>
          </cell>
          <cell r="O520" t="str">
            <v>(E08)</v>
          </cell>
          <cell r="P520" t="str">
            <v>Jam</v>
          </cell>
          <cell r="Q520">
            <v>0.16651888679214849</v>
          </cell>
          <cell r="R520">
            <v>153645.58193291764</v>
          </cell>
          <cell r="U520">
            <v>25584.89126400129</v>
          </cell>
        </row>
        <row r="521">
          <cell r="A521" t="str">
            <v>2.a.</v>
          </cell>
          <cell r="C521" t="str">
            <v>WHEL LOADER</v>
          </cell>
          <cell r="G521" t="str">
            <v>(E15)</v>
          </cell>
          <cell r="L521" t="str">
            <v>3.</v>
          </cell>
          <cell r="N521" t="str">
            <v>Motor Grader</v>
          </cell>
          <cell r="O521" t="str">
            <v>(E13)</v>
          </cell>
          <cell r="P521" t="str">
            <v>Jam</v>
          </cell>
          <cell r="Q521">
            <v>8.3668005354752342E-3</v>
          </cell>
          <cell r="R521">
            <v>201666.62574070093</v>
          </cell>
          <cell r="U521">
            <v>1687.3044322347801</v>
          </cell>
        </row>
        <row r="522">
          <cell r="C522" t="str">
            <v>Kapasitas bucket</v>
          </cell>
          <cell r="G522" t="str">
            <v>V</v>
          </cell>
          <cell r="H522">
            <v>1.5</v>
          </cell>
          <cell r="I522" t="str">
            <v>M3</v>
          </cell>
          <cell r="L522" t="str">
            <v>4.</v>
          </cell>
          <cell r="N522" t="str">
            <v>Tandem Roller</v>
          </cell>
          <cell r="O522" t="str">
            <v>(E17)</v>
          </cell>
          <cell r="P522" t="str">
            <v>Jam</v>
          </cell>
          <cell r="Q522">
            <v>1.7849174475680501E-2</v>
          </cell>
          <cell r="R522">
            <v>293927.19306224468</v>
          </cell>
          <cell r="U522">
            <v>5246.3577521150328</v>
          </cell>
        </row>
        <row r="523">
          <cell r="C523" t="str">
            <v>Faktor bucket</v>
          </cell>
          <cell r="G523" t="str">
            <v>Fb</v>
          </cell>
          <cell r="H523">
            <v>0.9</v>
          </cell>
          <cell r="I523" t="str">
            <v>-</v>
          </cell>
          <cell r="J523" t="str">
            <v>Pemuatan ringan</v>
          </cell>
          <cell r="L523" t="str">
            <v>5.</v>
          </cell>
          <cell r="N523" t="str">
            <v>P. Tyre Roller</v>
          </cell>
          <cell r="O523" t="str">
            <v>(E18)</v>
          </cell>
          <cell r="P523" t="str">
            <v>Jam</v>
          </cell>
          <cell r="Q523">
            <v>8.5676037483266403E-3</v>
          </cell>
          <cell r="R523">
            <v>113384.24751021285</v>
          </cell>
          <cell r="U523">
            <v>971.43130396969514</v>
          </cell>
        </row>
        <row r="524">
          <cell r="C524" t="str">
            <v>Faktor efisiensi alat</v>
          </cell>
          <cell r="G524" t="str">
            <v>Fa</v>
          </cell>
          <cell r="H524">
            <v>0.83</v>
          </cell>
          <cell r="I524" t="str">
            <v>-</v>
          </cell>
          <cell r="L524" t="str">
            <v>6.</v>
          </cell>
          <cell r="N524" t="str">
            <v>Water Tanker</v>
          </cell>
          <cell r="O524" t="str">
            <v>(E23)</v>
          </cell>
          <cell r="P524" t="str">
            <v>Jam</v>
          </cell>
          <cell r="Q524">
            <v>7.0281124497991983E-3</v>
          </cell>
          <cell r="R524">
            <v>67020.510980434308</v>
          </cell>
          <cell r="U524">
            <v>471.02768761349421</v>
          </cell>
        </row>
        <row r="525">
          <cell r="C525" t="str">
            <v>Waktu siklus :</v>
          </cell>
          <cell r="G525" t="str">
            <v>Ts1</v>
          </cell>
          <cell r="L525" t="str">
            <v>7.</v>
          </cell>
          <cell r="N525" t="str">
            <v>Fulvi Mixer</v>
          </cell>
          <cell r="O525" t="str">
            <v>(E27)</v>
          </cell>
          <cell r="P525" t="str">
            <v>Jam</v>
          </cell>
          <cell r="Q525">
            <v>1.9277108433734941E-2</v>
          </cell>
          <cell r="R525">
            <v>559029.00777943374</v>
          </cell>
          <cell r="U525">
            <v>10776.462800567399</v>
          </cell>
        </row>
        <row r="526">
          <cell r="C526" t="str">
            <v>- Muat</v>
          </cell>
          <cell r="G526" t="str">
            <v>T1</v>
          </cell>
          <cell r="H526">
            <v>0.5</v>
          </cell>
          <cell r="I526" t="str">
            <v>menit</v>
          </cell>
          <cell r="L526" t="str">
            <v>8.</v>
          </cell>
          <cell r="N526" t="str">
            <v>Alat Bantu</v>
          </cell>
          <cell r="P526" t="str">
            <v>Ls</v>
          </cell>
          <cell r="Q526">
            <v>1</v>
          </cell>
          <cell r="R526">
            <v>90</v>
          </cell>
          <cell r="U526">
            <v>90</v>
          </cell>
        </row>
        <row r="527">
          <cell r="C527" t="str">
            <v>- Lain-lain</v>
          </cell>
          <cell r="G527" t="str">
            <v>T2</v>
          </cell>
          <cell r="H527">
            <v>0.5</v>
          </cell>
          <cell r="I527" t="str">
            <v>menit</v>
          </cell>
        </row>
        <row r="528">
          <cell r="G528" t="str">
            <v>Ts1</v>
          </cell>
          <cell r="H528">
            <v>1</v>
          </cell>
          <cell r="I528" t="str">
            <v>menit</v>
          </cell>
          <cell r="Q528" t="str">
            <v xml:space="preserve">JUMLAH HARGA PERALATAN   </v>
          </cell>
          <cell r="U528">
            <v>47751.31528860351</v>
          </cell>
        </row>
        <row r="530">
          <cell r="C530" t="str">
            <v>Kap. Prod. / Jam  =</v>
          </cell>
          <cell r="D530" t="str">
            <v>V x Fb x Fa x 60</v>
          </cell>
          <cell r="G530" t="str">
            <v>Q1</v>
          </cell>
          <cell r="H530">
            <v>56.025000000000006</v>
          </cell>
          <cell r="I530" t="str">
            <v>M3</v>
          </cell>
          <cell r="L530" t="str">
            <v>D.</v>
          </cell>
          <cell r="N530" t="str">
            <v>JUMLAH HARGA TENAGA, BAHAN DAN PERALATAN  ( A + B + C )</v>
          </cell>
          <cell r="U530">
            <v>72165.67084415906</v>
          </cell>
        </row>
        <row r="531">
          <cell r="D531" t="str">
            <v>Fk x Ts1</v>
          </cell>
          <cell r="L531" t="str">
            <v>E.</v>
          </cell>
          <cell r="N531" t="str">
            <v>OVERHEAD &amp; PROFIT</v>
          </cell>
          <cell r="P531">
            <v>10</v>
          </cell>
          <cell r="Q531" t="str">
            <v>%  x  D</v>
          </cell>
          <cell r="U531">
            <v>7216.5670844159067</v>
          </cell>
        </row>
        <row r="532">
          <cell r="L532" t="str">
            <v>F.</v>
          </cell>
          <cell r="N532" t="str">
            <v>HARGA SATUAN PEKERJAAN  ( D + E )</v>
          </cell>
          <cell r="U532">
            <v>79382.237928574963</v>
          </cell>
        </row>
        <row r="533">
          <cell r="C533" t="str">
            <v>Koefisien Alat / M3</v>
          </cell>
          <cell r="D533" t="str">
            <v xml:space="preserve"> = 1 / Q1</v>
          </cell>
          <cell r="G533" t="str">
            <v>(E15)</v>
          </cell>
          <cell r="H533">
            <v>1.7849174475680497E-2</v>
          </cell>
          <cell r="I533" t="str">
            <v>Jam</v>
          </cell>
          <cell r="L533" t="str">
            <v>Note: 1</v>
          </cell>
          <cell r="N533" t="str">
            <v>SATUAN dapat berdasarkan atas jam operasi untuk Tenaga Kerja dan Peralatan, volume dan/atau ukuran</v>
          </cell>
        </row>
        <row r="534">
          <cell r="N534" t="str">
            <v>berat untuk bahan-bahan.</v>
          </cell>
        </row>
        <row r="535">
          <cell r="L535">
            <v>2</v>
          </cell>
          <cell r="N535" t="str">
            <v>Kuantitas satuan adalah kuantitas setiap komponen untuk menyelesaikan satu satuan pekerjaan dari nomor</v>
          </cell>
        </row>
        <row r="536">
          <cell r="N536" t="str">
            <v>mata pembayaran.</v>
          </cell>
        </row>
        <row r="537">
          <cell r="L537">
            <v>3</v>
          </cell>
          <cell r="N537" t="str">
            <v>Biaya satuan untuk peralatan sudah termasuk bahan bakar, bahan habis dipakai dan operator.</v>
          </cell>
        </row>
        <row r="538">
          <cell r="L538">
            <v>4</v>
          </cell>
          <cell r="N538" t="str">
            <v>Biaya satuan sudah termasuk pengeluaran untuk seluruh pajak yang berkaitan (tetapi tidak termasuk PPN</v>
          </cell>
        </row>
        <row r="539">
          <cell r="J539" t="str">
            <v>Berlanjut ke halaman berikut</v>
          </cell>
          <cell r="N539" t="str">
            <v>yang dibayar dari kontrak) dan biaya-biaya lainnya.</v>
          </cell>
        </row>
        <row r="540">
          <cell r="A540" t="str">
            <v>ITEM PEMBAYARAN NO.</v>
          </cell>
          <cell r="D540" t="str">
            <v>:  4.2 (3)</v>
          </cell>
          <cell r="J540" t="str">
            <v>Analisa EI-423</v>
          </cell>
        </row>
        <row r="541">
          <cell r="A541" t="str">
            <v>JENIS PEKERJAAN</v>
          </cell>
          <cell r="D541" t="str">
            <v>:  Lapis Pondasi Semen Tanah</v>
          </cell>
        </row>
        <row r="542">
          <cell r="A542" t="str">
            <v>SATUAN PEMBAYARAN</v>
          </cell>
          <cell r="D542" t="str">
            <v>:  M3</v>
          </cell>
          <cell r="J542" t="str">
            <v xml:space="preserve">         URAIAN ANALISA HARGA SATUAN</v>
          </cell>
        </row>
        <row r="543">
          <cell r="J543" t="str">
            <v>Lanjutan</v>
          </cell>
        </row>
        <row r="545">
          <cell r="A545" t="str">
            <v>No.</v>
          </cell>
          <cell r="C545" t="str">
            <v>U R A I A N</v>
          </cell>
          <cell r="G545" t="str">
            <v>KODE</v>
          </cell>
          <cell r="H545" t="str">
            <v>KOEF.</v>
          </cell>
          <cell r="I545" t="str">
            <v>SATUAN</v>
          </cell>
          <cell r="J545" t="str">
            <v>KETERANGAN</v>
          </cell>
        </row>
        <row r="548">
          <cell r="A548" t="str">
            <v>2.b.</v>
          </cell>
          <cell r="C548" t="str">
            <v>DUMP TRUCK</v>
          </cell>
          <cell r="G548" t="str">
            <v>(E08)</v>
          </cell>
        </row>
        <row r="549">
          <cell r="C549" t="str">
            <v>Kapasitas bak</v>
          </cell>
          <cell r="G549" t="str">
            <v>V</v>
          </cell>
          <cell r="H549">
            <v>4</v>
          </cell>
          <cell r="I549" t="str">
            <v>M3</v>
          </cell>
        </row>
        <row r="550">
          <cell r="C550" t="str">
            <v>Faktor efisiensi alat</v>
          </cell>
          <cell r="G550" t="str">
            <v>Fa</v>
          </cell>
          <cell r="H550">
            <v>0.83</v>
          </cell>
          <cell r="I550" t="str">
            <v>-</v>
          </cell>
        </row>
        <row r="551">
          <cell r="C551" t="str">
            <v>Kecepatan rata-rata bermuatan</v>
          </cell>
          <cell r="G551" t="str">
            <v>v1</v>
          </cell>
          <cell r="H551">
            <v>45</v>
          </cell>
          <cell r="I551" t="str">
            <v>Km / Jam</v>
          </cell>
        </row>
        <row r="552">
          <cell r="C552" t="str">
            <v>Kecepatan rata-rata kosong</v>
          </cell>
          <cell r="G552" t="str">
            <v>v2</v>
          </cell>
          <cell r="H552">
            <v>60</v>
          </cell>
          <cell r="I552" t="str">
            <v>Km / Jam</v>
          </cell>
        </row>
        <row r="553">
          <cell r="C553" t="str">
            <v>Waktu Siklus  :  - Waktu memuat = V : Q1 x 60</v>
          </cell>
          <cell r="G553" t="str">
            <v>T1</v>
          </cell>
          <cell r="H553">
            <v>4.283801874163319</v>
          </cell>
          <cell r="I553" t="str">
            <v>menit</v>
          </cell>
        </row>
        <row r="554">
          <cell r="C554" t="str">
            <v>- Waktu tempuh isi          = (L : v1) x 60</v>
          </cell>
          <cell r="G554" t="str">
            <v>T2</v>
          </cell>
          <cell r="H554">
            <v>11.633333333333333</v>
          </cell>
          <cell r="I554" t="str">
            <v>menit</v>
          </cell>
        </row>
        <row r="555">
          <cell r="C555" t="str">
            <v>- Waktu tempuh kosong   = (L : v2) x 60</v>
          </cell>
          <cell r="G555" t="str">
            <v>T3</v>
          </cell>
          <cell r="H555">
            <v>8.7249999999999996</v>
          </cell>
          <cell r="I555" t="str">
            <v>menit</v>
          </cell>
        </row>
        <row r="556">
          <cell r="C556" t="str">
            <v>- Lain-lain</v>
          </cell>
          <cell r="G556" t="str">
            <v>T4</v>
          </cell>
          <cell r="H556">
            <v>3</v>
          </cell>
          <cell r="I556" t="str">
            <v>menit</v>
          </cell>
        </row>
        <row r="557">
          <cell r="G557" t="str">
            <v>Ts2</v>
          </cell>
          <cell r="H557">
            <v>27.642135207496651</v>
          </cell>
          <cell r="I557" t="str">
            <v>menit</v>
          </cell>
        </row>
        <row r="559">
          <cell r="C559" t="str">
            <v>Kapasitas Prod. / jam =</v>
          </cell>
          <cell r="E559" t="str">
            <v>V x Fa x 60</v>
          </cell>
          <cell r="G559" t="str">
            <v>Q2</v>
          </cell>
          <cell r="H559">
            <v>6.0053247968695338</v>
          </cell>
          <cell r="I559" t="str">
            <v>M3</v>
          </cell>
        </row>
        <row r="560">
          <cell r="E560" t="str">
            <v xml:space="preserve">   Fk x Ts2</v>
          </cell>
        </row>
        <row r="562">
          <cell r="C562" t="str">
            <v>Koefisien Alat / M3</v>
          </cell>
          <cell r="D562" t="str">
            <v xml:space="preserve"> =    1 / Q2</v>
          </cell>
          <cell r="G562" t="str">
            <v>(E08)</v>
          </cell>
          <cell r="H562">
            <v>0.16651888679214849</v>
          </cell>
          <cell r="I562" t="str">
            <v>Jam</v>
          </cell>
        </row>
        <row r="564">
          <cell r="A564" t="str">
            <v>2.c.</v>
          </cell>
          <cell r="C564" t="str">
            <v>MOTOR GRADER</v>
          </cell>
          <cell r="G564" t="str">
            <v>(E13)</v>
          </cell>
        </row>
        <row r="565">
          <cell r="C565" t="str">
            <v>Panjang hamparan</v>
          </cell>
          <cell r="G565" t="str">
            <v>Lh</v>
          </cell>
          <cell r="H565">
            <v>100</v>
          </cell>
          <cell r="I565" t="str">
            <v>M</v>
          </cell>
        </row>
        <row r="566">
          <cell r="C566" t="str">
            <v>Lebar efektif kerja blade</v>
          </cell>
          <cell r="G566" t="str">
            <v>b</v>
          </cell>
          <cell r="H566">
            <v>2.4</v>
          </cell>
          <cell r="I566" t="str">
            <v>M</v>
          </cell>
        </row>
        <row r="567">
          <cell r="C567" t="str">
            <v>Faktor efisiensi alat</v>
          </cell>
          <cell r="G567" t="str">
            <v>Fa</v>
          </cell>
          <cell r="H567">
            <v>0.83</v>
          </cell>
          <cell r="I567" t="str">
            <v>-</v>
          </cell>
        </row>
        <row r="568">
          <cell r="C568" t="str">
            <v>Kecepatan rata-rata alat</v>
          </cell>
          <cell r="G568" t="str">
            <v>v</v>
          </cell>
          <cell r="H568">
            <v>4</v>
          </cell>
          <cell r="I568" t="str">
            <v>Km / Jam</v>
          </cell>
        </row>
        <row r="569">
          <cell r="C569" t="str">
            <v>Jumlah lintasan</v>
          </cell>
          <cell r="G569" t="str">
            <v>n</v>
          </cell>
          <cell r="H569">
            <v>6</v>
          </cell>
          <cell r="I569" t="str">
            <v>lintasan</v>
          </cell>
          <cell r="J569" t="str">
            <v>3 x pp</v>
          </cell>
        </row>
        <row r="570">
          <cell r="C570" t="str">
            <v>Waktu siklus</v>
          </cell>
          <cell r="G570" t="str">
            <v>Ts3</v>
          </cell>
        </row>
        <row r="571">
          <cell r="C571" t="str">
            <v>- Perataan 1 lintasan  = Lh : (v x 1000) x 60</v>
          </cell>
          <cell r="G571" t="str">
            <v>T1</v>
          </cell>
          <cell r="H571">
            <v>1.5</v>
          </cell>
          <cell r="I571" t="str">
            <v>menit</v>
          </cell>
        </row>
        <row r="572">
          <cell r="C572" t="str">
            <v>- Lain-lain</v>
          </cell>
          <cell r="G572" t="str">
            <v>T2</v>
          </cell>
          <cell r="H572">
            <v>1</v>
          </cell>
          <cell r="I572" t="str">
            <v>menit</v>
          </cell>
        </row>
        <row r="573">
          <cell r="G573" t="str">
            <v>Ts3</v>
          </cell>
          <cell r="H573">
            <v>2.5</v>
          </cell>
          <cell r="I573" t="str">
            <v>menit</v>
          </cell>
        </row>
        <row r="575">
          <cell r="C575" t="str">
            <v>Kap. Prod. / Jam  =</v>
          </cell>
          <cell r="D575" t="str">
            <v>Lh x b x t x Fa x 60</v>
          </cell>
          <cell r="G575" t="str">
            <v>Q3</v>
          </cell>
          <cell r="H575">
            <v>119.52</v>
          </cell>
          <cell r="I575" t="str">
            <v>M3</v>
          </cell>
        </row>
        <row r="576">
          <cell r="D576" t="str">
            <v>n x Ts3</v>
          </cell>
        </row>
        <row r="578">
          <cell r="C578" t="str">
            <v>Koefisien Alat / M3</v>
          </cell>
          <cell r="D578" t="str">
            <v xml:space="preserve"> =  1 / Q3</v>
          </cell>
          <cell r="G578" t="str">
            <v>(E13)</v>
          </cell>
          <cell r="H578">
            <v>8.3668005354752342E-3</v>
          </cell>
          <cell r="I578" t="str">
            <v>jam</v>
          </cell>
        </row>
        <row r="580">
          <cell r="A580" t="str">
            <v>2.d.</v>
          </cell>
          <cell r="C580" t="str">
            <v>TANDEM ROLLER</v>
          </cell>
          <cell r="G580" t="str">
            <v>(E19)</v>
          </cell>
        </row>
        <row r="581">
          <cell r="C581" t="str">
            <v>Kecepatan rata-rata alat</v>
          </cell>
          <cell r="G581" t="str">
            <v>v</v>
          </cell>
          <cell r="H581">
            <v>3</v>
          </cell>
          <cell r="I581" t="str">
            <v>Km / Jam</v>
          </cell>
        </row>
        <row r="582">
          <cell r="C582" t="str">
            <v>Lebar efektif pemadatan</v>
          </cell>
          <cell r="G582" t="str">
            <v>b</v>
          </cell>
          <cell r="H582">
            <v>1.2</v>
          </cell>
          <cell r="I582" t="str">
            <v>M</v>
          </cell>
        </row>
        <row r="583">
          <cell r="C583" t="str">
            <v>Jumlah lintasan</v>
          </cell>
          <cell r="G583" t="str">
            <v>n</v>
          </cell>
          <cell r="H583">
            <v>8</v>
          </cell>
          <cell r="I583" t="str">
            <v>lintasan</v>
          </cell>
          <cell r="J583" t="str">
            <v>4 x pp</v>
          </cell>
        </row>
        <row r="584">
          <cell r="C584" t="str">
            <v>Faktor efisiensi alat</v>
          </cell>
          <cell r="G584" t="str">
            <v>Fa</v>
          </cell>
          <cell r="H584">
            <v>0.83</v>
          </cell>
          <cell r="I584" t="str">
            <v>-</v>
          </cell>
        </row>
        <row r="586">
          <cell r="C586" t="str">
            <v xml:space="preserve">Kap. Prod. / Jam = </v>
          </cell>
          <cell r="D586" t="str">
            <v>(v x 1000) x b x t x Fa</v>
          </cell>
          <cell r="G586" t="str">
            <v>Q4</v>
          </cell>
          <cell r="H586">
            <v>56.024999999999999</v>
          </cell>
          <cell r="I586" t="str">
            <v>M3</v>
          </cell>
        </row>
        <row r="587">
          <cell r="D587" t="str">
            <v>n</v>
          </cell>
        </row>
        <row r="589">
          <cell r="C589" t="str">
            <v>Koefisien Alat / M3</v>
          </cell>
          <cell r="D589" t="str">
            <v xml:space="preserve"> = 1/ Q4</v>
          </cell>
          <cell r="G589" t="str">
            <v>(E19)</v>
          </cell>
          <cell r="H589">
            <v>1.7849174475680501E-2</v>
          </cell>
          <cell r="I589" t="str">
            <v>Jam</v>
          </cell>
        </row>
        <row r="591">
          <cell r="A591" t="str">
            <v>2.e.</v>
          </cell>
          <cell r="C591" t="str">
            <v>PNEUMATIC TIRE ROLLER</v>
          </cell>
          <cell r="G591" t="str">
            <v>(E18)</v>
          </cell>
        </row>
        <row r="592">
          <cell r="C592" t="str">
            <v>Kecepatan rata-rata alat</v>
          </cell>
          <cell r="G592" t="str">
            <v>v</v>
          </cell>
          <cell r="H592">
            <v>5</v>
          </cell>
          <cell r="I592" t="str">
            <v>Km / Jam</v>
          </cell>
        </row>
        <row r="593">
          <cell r="C593" t="str">
            <v>Lebar efektif pemadatan</v>
          </cell>
          <cell r="G593" t="str">
            <v>b</v>
          </cell>
          <cell r="H593">
            <v>1.5</v>
          </cell>
          <cell r="I593" t="str">
            <v>M</v>
          </cell>
        </row>
        <row r="594">
          <cell r="C594" t="str">
            <v>Jumlah lintasan</v>
          </cell>
          <cell r="G594" t="str">
            <v>n</v>
          </cell>
          <cell r="H594">
            <v>8</v>
          </cell>
          <cell r="I594" t="str">
            <v>lintasan</v>
          </cell>
          <cell r="J594" t="str">
            <v>4 x pp</v>
          </cell>
        </row>
        <row r="595">
          <cell r="C595" t="str">
            <v>Faktor efisiensi alat</v>
          </cell>
          <cell r="G595" t="str">
            <v>Fa</v>
          </cell>
          <cell r="H595">
            <v>0.83</v>
          </cell>
          <cell r="I595" t="str">
            <v>-</v>
          </cell>
        </row>
        <row r="598">
          <cell r="J598" t="str">
            <v>Berlanjut ke halaman berikut</v>
          </cell>
        </row>
        <row r="599">
          <cell r="A599" t="str">
            <v>ITEM PEMBAYARAN NO.</v>
          </cell>
          <cell r="D599" t="str">
            <v>:  4.2 (3)</v>
          </cell>
          <cell r="J599" t="str">
            <v>Analisa EI-423</v>
          </cell>
        </row>
        <row r="600">
          <cell r="A600" t="str">
            <v>JENIS PEKERJAAN</v>
          </cell>
          <cell r="D600" t="str">
            <v>:  Lapis Pondasi Semen Tanah</v>
          </cell>
        </row>
        <row r="601">
          <cell r="A601" t="str">
            <v>SATUAN PEMBAYARAN</v>
          </cell>
          <cell r="D601" t="str">
            <v>:  M3</v>
          </cell>
          <cell r="J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C607" t="str">
            <v xml:space="preserve">Kap. Prod. / Jam = </v>
          </cell>
          <cell r="D607" t="str">
            <v>(v x 1000) x b x t x Fa</v>
          </cell>
          <cell r="G607" t="str">
            <v>Q5</v>
          </cell>
          <cell r="H607">
            <v>116.71875</v>
          </cell>
          <cell r="I607" t="str">
            <v>M3</v>
          </cell>
        </row>
        <row r="608">
          <cell r="D608" t="str">
            <v>n</v>
          </cell>
        </row>
        <row r="610">
          <cell r="C610" t="str">
            <v>Koefisien Alat / M3</v>
          </cell>
          <cell r="D610" t="str">
            <v xml:space="preserve"> = 1 / Q5</v>
          </cell>
          <cell r="G610" t="str">
            <v>(E18)</v>
          </cell>
          <cell r="H610">
            <v>8.5676037483266403E-3</v>
          </cell>
          <cell r="I610" t="str">
            <v>Jam</v>
          </cell>
        </row>
        <row r="612">
          <cell r="A612" t="str">
            <v>2.e.</v>
          </cell>
          <cell r="C612" t="str">
            <v>WATER TANK TRUCK</v>
          </cell>
          <cell r="G612" t="str">
            <v>(E23)</v>
          </cell>
        </row>
        <row r="613">
          <cell r="C613" t="str">
            <v>Volume Tangki air</v>
          </cell>
          <cell r="G613" t="str">
            <v>V</v>
          </cell>
          <cell r="H613">
            <v>4</v>
          </cell>
          <cell r="I613" t="str">
            <v>M3</v>
          </cell>
        </row>
        <row r="614">
          <cell r="C614" t="str">
            <v>Kebutuhan air / M3 material padat</v>
          </cell>
          <cell r="G614" t="str">
            <v>Wc</v>
          </cell>
          <cell r="H614">
            <v>7.0000000000000007E-2</v>
          </cell>
          <cell r="I614" t="str">
            <v>M3</v>
          </cell>
        </row>
        <row r="615">
          <cell r="C615" t="str">
            <v>Pengisian tanhgki / jam</v>
          </cell>
          <cell r="G615" t="str">
            <v>n</v>
          </cell>
          <cell r="H615">
            <v>3</v>
          </cell>
          <cell r="I615" t="str">
            <v>kali</v>
          </cell>
        </row>
        <row r="616">
          <cell r="C616" t="str">
            <v>Faktor efisiensi alat</v>
          </cell>
          <cell r="G616" t="str">
            <v>Fa</v>
          </cell>
          <cell r="H616">
            <v>0.83</v>
          </cell>
          <cell r="I616" t="str">
            <v>-</v>
          </cell>
        </row>
        <row r="618">
          <cell r="C618" t="str">
            <v>Kap. Prod. / Jam  =</v>
          </cell>
          <cell r="D618" t="str">
            <v>V x n x Fa</v>
          </cell>
          <cell r="G618" t="str">
            <v>Q6</v>
          </cell>
          <cell r="H618">
            <v>142.28571428571425</v>
          </cell>
          <cell r="I618" t="str">
            <v>M3</v>
          </cell>
        </row>
        <row r="619">
          <cell r="D619" t="str">
            <v>Wc</v>
          </cell>
        </row>
        <row r="621">
          <cell r="C621" t="str">
            <v>Koefisien Alat / M3</v>
          </cell>
          <cell r="D621" t="str">
            <v xml:space="preserve">  = 1 / Q6</v>
          </cell>
          <cell r="G621" t="str">
            <v>(E23)</v>
          </cell>
          <cell r="H621">
            <v>7.0281124497991983E-3</v>
          </cell>
          <cell r="I621" t="str">
            <v>Jam</v>
          </cell>
        </row>
        <row r="623">
          <cell r="A623" t="str">
            <v>2.f.</v>
          </cell>
          <cell r="C623" t="str">
            <v>FULVI MIXER</v>
          </cell>
          <cell r="G623" t="str">
            <v>(E27)</v>
          </cell>
        </row>
        <row r="624">
          <cell r="C624" t="str">
            <v>Kecepatan rata-rata alat</v>
          </cell>
          <cell r="G624" t="str">
            <v>v</v>
          </cell>
          <cell r="H624">
            <v>2.5</v>
          </cell>
          <cell r="I624" t="str">
            <v>Km / Jam</v>
          </cell>
        </row>
        <row r="625">
          <cell r="C625" t="str">
            <v>Lebar efektif pemadatan</v>
          </cell>
          <cell r="G625" t="str">
            <v>b</v>
          </cell>
          <cell r="H625">
            <v>1</v>
          </cell>
          <cell r="I625" t="str">
            <v>M</v>
          </cell>
        </row>
        <row r="626">
          <cell r="C626" t="str">
            <v>Jumlah lintasan</v>
          </cell>
          <cell r="G626" t="str">
            <v>n</v>
          </cell>
          <cell r="H626">
            <v>6</v>
          </cell>
          <cell r="I626" t="str">
            <v>lintasan</v>
          </cell>
          <cell r="J626" t="str">
            <v>3 x pp</v>
          </cell>
        </row>
        <row r="627">
          <cell r="C627" t="str">
            <v>Faktor efisiensi alat</v>
          </cell>
          <cell r="G627" t="str">
            <v>Fa</v>
          </cell>
          <cell r="H627">
            <v>0.83</v>
          </cell>
          <cell r="I627" t="str">
            <v>-</v>
          </cell>
        </row>
        <row r="629">
          <cell r="C629" t="str">
            <v xml:space="preserve">Kap. Prod. / Jam = </v>
          </cell>
          <cell r="D629" t="str">
            <v>(v x 1000) x b x t x Fa</v>
          </cell>
          <cell r="G629" t="str">
            <v>Q7</v>
          </cell>
          <cell r="H629">
            <v>51.875</v>
          </cell>
          <cell r="I629" t="str">
            <v>M3</v>
          </cell>
        </row>
        <row r="630">
          <cell r="D630" t="str">
            <v>n</v>
          </cell>
        </row>
        <row r="632">
          <cell r="C632" t="str">
            <v>Koefisien Alat / M3</v>
          </cell>
          <cell r="D632" t="str">
            <v xml:space="preserve">  = 1 / Q7</v>
          </cell>
          <cell r="G632" t="str">
            <v>(E27)</v>
          </cell>
          <cell r="H632">
            <v>1.9277108433734941E-2</v>
          </cell>
          <cell r="I632" t="str">
            <v>Jam</v>
          </cell>
        </row>
        <row r="634">
          <cell r="A634" t="str">
            <v>2.g.</v>
          </cell>
          <cell r="C634" t="str">
            <v>ALAT BANTU</v>
          </cell>
        </row>
        <row r="635">
          <cell r="C635" t="str">
            <v>Diperlukan :</v>
          </cell>
          <cell r="J635" t="str">
            <v>Lump Sump</v>
          </cell>
        </row>
        <row r="636">
          <cell r="C636" t="str">
            <v>- Kereta dorong  = 2 buah</v>
          </cell>
        </row>
        <row r="637">
          <cell r="C637" t="str">
            <v>- Sekop             = 3 buah</v>
          </cell>
        </row>
        <row r="639">
          <cell r="A639" t="str">
            <v>3.</v>
          </cell>
          <cell r="C639" t="str">
            <v>TENAGA</v>
          </cell>
        </row>
        <row r="640">
          <cell r="C640" t="str">
            <v>Produksi menetukan : VIBRATOR ROLLER</v>
          </cell>
          <cell r="G640" t="str">
            <v>Q4</v>
          </cell>
          <cell r="H640">
            <v>56.024999999999999</v>
          </cell>
          <cell r="I640" t="str">
            <v>M3/Jam</v>
          </cell>
        </row>
        <row r="641">
          <cell r="C641" t="str">
            <v>Produksi Soil Cement / hari  = Tk x Q4</v>
          </cell>
          <cell r="G641" t="str">
            <v>Qt</v>
          </cell>
          <cell r="H641">
            <v>392.17500000000001</v>
          </cell>
          <cell r="I641" t="str">
            <v>M3</v>
          </cell>
        </row>
        <row r="642">
          <cell r="C642" t="str">
            <v>Kebutuhan tenaga  :</v>
          </cell>
        </row>
        <row r="643">
          <cell r="D643" t="str">
            <v>- Pekerja</v>
          </cell>
          <cell r="G643" t="str">
            <v>P</v>
          </cell>
          <cell r="H643">
            <v>7</v>
          </cell>
          <cell r="I643" t="str">
            <v>orang</v>
          </cell>
        </row>
        <row r="644">
          <cell r="D644" t="str">
            <v>- Mandor</v>
          </cell>
          <cell r="G644" t="str">
            <v>M</v>
          </cell>
          <cell r="H644">
            <v>1</v>
          </cell>
          <cell r="I644" t="str">
            <v>orang</v>
          </cell>
        </row>
        <row r="646">
          <cell r="C646" t="str">
            <v>Koefisien tenaga / M3  :</v>
          </cell>
        </row>
        <row r="647">
          <cell r="D647" t="str">
            <v>- Pekerja</v>
          </cell>
          <cell r="E647" t="str">
            <v xml:space="preserve">  = (Tk x P) : Qt</v>
          </cell>
          <cell r="G647" t="str">
            <v>(L01)</v>
          </cell>
          <cell r="H647">
            <v>0.12494422132976349</v>
          </cell>
          <cell r="I647" t="str">
            <v>Jam</v>
          </cell>
        </row>
        <row r="648">
          <cell r="D648" t="str">
            <v>- Mandor</v>
          </cell>
          <cell r="E648" t="str">
            <v xml:space="preserve">  = (Tk x M) : Qt</v>
          </cell>
          <cell r="G648" t="str">
            <v>(L03)</v>
          </cell>
          <cell r="H648">
            <v>1.7849174475680501E-2</v>
          </cell>
          <cell r="I648" t="str">
            <v>Jam</v>
          </cell>
        </row>
        <row r="657">
          <cell r="J657" t="str">
            <v>Berlanjut ke halaman berikut</v>
          </cell>
        </row>
        <row r="658">
          <cell r="A658" t="str">
            <v>ITEM PEMBAYARAN NO.</v>
          </cell>
          <cell r="D658" t="str">
            <v>:  4.2 (3)</v>
          </cell>
          <cell r="J658" t="str">
            <v>Analisa EI-423</v>
          </cell>
        </row>
        <row r="659">
          <cell r="A659" t="str">
            <v>JENIS PEKERJAAN</v>
          </cell>
          <cell r="D659" t="str">
            <v>:  Lapis Pondasi Semen Tanah</v>
          </cell>
        </row>
        <row r="660">
          <cell r="A660" t="str">
            <v>SATUAN PEMBAYARAN</v>
          </cell>
          <cell r="D660" t="str">
            <v>:  M3</v>
          </cell>
          <cell r="J660" t="str">
            <v xml:space="preserve">         URAIAN ANALISA HARGA SATUAN</v>
          </cell>
        </row>
        <row r="661">
          <cell r="J661" t="str">
            <v>Lanjutan</v>
          </cell>
        </row>
        <row r="663">
          <cell r="A663" t="str">
            <v>No.</v>
          </cell>
          <cell r="C663" t="str">
            <v>U R A I A N</v>
          </cell>
          <cell r="G663" t="str">
            <v>KODE</v>
          </cell>
          <cell r="H663" t="str">
            <v>KOEF.</v>
          </cell>
          <cell r="I663" t="str">
            <v>SATUAN</v>
          </cell>
          <cell r="J663" t="str">
            <v>KETERANGAN</v>
          </cell>
        </row>
        <row r="666">
          <cell r="A666" t="str">
            <v>4.</v>
          </cell>
          <cell r="C666" t="str">
            <v>HARGA DASAR SATUAN UPAH, BAHAN DAN ALAT</v>
          </cell>
        </row>
        <row r="667">
          <cell r="C667" t="str">
            <v>Lihat lampiran.</v>
          </cell>
        </row>
        <row r="670">
          <cell r="A670" t="str">
            <v>5.</v>
          </cell>
          <cell r="C670" t="str">
            <v>ANALISA HARGA SATUAN PEKERJAAN</v>
          </cell>
        </row>
        <row r="671">
          <cell r="C671" t="str">
            <v>Lihat perhitungan dalam FORMULIR STANDAR UNTUK</v>
          </cell>
        </row>
        <row r="672">
          <cell r="C672" t="str">
            <v>PEREKEMAN ANALISA MASING-MASING HARGA</v>
          </cell>
        </row>
        <row r="673">
          <cell r="C673" t="str">
            <v>SATUAN.</v>
          </cell>
        </row>
        <row r="674">
          <cell r="C674" t="str">
            <v>Didapat Harga Satuan Pekerjaan :</v>
          </cell>
        </row>
        <row r="676">
          <cell r="C676" t="str">
            <v xml:space="preserve">Rp.  </v>
          </cell>
          <cell r="D676">
            <v>79382.237928574963</v>
          </cell>
          <cell r="E676" t="str">
            <v xml:space="preserve"> / M3</v>
          </cell>
        </row>
        <row r="679">
          <cell r="A679" t="str">
            <v>6.</v>
          </cell>
          <cell r="C679" t="str">
            <v>WAKTU PELAKSANAAN YANG DIPERLUKAN</v>
          </cell>
        </row>
        <row r="680">
          <cell r="C680" t="str">
            <v>Waktu pelaksanaan</v>
          </cell>
          <cell r="D680" t="str">
            <v>:  . . . . . . .  bulan</v>
          </cell>
        </row>
        <row r="682">
          <cell r="A682" t="str">
            <v>7.</v>
          </cell>
          <cell r="C682" t="str">
            <v>VOLUME PEKERJAAN YANG DIPERLUKAN</v>
          </cell>
        </row>
        <row r="683">
          <cell r="C683" t="str">
            <v>Volume pekerjaan  :</v>
          </cell>
          <cell r="D683">
            <v>0</v>
          </cell>
          <cell r="E683" t="str">
            <v>M3</v>
          </cell>
        </row>
        <row r="897">
          <cell r="A897" t="str">
            <v>ITEM PEMBAYARAN NO.</v>
          </cell>
          <cell r="D897" t="str">
            <v>:  4.2 (6)</v>
          </cell>
          <cell r="J897" t="str">
            <v>Analisa EI-426</v>
          </cell>
          <cell r="T897" t="str">
            <v>Analisa EI-426</v>
          </cell>
        </row>
        <row r="898">
          <cell r="A898" t="str">
            <v>JENIS PEKERJAAN</v>
          </cell>
          <cell r="D898" t="str">
            <v>:  Aspal Utk. Pekerjaan Pelaburan</v>
          </cell>
        </row>
        <row r="899">
          <cell r="A899" t="str">
            <v>SATUAN PEMBAYARAN</v>
          </cell>
          <cell r="D899" t="str">
            <v>:  LITER</v>
          </cell>
          <cell r="J899" t="str">
            <v xml:space="preserve">         URAIAN ANALISA HARGA SATUAN</v>
          </cell>
          <cell r="L899" t="str">
            <v>FORMULIR STANDAR UNTUK</v>
          </cell>
        </row>
        <row r="900">
          <cell r="L900" t="str">
            <v>PEREKAMAN ANALISA MASING-MASING HARGA SATUAN</v>
          </cell>
        </row>
        <row r="901">
          <cell r="L901" t="str">
            <v xml:space="preserve">                                                                                                            </v>
          </cell>
        </row>
        <row r="902">
          <cell r="A902" t="str">
            <v>No.</v>
          </cell>
          <cell r="C902" t="str">
            <v>U R A I A N</v>
          </cell>
          <cell r="G902" t="str">
            <v>KODE</v>
          </cell>
          <cell r="H902" t="str">
            <v>KOEF.</v>
          </cell>
          <cell r="I902" t="str">
            <v>SATUAN</v>
          </cell>
          <cell r="J902" t="str">
            <v>KETERANGAN</v>
          </cell>
        </row>
        <row r="904">
          <cell r="L904" t="str">
            <v>PROYEK</v>
          </cell>
          <cell r="O904" t="str">
            <v>:</v>
          </cell>
        </row>
        <row r="905">
          <cell r="A905" t="str">
            <v>I.</v>
          </cell>
          <cell r="C905" t="str">
            <v>ASUMSI</v>
          </cell>
          <cell r="L905" t="str">
            <v>No. PAKET KONTRAK</v>
          </cell>
          <cell r="O905" t="str">
            <v>:</v>
          </cell>
        </row>
        <row r="906">
          <cell r="A906">
            <v>1</v>
          </cell>
          <cell r="C906" t="str">
            <v>Menggunakan alat berat (cara mekanik)</v>
          </cell>
          <cell r="L906" t="str">
            <v>NAMA PAKET</v>
          </cell>
          <cell r="O906" t="str">
            <v>:</v>
          </cell>
        </row>
        <row r="907">
          <cell r="A907">
            <v>2</v>
          </cell>
          <cell r="C907" t="str">
            <v>Lokasi pekerjaan : sepanjang jalan</v>
          </cell>
          <cell r="L907" t="str">
            <v>PROP / KAB / KODYA</v>
          </cell>
          <cell r="O907" t="str">
            <v>:</v>
          </cell>
        </row>
        <row r="908">
          <cell r="A908">
            <v>3</v>
          </cell>
          <cell r="C908" t="str">
            <v>Jarak rata-rata Base Camp ke lokasi pekerjaan</v>
          </cell>
          <cell r="G908" t="str">
            <v>L</v>
          </cell>
          <cell r="H908">
            <v>8.7249999999999996</v>
          </cell>
          <cell r="I908" t="str">
            <v>KM</v>
          </cell>
          <cell r="L908" t="str">
            <v>ITEM PEMBAYARAN NO.</v>
          </cell>
          <cell r="O908" t="str">
            <v>:  4.2 (6)</v>
          </cell>
          <cell r="R908" t="str">
            <v>PERKIRAAN VOL. PEK.</v>
          </cell>
          <cell r="T908" t="str">
            <v>:</v>
          </cell>
          <cell r="U908">
            <v>0</v>
          </cell>
        </row>
        <row r="909">
          <cell r="A909">
            <v>4</v>
          </cell>
          <cell r="C909" t="str">
            <v>Jam kerja efektif per-hari</v>
          </cell>
          <cell r="G909" t="str">
            <v>Tk</v>
          </cell>
          <cell r="H909">
            <v>7</v>
          </cell>
          <cell r="I909" t="str">
            <v>Jam</v>
          </cell>
          <cell r="L909" t="str">
            <v>JENIS PEKERJAAN</v>
          </cell>
          <cell r="O909" t="str">
            <v>:  Aspal Utk. Pekerjaan Pelaburan</v>
          </cell>
          <cell r="R909" t="str">
            <v>TOTAL HARGA (Rp.)</v>
          </cell>
          <cell r="T909" t="str">
            <v>:</v>
          </cell>
          <cell r="U909">
            <v>0</v>
          </cell>
        </row>
        <row r="910">
          <cell r="A910">
            <v>5</v>
          </cell>
          <cell r="C910" t="str">
            <v>Faktor kehilangan bahan</v>
          </cell>
          <cell r="G910" t="str">
            <v>Fh</v>
          </cell>
          <cell r="H910">
            <v>1.1000000000000001</v>
          </cell>
          <cell r="I910" t="str">
            <v>-</v>
          </cell>
          <cell r="L910" t="str">
            <v>SATUAN PEMBAYARAN</v>
          </cell>
          <cell r="O910" t="str">
            <v>:  LITER</v>
          </cell>
          <cell r="R910" t="str">
            <v>% THD. BIAYA PROYEK</v>
          </cell>
          <cell r="T910" t="str">
            <v>:</v>
          </cell>
          <cell r="U910" t="e">
            <v>#DIV/0!</v>
          </cell>
        </row>
        <row r="911">
          <cell r="A911">
            <v>6</v>
          </cell>
          <cell r="C911" t="str">
            <v>Komposisi campuran  :</v>
          </cell>
        </row>
        <row r="912">
          <cell r="A912" t="str">
            <v xml:space="preserve"> </v>
          </cell>
          <cell r="C912" t="str">
            <v>- Aspal AC - 10 atau AC - 20</v>
          </cell>
          <cell r="G912" t="str">
            <v>As</v>
          </cell>
          <cell r="H912">
            <v>95.238095238095227</v>
          </cell>
          <cell r="I912" t="str">
            <v>%</v>
          </cell>
          <cell r="J912" t="str">
            <v>100 bagian</v>
          </cell>
        </row>
        <row r="913">
          <cell r="A913" t="str">
            <v xml:space="preserve"> </v>
          </cell>
          <cell r="C913" t="str">
            <v>- Minyak Tanah / Pencair</v>
          </cell>
          <cell r="G913" t="str">
            <v>K</v>
          </cell>
          <cell r="H913">
            <v>4.7619047619047734</v>
          </cell>
          <cell r="I913" t="str">
            <v>%</v>
          </cell>
          <cell r="J913" t="str">
            <v>5 bagian</v>
          </cell>
          <cell r="Q913" t="str">
            <v>PERKIRAAN</v>
          </cell>
          <cell r="R913" t="str">
            <v>HARGA</v>
          </cell>
          <cell r="S913" t="str">
            <v>JUMLAH</v>
          </cell>
        </row>
        <row r="914">
          <cell r="A914">
            <v>7</v>
          </cell>
          <cell r="C914" t="str">
            <v>Berat jenis bahan  :</v>
          </cell>
          <cell r="L914" t="str">
            <v>NO.</v>
          </cell>
          <cell r="N914" t="str">
            <v>KOMPONEN</v>
          </cell>
          <cell r="P914" t="str">
            <v>SATUAN</v>
          </cell>
          <cell r="Q914" t="str">
            <v>KUANTITAS</v>
          </cell>
          <cell r="R914" t="str">
            <v>SATUAN</v>
          </cell>
          <cell r="S914" t="str">
            <v>HARGA</v>
          </cell>
        </row>
        <row r="915">
          <cell r="C915" t="str">
            <v>- Aspal AC - 10 atau AC - 20</v>
          </cell>
          <cell r="G915" t="str">
            <v>D1</v>
          </cell>
          <cell r="H915">
            <v>1.05</v>
          </cell>
          <cell r="I915" t="str">
            <v>Kg / Ltr</v>
          </cell>
          <cell r="R915" t="str">
            <v>(Rp.)</v>
          </cell>
          <cell r="S915" t="str">
            <v>(Rp.)</v>
          </cell>
        </row>
        <row r="916">
          <cell r="C916" t="str">
            <v>- Minyak Tanah / Pencair</v>
          </cell>
          <cell r="G916" t="str">
            <v>D2</v>
          </cell>
          <cell r="H916">
            <v>0.8</v>
          </cell>
          <cell r="I916" t="str">
            <v>Kg / Ltr</v>
          </cell>
        </row>
        <row r="917">
          <cell r="A917">
            <v>8</v>
          </cell>
          <cell r="C917" t="str">
            <v>Bahan dasar (aspal &amp; minyak pencair) semuanya</v>
          </cell>
        </row>
        <row r="918">
          <cell r="C918" t="str">
            <v>diterima dilokasi pekerjaan</v>
          </cell>
          <cell r="L918" t="str">
            <v>A.</v>
          </cell>
          <cell r="N918" t="str">
            <v>TENAGA</v>
          </cell>
        </row>
        <row r="919">
          <cell r="A919" t="str">
            <v xml:space="preserve"> </v>
          </cell>
          <cell r="C919" t="str">
            <v xml:space="preserve"> </v>
          </cell>
        </row>
        <row r="920">
          <cell r="A920" t="str">
            <v>II.</v>
          </cell>
          <cell r="C920" t="str">
            <v>URUTAN KERJA</v>
          </cell>
          <cell r="L920" t="str">
            <v>1.</v>
          </cell>
          <cell r="N920" t="str">
            <v>Pekerja</v>
          </cell>
          <cell r="O920" t="str">
            <v>(L01)</v>
          </cell>
          <cell r="P920" t="str">
            <v>Jam</v>
          </cell>
          <cell r="Q920">
            <v>2.8348688873139617E-2</v>
          </cell>
          <cell r="R920">
            <v>2857.14</v>
          </cell>
          <cell r="U920">
            <v>80.996172927002121</v>
          </cell>
        </row>
        <row r="921">
          <cell r="A921">
            <v>1</v>
          </cell>
          <cell r="C921" t="str">
            <v>Aspal dan minyak tanah dicampur dan dipanaskan</v>
          </cell>
          <cell r="L921" t="str">
            <v>2.</v>
          </cell>
          <cell r="N921" t="str">
            <v>Mandor</v>
          </cell>
          <cell r="O921" t="str">
            <v>(L03)</v>
          </cell>
          <cell r="P921" t="str">
            <v>Jam</v>
          </cell>
          <cell r="Q921">
            <v>2.8348688873139618E-3</v>
          </cell>
          <cell r="R921">
            <v>3214.29</v>
          </cell>
          <cell r="U921">
            <v>9.1120907158043938</v>
          </cell>
        </row>
        <row r="922">
          <cell r="C922" t="str">
            <v>sehingga menjadi campuran aspal cair</v>
          </cell>
        </row>
        <row r="923">
          <cell r="A923">
            <v>2</v>
          </cell>
          <cell r="C923" t="str">
            <v>Permukaan yang akan dilapis dibersihkan dari debu</v>
          </cell>
        </row>
        <row r="924">
          <cell r="C924" t="str">
            <v>dan kotoran dengan Air Compresor</v>
          </cell>
          <cell r="Q924" t="str">
            <v xml:space="preserve">JUMLAH HARGA TENAGA   </v>
          </cell>
          <cell r="U924">
            <v>90.10826364280652</v>
          </cell>
        </row>
        <row r="925">
          <cell r="A925">
            <v>3</v>
          </cell>
          <cell r="C925" t="str">
            <v>Campuran aspal cair disemprotkan dengan Asphalt</v>
          </cell>
        </row>
        <row r="926">
          <cell r="C926" t="str">
            <v>Sprayer ke atas permukaan yang akan dilapis</v>
          </cell>
          <cell r="L926" t="str">
            <v>B.</v>
          </cell>
          <cell r="N926" t="str">
            <v>BAHAN</v>
          </cell>
        </row>
        <row r="927">
          <cell r="A927">
            <v>4</v>
          </cell>
          <cell r="C927" t="str">
            <v>Angkutan Aspal dan Minyak Tanah menggunakan</v>
          </cell>
          <cell r="Q927" t="str">
            <v xml:space="preserve"> </v>
          </cell>
        </row>
        <row r="928">
          <cell r="C928" t="str">
            <v>Dump Truck</v>
          </cell>
          <cell r="L928" t="str">
            <v>1.</v>
          </cell>
          <cell r="N928" t="str">
            <v>Aspal</v>
          </cell>
          <cell r="O928" t="str">
            <v>(M10)</v>
          </cell>
          <cell r="P928" t="str">
            <v>Kg</v>
          </cell>
          <cell r="Q928">
            <v>1.1000000000000001</v>
          </cell>
          <cell r="R928">
            <v>2086.6280000000002</v>
          </cell>
          <cell r="U928">
            <v>2295.2908000000002</v>
          </cell>
        </row>
        <row r="929">
          <cell r="L929" t="str">
            <v>2.</v>
          </cell>
          <cell r="N929" t="str">
            <v>Minyak Tanah</v>
          </cell>
          <cell r="O929" t="str">
            <v>(M11)</v>
          </cell>
          <cell r="P929" t="str">
            <v>Liter</v>
          </cell>
          <cell r="Q929">
            <v>5.2380952380952514E-2</v>
          </cell>
          <cell r="R929">
            <v>1650</v>
          </cell>
          <cell r="U929">
            <v>86.428571428571644</v>
          </cell>
        </row>
        <row r="930">
          <cell r="A930" t="str">
            <v>III.</v>
          </cell>
          <cell r="C930" t="str">
            <v>PEMAKAIAN BAHAN, ALAT DAN TENAGA</v>
          </cell>
        </row>
        <row r="932">
          <cell r="A932" t="str">
            <v xml:space="preserve">   1.</v>
          </cell>
          <cell r="C932" t="str">
            <v>BAHAN</v>
          </cell>
        </row>
        <row r="933">
          <cell r="C933" t="str">
            <v>Untuk mendapatkan 1 liter Lapis resap Pengikat</v>
          </cell>
        </row>
        <row r="934">
          <cell r="C934" t="str">
            <v>diperlukan :</v>
          </cell>
          <cell r="D934" t="str">
            <v>(1 liter x Fh)</v>
          </cell>
          <cell r="G934" t="str">
            <v>Pc</v>
          </cell>
          <cell r="H934">
            <v>1.1000000000000001</v>
          </cell>
          <cell r="I934" t="str">
            <v>liter</v>
          </cell>
          <cell r="J934" t="str">
            <v>Campuran</v>
          </cell>
          <cell r="Q934" t="str">
            <v xml:space="preserve">JUMLAH HARGA BAHAN   </v>
          </cell>
          <cell r="U934">
            <v>2381.7193714285718</v>
          </cell>
        </row>
        <row r="936">
          <cell r="C936" t="str">
            <v>Aspal</v>
          </cell>
          <cell r="D936" t="str">
            <v>= As x Pc x D1 : 100</v>
          </cell>
          <cell r="G936" t="str">
            <v>(M10)</v>
          </cell>
          <cell r="H936">
            <v>1.1000000000000001</v>
          </cell>
          <cell r="I936" t="str">
            <v>Kg</v>
          </cell>
          <cell r="L936" t="str">
            <v>C.</v>
          </cell>
          <cell r="N936" t="str">
            <v>PERALATAN</v>
          </cell>
        </row>
        <row r="937">
          <cell r="C937" t="str">
            <v>Minyak Tanah</v>
          </cell>
          <cell r="D937" t="str">
            <v>= K x Pc : 100</v>
          </cell>
          <cell r="G937" t="str">
            <v>(M11)</v>
          </cell>
          <cell r="H937">
            <v>5.2380952380952514E-2</v>
          </cell>
          <cell r="I937" t="str">
            <v>liter</v>
          </cell>
        </row>
        <row r="938">
          <cell r="L938" t="str">
            <v>1.</v>
          </cell>
          <cell r="N938" t="str">
            <v>Asphalt Sprayer  (E03)</v>
          </cell>
          <cell r="P938" t="str">
            <v>Jam</v>
          </cell>
          <cell r="Q938">
            <v>2.8348688873139618E-3</v>
          </cell>
          <cell r="R938">
            <v>30575.535383788432</v>
          </cell>
          <cell r="U938">
            <v>86.677633972468982</v>
          </cell>
        </row>
        <row r="939">
          <cell r="A939" t="str">
            <v>2.</v>
          </cell>
          <cell r="C939" t="str">
            <v>ALAT</v>
          </cell>
          <cell r="L939" t="str">
            <v>2.</v>
          </cell>
          <cell r="N939" t="str">
            <v>Air Compresor    (E05)</v>
          </cell>
          <cell r="P939" t="str">
            <v>Jam</v>
          </cell>
          <cell r="Q939">
            <v>1.7857142857142857E-3</v>
          </cell>
          <cell r="R939">
            <v>53840.365312835944</v>
          </cell>
          <cell r="U939">
            <v>96.143509487207041</v>
          </cell>
        </row>
        <row r="940">
          <cell r="A940" t="str">
            <v>2.a.</v>
          </cell>
          <cell r="C940" t="str">
            <v>APHALT SPRAYER</v>
          </cell>
          <cell r="G940" t="str">
            <v>(E03)</v>
          </cell>
          <cell r="L940" t="str">
            <v>3.</v>
          </cell>
          <cell r="N940" t="str">
            <v>Dump Truck</v>
          </cell>
          <cell r="O940" t="str">
            <v>(E08)</v>
          </cell>
          <cell r="P940" t="str">
            <v>Jam</v>
          </cell>
          <cell r="Q940">
            <v>2.8348688873139618E-3</v>
          </cell>
          <cell r="R940">
            <v>153645.58193291764</v>
          </cell>
          <cell r="U940">
            <v>435.56507989487642</v>
          </cell>
        </row>
        <row r="941">
          <cell r="C941" t="str">
            <v>Kapasitas alat</v>
          </cell>
          <cell r="G941" t="str">
            <v>V</v>
          </cell>
          <cell r="H941">
            <v>850</v>
          </cell>
          <cell r="I941" t="str">
            <v>liter</v>
          </cell>
        </row>
        <row r="942">
          <cell r="C942" t="str">
            <v>Faktor Efisiensi Alat</v>
          </cell>
          <cell r="G942" t="str">
            <v>Fa</v>
          </cell>
          <cell r="H942">
            <v>0.83</v>
          </cell>
          <cell r="I942" t="str">
            <v>-</v>
          </cell>
        </row>
        <row r="943">
          <cell r="C943" t="str">
            <v>Waktu Siklus (termasuk proses pemanasan)</v>
          </cell>
          <cell r="G943" t="str">
            <v>Ts</v>
          </cell>
          <cell r="H943">
            <v>2</v>
          </cell>
          <cell r="I943" t="str">
            <v>Jam</v>
          </cell>
        </row>
        <row r="945">
          <cell r="C945" t="str">
            <v>Kap.Prod. / jam =</v>
          </cell>
          <cell r="D945" t="str">
            <v>V x Fa</v>
          </cell>
          <cell r="G945" t="str">
            <v>Q1</v>
          </cell>
          <cell r="H945">
            <v>352.75</v>
          </cell>
          <cell r="I945" t="str">
            <v>liter</v>
          </cell>
        </row>
        <row r="946">
          <cell r="D946" t="str">
            <v>Ts</v>
          </cell>
          <cell r="Q946" t="str">
            <v xml:space="preserve">JUMLAH HARGA PERALATAN   </v>
          </cell>
          <cell r="U946">
            <v>618.38622335455238</v>
          </cell>
        </row>
        <row r="947">
          <cell r="C947" t="str">
            <v>Koefisien Alat / Ltr</v>
          </cell>
          <cell r="D947" t="str">
            <v xml:space="preserve"> = 1 : Q1</v>
          </cell>
          <cell r="G947" t="str">
            <v>(E03)</v>
          </cell>
          <cell r="H947">
            <v>2.8348688873139618E-3</v>
          </cell>
          <cell r="I947" t="str">
            <v>Jam</v>
          </cell>
        </row>
        <row r="948">
          <cell r="L948" t="str">
            <v>D.</v>
          </cell>
          <cell r="N948" t="str">
            <v>JUMLAH HARGA TENAGA, BAHAN DAN PERALATAN  ( A + B + C )</v>
          </cell>
          <cell r="U948">
            <v>3090.2138584259305</v>
          </cell>
        </row>
        <row r="949">
          <cell r="A949" t="str">
            <v>2.b.</v>
          </cell>
          <cell r="C949" t="str">
            <v>AIR COMPRESOR</v>
          </cell>
          <cell r="G949" t="str">
            <v>(E05)</v>
          </cell>
          <cell r="L949" t="str">
            <v>E.</v>
          </cell>
          <cell r="N949" t="str">
            <v>OVERHEAD &amp; PROFIT</v>
          </cell>
          <cell r="P949">
            <v>10</v>
          </cell>
          <cell r="Q949" t="str">
            <v>%  x  D</v>
          </cell>
          <cell r="U949">
            <v>309.02138584259308</v>
          </cell>
        </row>
        <row r="950">
          <cell r="C950" t="str">
            <v>Kapasitas Alat ------&gt;&gt;  diambil</v>
          </cell>
          <cell r="G950" t="str">
            <v>V</v>
          </cell>
          <cell r="H950">
            <v>700</v>
          </cell>
          <cell r="I950" t="str">
            <v>M2 / Jam</v>
          </cell>
          <cell r="L950" t="str">
            <v>F.</v>
          </cell>
          <cell r="N950" t="str">
            <v>HARGA SATUAN PEKERJAAN  ( D + E )</v>
          </cell>
          <cell r="U950">
            <v>3399.2352442685237</v>
          </cell>
        </row>
        <row r="951">
          <cell r="C951" t="str">
            <v>Aplikasi rata-rata</v>
          </cell>
          <cell r="G951" t="str">
            <v>Ap</v>
          </cell>
          <cell r="H951">
            <v>0.8</v>
          </cell>
          <cell r="I951" t="str">
            <v>liter / M2</v>
          </cell>
          <cell r="L951" t="str">
            <v>Note: 1</v>
          </cell>
          <cell r="N951" t="str">
            <v>SATUAN dapat berdasarkan atas jam operasi untuk Tenaga Kerja dan Peralatan, volume dan/atau ukuran</v>
          </cell>
        </row>
        <row r="952">
          <cell r="N952" t="str">
            <v>berat untuk bahan-bahan.</v>
          </cell>
        </row>
        <row r="953">
          <cell r="C953" t="str">
            <v xml:space="preserve">Kap. Prod. / jam = </v>
          </cell>
          <cell r="D953" t="str">
            <v>(V x Ap)</v>
          </cell>
          <cell r="G953" t="str">
            <v>Q2</v>
          </cell>
          <cell r="H953">
            <v>560</v>
          </cell>
          <cell r="I953" t="str">
            <v>liter</v>
          </cell>
          <cell r="L953">
            <v>2</v>
          </cell>
          <cell r="N953" t="str">
            <v>Kuantitas satuan adalah kuantitas setiap komponen untuk menyelesaikan satu satuan pekerjaan dari nomor</v>
          </cell>
        </row>
        <row r="954">
          <cell r="N954" t="str">
            <v>mata pembayaran.</v>
          </cell>
        </row>
        <row r="955">
          <cell r="C955" t="str">
            <v>Koefisien Alat / Ltr</v>
          </cell>
          <cell r="D955" t="str">
            <v xml:space="preserve"> = 1 : Q2</v>
          </cell>
          <cell r="G955" t="str">
            <v>(E05)</v>
          </cell>
          <cell r="H955">
            <v>1.7857142857142857E-3</v>
          </cell>
          <cell r="I955" t="str">
            <v>Jam</v>
          </cell>
          <cell r="L955">
            <v>3</v>
          </cell>
          <cell r="N955" t="str">
            <v>Biaya satuan untuk peralatan sudah termasuk bahan bakar, bahan habis dipakai dan operator.</v>
          </cell>
        </row>
        <row r="956">
          <cell r="L956">
            <v>4</v>
          </cell>
          <cell r="N956" t="str">
            <v>Biaya satuan sudah termasuk pengeluaran untuk seluruh pajak yang berkaitan (tetapi tidak termasuk PPN</v>
          </cell>
        </row>
        <row r="957">
          <cell r="J957" t="str">
            <v>Berlanjut ke halaman berikut</v>
          </cell>
          <cell r="N957" t="str">
            <v>yang dibayar dari kontrak) dan biaya-biaya lainnya.</v>
          </cell>
        </row>
        <row r="958">
          <cell r="A958" t="str">
            <v>ITEM PEMBAYARAN NO.</v>
          </cell>
          <cell r="D958" t="str">
            <v>:  4.2 (6)</v>
          </cell>
          <cell r="J958" t="str">
            <v>Analisa EI-426</v>
          </cell>
        </row>
        <row r="959">
          <cell r="A959" t="str">
            <v xml:space="preserve">JENIS PEKERJAAN                                  </v>
          </cell>
          <cell r="D959" t="str">
            <v>:  Aspal Utk. Pekerjaan Pelaburan</v>
          </cell>
        </row>
        <row r="960">
          <cell r="A960" t="str">
            <v>SATUAN PEMBAYARAN</v>
          </cell>
          <cell r="D960" t="str">
            <v>:  LITER</v>
          </cell>
          <cell r="J960" t="str">
            <v xml:space="preserve">         URAIAN ANALISA HARGA SATUAN</v>
          </cell>
        </row>
        <row r="961">
          <cell r="J961" t="str">
            <v>Lanjutan</v>
          </cell>
        </row>
        <row r="963">
          <cell r="A963" t="str">
            <v>No.</v>
          </cell>
          <cell r="C963" t="str">
            <v>U R A I A N</v>
          </cell>
          <cell r="G963" t="str">
            <v>KODE</v>
          </cell>
          <cell r="H963" t="str">
            <v>KOEF.</v>
          </cell>
          <cell r="I963" t="str">
            <v>SATUAN</v>
          </cell>
          <cell r="J963" t="str">
            <v>KETERANGAN</v>
          </cell>
        </row>
        <row r="966">
          <cell r="A966" t="str">
            <v>2.c.</v>
          </cell>
          <cell r="C966" t="str">
            <v>DUMP TRUCK (DT)</v>
          </cell>
          <cell r="G966" t="str">
            <v>(E08)</v>
          </cell>
        </row>
        <row r="967">
          <cell r="C967" t="str">
            <v>Sebagai alat pengangkut bahan dilokasi pekerjaan</v>
          </cell>
        </row>
        <row r="968">
          <cell r="C968" t="str">
            <v>Dump Truck melayani alat Asphalt Sprayer.</v>
          </cell>
        </row>
        <row r="969">
          <cell r="C969" t="str">
            <v>Kap.Prod. / jam = sama dengan Asphalt Sprayer</v>
          </cell>
          <cell r="G969" t="str">
            <v>Q3</v>
          </cell>
          <cell r="H969">
            <v>352.75</v>
          </cell>
          <cell r="I969" t="str">
            <v>liter</v>
          </cell>
        </row>
        <row r="971">
          <cell r="C971" t="str">
            <v>Koefisien Alat / Ltr</v>
          </cell>
          <cell r="D971" t="str">
            <v xml:space="preserve"> = 1 : Q3</v>
          </cell>
          <cell r="G971" t="str">
            <v>(E08)</v>
          </cell>
          <cell r="H971">
            <v>2.8348688873139618E-3</v>
          </cell>
          <cell r="I971" t="str">
            <v>Jam</v>
          </cell>
        </row>
        <row r="973">
          <cell r="A973" t="str">
            <v>3.</v>
          </cell>
          <cell r="C973" t="str">
            <v>TENAGA</v>
          </cell>
        </row>
        <row r="974">
          <cell r="C974" t="str">
            <v>Produksi menentukan : ASPHALT SPRAYER</v>
          </cell>
          <cell r="G974" t="str">
            <v>Q1</v>
          </cell>
          <cell r="H974">
            <v>352.75</v>
          </cell>
          <cell r="I974" t="str">
            <v>Ltr/Jam</v>
          </cell>
        </row>
        <row r="975">
          <cell r="C975" t="str">
            <v>Produksi / hari  =  Tk x Q1</v>
          </cell>
          <cell r="G975" t="str">
            <v>Qt</v>
          </cell>
          <cell r="H975">
            <v>2469.25</v>
          </cell>
          <cell r="I975" t="str">
            <v>Liter</v>
          </cell>
        </row>
        <row r="976">
          <cell r="C976" t="str">
            <v>Kebutuhan tenaga :</v>
          </cell>
        </row>
        <row r="977">
          <cell r="D977" t="str">
            <v>- Pekerja</v>
          </cell>
          <cell r="G977" t="str">
            <v>P</v>
          </cell>
          <cell r="H977">
            <v>10</v>
          </cell>
          <cell r="I977" t="str">
            <v>orang</v>
          </cell>
        </row>
        <row r="978">
          <cell r="D978" t="str">
            <v>- Mandor</v>
          </cell>
          <cell r="G978" t="str">
            <v>M</v>
          </cell>
          <cell r="H978">
            <v>1</v>
          </cell>
          <cell r="I978" t="str">
            <v>orang</v>
          </cell>
        </row>
        <row r="980">
          <cell r="C980" t="str">
            <v>Koefisien Tenaga / Ltr     :</v>
          </cell>
        </row>
        <row r="981">
          <cell r="D981" t="str">
            <v>- Pekerja</v>
          </cell>
          <cell r="E981" t="str">
            <v>= (Tk x P) / Qt</v>
          </cell>
          <cell r="G981" t="str">
            <v>(L01)</v>
          </cell>
          <cell r="H981">
            <v>2.8348688873139617E-2</v>
          </cell>
          <cell r="I981" t="str">
            <v>Jam</v>
          </cell>
        </row>
        <row r="982">
          <cell r="D982" t="str">
            <v>- Mandor</v>
          </cell>
          <cell r="E982" t="str">
            <v>= (Tk x M) / Qt</v>
          </cell>
          <cell r="G982" t="str">
            <v>(L03)</v>
          </cell>
          <cell r="H982">
            <v>2.8348688873139618E-3</v>
          </cell>
          <cell r="I982" t="str">
            <v>Jam</v>
          </cell>
        </row>
        <row r="984">
          <cell r="A984" t="str">
            <v>4.</v>
          </cell>
          <cell r="C984" t="str">
            <v>HARGA DASAR SATUAN UPAH, BAHAN DAN ALAT</v>
          </cell>
        </row>
        <row r="985">
          <cell r="C985" t="str">
            <v>Lihat lampiran.</v>
          </cell>
        </row>
        <row r="987">
          <cell r="A987" t="str">
            <v>5.</v>
          </cell>
          <cell r="C987" t="str">
            <v>ANALISA HARGA SATUAN PEKERJAAN</v>
          </cell>
        </row>
        <row r="988">
          <cell r="C988" t="str">
            <v>Lihat perhitungan dalam FORMULIR STANDAR UNTUK</v>
          </cell>
        </row>
        <row r="989">
          <cell r="C989" t="str">
            <v>PEREKEMAN ANALISA MASING-MASING HARGA</v>
          </cell>
        </row>
        <row r="990">
          <cell r="C990" t="str">
            <v>SATUAN.</v>
          </cell>
        </row>
        <row r="991">
          <cell r="C991" t="str">
            <v>Didapat Harga Satuan Pekerjaan :</v>
          </cell>
        </row>
        <row r="993">
          <cell r="C993" t="str">
            <v xml:space="preserve">Rp.  </v>
          </cell>
          <cell r="D993">
            <v>3399.2352442685237</v>
          </cell>
          <cell r="E993" t="str">
            <v xml:space="preserve"> / Liter</v>
          </cell>
        </row>
        <row r="996">
          <cell r="A996" t="str">
            <v>6.</v>
          </cell>
          <cell r="C996" t="str">
            <v>WAKTU PELAKSANAAN YANG DIPERLUKAN</v>
          </cell>
        </row>
        <row r="997">
          <cell r="C997" t="str">
            <v>Waktu pelaksanaan</v>
          </cell>
          <cell r="D997" t="str">
            <v>:  . . . . . . .  bulan</v>
          </cell>
        </row>
        <row r="999">
          <cell r="A999" t="str">
            <v>7.</v>
          </cell>
          <cell r="C999" t="str">
            <v>VOLUME PEKERJAAN YANG DIPERLUKAN</v>
          </cell>
        </row>
        <row r="1000">
          <cell r="C1000" t="str">
            <v>Volume pekerjaan  :</v>
          </cell>
          <cell r="D1000">
            <v>0</v>
          </cell>
          <cell r="E1000" t="str">
            <v>Liter</v>
          </cell>
        </row>
        <row r="1015">
          <cell r="C1015" t="str">
            <v xml:space="preserve"> </v>
          </cell>
        </row>
        <row r="1017">
          <cell r="A1017" t="str">
            <v>ITEM PEMBAYARAN NO.</v>
          </cell>
          <cell r="D1017" t="str">
            <v>:  4.2 (7)</v>
          </cell>
          <cell r="J1017" t="str">
            <v>Analisa EI-427</v>
          </cell>
          <cell r="T1017" t="str">
            <v>Analisa EI-427</v>
          </cell>
        </row>
        <row r="1018">
          <cell r="A1018" t="str">
            <v>JENIS PEKERJAAN</v>
          </cell>
          <cell r="D1018" t="str">
            <v>:  Lapis Resap Pengikat</v>
          </cell>
        </row>
        <row r="1019">
          <cell r="A1019" t="str">
            <v>SATUAN PEMBAYARAN</v>
          </cell>
          <cell r="D1019" t="str">
            <v>:  LITER</v>
          </cell>
          <cell r="J1019" t="str">
            <v xml:space="preserve">         URAIAN ANALISA HARGA SATUAN</v>
          </cell>
          <cell r="L1019" t="str">
            <v>FORMULIR STANDAR UNTUK</v>
          </cell>
        </row>
        <row r="1020">
          <cell r="L1020" t="str">
            <v>PEREKAMAN ANALISA MASING-MASING HARGA SATUAN</v>
          </cell>
        </row>
        <row r="1021">
          <cell r="L1021" t="str">
            <v xml:space="preserve">                                                                                                            </v>
          </cell>
        </row>
        <row r="1022">
          <cell r="A1022" t="str">
            <v>No.</v>
          </cell>
          <cell r="C1022" t="str">
            <v>U R A I A N</v>
          </cell>
          <cell r="G1022" t="str">
            <v>KODE</v>
          </cell>
          <cell r="H1022" t="str">
            <v>KOEF.</v>
          </cell>
          <cell r="I1022" t="str">
            <v>SATUAN</v>
          </cell>
          <cell r="J1022" t="str">
            <v>KETERANGAN</v>
          </cell>
        </row>
        <row r="1024">
          <cell r="L1024" t="str">
            <v>PROYEK</v>
          </cell>
          <cell r="O1024" t="str">
            <v>:</v>
          </cell>
        </row>
        <row r="1025">
          <cell r="A1025" t="str">
            <v>I.</v>
          </cell>
          <cell r="C1025" t="str">
            <v>ASUMSI</v>
          </cell>
          <cell r="L1025" t="str">
            <v>No. PAKET KONTRAK</v>
          </cell>
          <cell r="O1025" t="str">
            <v>:</v>
          </cell>
        </row>
        <row r="1026">
          <cell r="A1026">
            <v>1</v>
          </cell>
          <cell r="C1026" t="str">
            <v>Menggunakan alat berat (cara mekanik)</v>
          </cell>
          <cell r="L1026" t="str">
            <v>NAMA PAKET</v>
          </cell>
          <cell r="O1026" t="str">
            <v>:</v>
          </cell>
        </row>
        <row r="1027">
          <cell r="A1027">
            <v>2</v>
          </cell>
          <cell r="C1027" t="str">
            <v>Lokasi pekerjaan : sepanjang jalan</v>
          </cell>
          <cell r="L1027" t="str">
            <v>PROP / KAB / KODYA</v>
          </cell>
          <cell r="O1027" t="str">
            <v>:</v>
          </cell>
        </row>
        <row r="1028">
          <cell r="A1028">
            <v>3</v>
          </cell>
          <cell r="C1028" t="str">
            <v>Jarak rata-rata Base Camp ke lokasi pekerjaan</v>
          </cell>
          <cell r="G1028" t="str">
            <v>L</v>
          </cell>
          <cell r="H1028">
            <v>8.7249999999999996</v>
          </cell>
          <cell r="I1028" t="str">
            <v>KM</v>
          </cell>
          <cell r="L1028" t="str">
            <v>ITEM PEMBAYARAN NO.</v>
          </cell>
          <cell r="O1028" t="str">
            <v>:  4.2 (7)</v>
          </cell>
          <cell r="R1028" t="str">
            <v>PERKIRAAN VOL. PEK.</v>
          </cell>
          <cell r="T1028" t="str">
            <v>:</v>
          </cell>
          <cell r="U1028">
            <v>1</v>
          </cell>
        </row>
        <row r="1029">
          <cell r="A1029">
            <v>4</v>
          </cell>
          <cell r="C1029" t="str">
            <v>Jam kerja efektif per-hari</v>
          </cell>
          <cell r="G1029" t="str">
            <v>Tk</v>
          </cell>
          <cell r="H1029">
            <v>7</v>
          </cell>
          <cell r="I1029" t="str">
            <v>Jam</v>
          </cell>
          <cell r="L1029" t="str">
            <v>JENIS PEKERJAAN</v>
          </cell>
          <cell r="O1029" t="str">
            <v>:  Lapis Resap Pengikat</v>
          </cell>
          <cell r="R1029" t="str">
            <v>TOTAL HARGA (Rp.)</v>
          </cell>
          <cell r="T1029" t="str">
            <v>:</v>
          </cell>
          <cell r="U1029">
            <v>305360.27</v>
          </cell>
        </row>
        <row r="1030">
          <cell r="A1030">
            <v>5</v>
          </cell>
          <cell r="C1030" t="str">
            <v>Faktor kehilangan bahan</v>
          </cell>
          <cell r="G1030" t="str">
            <v>Fh</v>
          </cell>
          <cell r="H1030">
            <v>1.1000000000000001</v>
          </cell>
          <cell r="I1030" t="str">
            <v>-</v>
          </cell>
          <cell r="L1030" t="str">
            <v>SATUAN PEMBAYARAN</v>
          </cell>
          <cell r="O1030" t="str">
            <v>:  LITER</v>
          </cell>
          <cell r="R1030" t="str">
            <v>% THD. BIAYA PROYEK</v>
          </cell>
          <cell r="T1030" t="str">
            <v>:</v>
          </cell>
          <cell r="U1030" t="e">
            <v>#DIV/0!</v>
          </cell>
        </row>
        <row r="1031">
          <cell r="A1031">
            <v>6</v>
          </cell>
          <cell r="C1031" t="str">
            <v>Komposisi campuran :</v>
          </cell>
        </row>
        <row r="1032">
          <cell r="C1032" t="str">
            <v>- Aspal AC-10 atau AC-20</v>
          </cell>
          <cell r="G1032" t="str">
            <v>As</v>
          </cell>
          <cell r="H1032">
            <v>56</v>
          </cell>
          <cell r="I1032" t="str">
            <v>%</v>
          </cell>
          <cell r="J1032" t="str">
            <v xml:space="preserve"> 100 bagian</v>
          </cell>
        </row>
        <row r="1033">
          <cell r="C1033" t="str">
            <v>- Minyak Flux / Pencair</v>
          </cell>
          <cell r="G1033" t="str">
            <v>K</v>
          </cell>
          <cell r="H1033">
            <v>44</v>
          </cell>
          <cell r="I1033" t="str">
            <v>%</v>
          </cell>
          <cell r="J1033" t="str">
            <v xml:space="preserve"> 80   bagian</v>
          </cell>
          <cell r="Q1033" t="str">
            <v>PERKIRAAN</v>
          </cell>
          <cell r="R1033" t="str">
            <v>HARGA</v>
          </cell>
          <cell r="S1033" t="str">
            <v>JUMLAH</v>
          </cell>
        </row>
        <row r="1034">
          <cell r="A1034">
            <v>7</v>
          </cell>
          <cell r="C1034" t="str">
            <v>Berat jenis bahan :</v>
          </cell>
          <cell r="L1034" t="str">
            <v>NO.</v>
          </cell>
          <cell r="N1034" t="str">
            <v>KOMPONEN</v>
          </cell>
          <cell r="P1034" t="str">
            <v>SATUAN</v>
          </cell>
          <cell r="Q1034" t="str">
            <v>KUANTITAS</v>
          </cell>
          <cell r="R1034" t="str">
            <v>SATUAN</v>
          </cell>
          <cell r="S1034" t="str">
            <v>HARGA</v>
          </cell>
        </row>
        <row r="1035">
          <cell r="C1035" t="str">
            <v>- Aspal AC-10 atau AC-20</v>
          </cell>
          <cell r="G1035" t="str">
            <v>D1</v>
          </cell>
          <cell r="H1035">
            <v>1.03</v>
          </cell>
          <cell r="I1035" t="str">
            <v>Kg / liter</v>
          </cell>
          <cell r="R1035" t="str">
            <v>(Rp.)</v>
          </cell>
          <cell r="S1035" t="str">
            <v>(Rp.)</v>
          </cell>
        </row>
        <row r="1036">
          <cell r="C1036" t="str">
            <v>- Minyak Flux / Pencair</v>
          </cell>
          <cell r="G1036" t="str">
            <v>D2</v>
          </cell>
          <cell r="H1036">
            <v>0.8</v>
          </cell>
          <cell r="I1036" t="str">
            <v>Kg / liter</v>
          </cell>
        </row>
        <row r="1037">
          <cell r="A1037">
            <v>8</v>
          </cell>
          <cell r="C1037" t="str">
            <v>Bahan dasar (aspal &amp; minyak pencair) semuanya</v>
          </cell>
        </row>
        <row r="1038">
          <cell r="C1038" t="str">
            <v>diterima di lokasi pekerjaan</v>
          </cell>
          <cell r="L1038" t="str">
            <v>A.</v>
          </cell>
          <cell r="N1038" t="str">
            <v>TENAGA</v>
          </cell>
        </row>
        <row r="1040">
          <cell r="A1040" t="str">
            <v>II.</v>
          </cell>
          <cell r="C1040" t="str">
            <v>URUTAN KERJA</v>
          </cell>
          <cell r="L1040" t="str">
            <v>1.</v>
          </cell>
          <cell r="N1040" t="str">
            <v>Pekerja</v>
          </cell>
          <cell r="O1040" t="str">
            <v>(L01)</v>
          </cell>
          <cell r="P1040" t="str">
            <v>Jam</v>
          </cell>
          <cell r="Q1040">
            <v>2.8348688873139617E-2</v>
          </cell>
          <cell r="R1040">
            <v>2857.14</v>
          </cell>
          <cell r="U1040">
            <v>80.996172927002121</v>
          </cell>
        </row>
        <row r="1041">
          <cell r="A1041">
            <v>1</v>
          </cell>
          <cell r="C1041" t="str">
            <v>Aspal dan Minyak Flux dicampur dan dipanaskan</v>
          </cell>
          <cell r="L1041" t="str">
            <v>2.</v>
          </cell>
          <cell r="N1041" t="str">
            <v>Mandor</v>
          </cell>
          <cell r="O1041" t="str">
            <v>(L03)</v>
          </cell>
          <cell r="P1041" t="str">
            <v>Jam</v>
          </cell>
          <cell r="Q1041">
            <v>5.6697377746279237E-3</v>
          </cell>
          <cell r="R1041">
            <v>3214.29</v>
          </cell>
          <cell r="U1041">
            <v>18.224181431608788</v>
          </cell>
        </row>
        <row r="1042">
          <cell r="C1042" t="str">
            <v>sehingga menjadi campuran aspal cair</v>
          </cell>
        </row>
        <row r="1043">
          <cell r="A1043">
            <v>2</v>
          </cell>
          <cell r="C1043" t="str">
            <v>Permukaan yang akan dilapis dibersihkan dari debu</v>
          </cell>
        </row>
        <row r="1044">
          <cell r="C1044" t="str">
            <v>dan kotoran dengan Air Compressor</v>
          </cell>
          <cell r="Q1044" t="str">
            <v xml:space="preserve">JUMLAH HARGA TENAGA   </v>
          </cell>
          <cell r="U1044">
            <v>99.220354358610905</v>
          </cell>
        </row>
        <row r="1045">
          <cell r="A1045">
            <v>3</v>
          </cell>
          <cell r="C1045" t="str">
            <v>Campuran aspal cair disemprotkan dengan Asphalt</v>
          </cell>
        </row>
        <row r="1046">
          <cell r="C1046" t="str">
            <v>Sprayer ke atas permukaan yang akan dilapis.</v>
          </cell>
          <cell r="L1046" t="str">
            <v>B.</v>
          </cell>
          <cell r="N1046" t="str">
            <v>BAHAN</v>
          </cell>
        </row>
        <row r="1047">
          <cell r="A1047">
            <v>4</v>
          </cell>
          <cell r="C1047" t="str">
            <v>Angkutan Aspal &amp; Minyak Flux menggunakan Dump</v>
          </cell>
        </row>
        <row r="1048">
          <cell r="C1048" t="str">
            <v>Truck</v>
          </cell>
          <cell r="L1048" t="str">
            <v>1.</v>
          </cell>
          <cell r="N1048" t="str">
            <v>Aspal</v>
          </cell>
          <cell r="O1048" t="str">
            <v>(M10)</v>
          </cell>
          <cell r="P1048" t="str">
            <v>Kg</v>
          </cell>
          <cell r="Q1048">
            <v>0.63448000000000015</v>
          </cell>
          <cell r="R1048">
            <v>2086.6280000000002</v>
          </cell>
          <cell r="U1048">
            <v>1323.9237334400004</v>
          </cell>
        </row>
        <row r="1049">
          <cell r="L1049" t="str">
            <v>2.</v>
          </cell>
          <cell r="N1049" t="str">
            <v>Kerosene</v>
          </cell>
          <cell r="O1049" t="str">
            <v>(M11)</v>
          </cell>
          <cell r="P1049" t="str">
            <v>liter</v>
          </cell>
          <cell r="Q1049">
            <v>0.48400000000000004</v>
          </cell>
          <cell r="R1049">
            <v>1650</v>
          </cell>
          <cell r="U1049">
            <v>798.6</v>
          </cell>
        </row>
        <row r="1050">
          <cell r="A1050" t="str">
            <v>III.</v>
          </cell>
          <cell r="C1050" t="str">
            <v>PEMAKAIAN BAHAN, ALAT DAN TENAGA</v>
          </cell>
        </row>
        <row r="1052">
          <cell r="A1052" t="str">
            <v xml:space="preserve">   1.</v>
          </cell>
          <cell r="C1052" t="str">
            <v>BAHAN</v>
          </cell>
        </row>
        <row r="1053">
          <cell r="C1053" t="str">
            <v>Untuk mendapatkan 1 liter Lapis Resap Pengikat</v>
          </cell>
        </row>
        <row r="1054">
          <cell r="C1054" t="str">
            <v>diperlukan :</v>
          </cell>
          <cell r="D1054" t="str">
            <v>( 1 liter x Fh )</v>
          </cell>
          <cell r="G1054" t="str">
            <v>PC</v>
          </cell>
          <cell r="H1054">
            <v>1.1000000000000001</v>
          </cell>
          <cell r="I1054" t="str">
            <v>liter</v>
          </cell>
          <cell r="J1054" t="str">
            <v xml:space="preserve"> Campuran</v>
          </cell>
          <cell r="Q1054" t="str">
            <v xml:space="preserve">JUMLAH HARGA BAHAN   </v>
          </cell>
          <cell r="U1054">
            <v>2122.5237334400003</v>
          </cell>
        </row>
        <row r="1056">
          <cell r="A1056" t="str">
            <v xml:space="preserve">   1.a.</v>
          </cell>
          <cell r="C1056" t="str">
            <v>Aspal</v>
          </cell>
          <cell r="D1056" t="str">
            <v>=   As x PC x D1</v>
          </cell>
          <cell r="G1056" t="str">
            <v>(M10)</v>
          </cell>
          <cell r="H1056">
            <v>0.63448000000000015</v>
          </cell>
          <cell r="I1056" t="str">
            <v>Kg.</v>
          </cell>
          <cell r="L1056" t="str">
            <v>C.</v>
          </cell>
          <cell r="N1056" t="str">
            <v>PERALATAN</v>
          </cell>
        </row>
        <row r="1057">
          <cell r="A1057" t="str">
            <v xml:space="preserve">   1.b.</v>
          </cell>
          <cell r="C1057" t="str">
            <v>Minyak Flux</v>
          </cell>
          <cell r="D1057" t="str">
            <v>=   K x PC</v>
          </cell>
          <cell r="G1057" t="str">
            <v>(M11)</v>
          </cell>
          <cell r="H1057">
            <v>0.48400000000000004</v>
          </cell>
          <cell r="I1057" t="str">
            <v>liter</v>
          </cell>
        </row>
        <row r="1058">
          <cell r="L1058" t="str">
            <v>1.</v>
          </cell>
          <cell r="N1058" t="str">
            <v>Asphalt Sprayer  (E03)</v>
          </cell>
          <cell r="P1058" t="str">
            <v>Jam</v>
          </cell>
          <cell r="Q1058">
            <v>2.8348688873139618E-3</v>
          </cell>
          <cell r="R1058">
            <v>30575.535383788432</v>
          </cell>
          <cell r="U1058">
            <v>86.677633972468982</v>
          </cell>
        </row>
        <row r="1059">
          <cell r="A1059" t="str">
            <v xml:space="preserve">   2.</v>
          </cell>
          <cell r="C1059" t="str">
            <v>ALAT</v>
          </cell>
          <cell r="L1059" t="str">
            <v>2.</v>
          </cell>
          <cell r="N1059" t="str">
            <v>Air Compresor    (E05)</v>
          </cell>
          <cell r="P1059" t="str">
            <v>Jam</v>
          </cell>
          <cell r="Q1059">
            <v>2.0833333333333333E-3</v>
          </cell>
          <cell r="R1059">
            <v>53840.365312835944</v>
          </cell>
          <cell r="U1059">
            <v>112.16742773507488</v>
          </cell>
        </row>
        <row r="1060">
          <cell r="A1060" t="str">
            <v xml:space="preserve">   2.a.</v>
          </cell>
          <cell r="C1060" t="str">
            <v>ASPHALT SPRAYER</v>
          </cell>
          <cell r="G1060" t="str">
            <v>(E03)</v>
          </cell>
          <cell r="L1060" t="str">
            <v>3.</v>
          </cell>
          <cell r="N1060" t="str">
            <v>Dump Truck</v>
          </cell>
          <cell r="O1060" t="str">
            <v>(E08)</v>
          </cell>
          <cell r="P1060" t="str">
            <v>Jam</v>
          </cell>
          <cell r="Q1060">
            <v>2.8348688873139618E-3</v>
          </cell>
          <cell r="R1060">
            <v>153645.58193291764</v>
          </cell>
          <cell r="U1060">
            <v>435.56507989487642</v>
          </cell>
        </row>
        <row r="1061">
          <cell r="C1061" t="str">
            <v>Kapasitas alat</v>
          </cell>
          <cell r="G1061" t="str">
            <v>V</v>
          </cell>
          <cell r="H1061">
            <v>850</v>
          </cell>
          <cell r="I1061" t="str">
            <v>liter</v>
          </cell>
        </row>
        <row r="1062">
          <cell r="C1062" t="str">
            <v>Faktor efisiensi alat</v>
          </cell>
          <cell r="G1062" t="str">
            <v>Fa</v>
          </cell>
          <cell r="H1062">
            <v>0.83</v>
          </cell>
          <cell r="I1062" t="str">
            <v>-</v>
          </cell>
        </row>
        <row r="1063">
          <cell r="C1063" t="str">
            <v>Waktu Siklus (termasuk proses pemanasan)</v>
          </cell>
          <cell r="G1063" t="str">
            <v>Ts</v>
          </cell>
          <cell r="H1063">
            <v>2</v>
          </cell>
          <cell r="I1063" t="str">
            <v>Jam</v>
          </cell>
        </row>
        <row r="1065">
          <cell r="C1065" t="str">
            <v>Kap. Prod. / jam =</v>
          </cell>
          <cell r="D1065" t="str">
            <v>V x Fa</v>
          </cell>
          <cell r="G1065" t="str">
            <v>Q1</v>
          </cell>
          <cell r="H1065">
            <v>352.75</v>
          </cell>
          <cell r="I1065" t="str">
            <v>liter</v>
          </cell>
        </row>
        <row r="1066">
          <cell r="D1066" t="str">
            <v>Ts</v>
          </cell>
          <cell r="Q1066" t="str">
            <v xml:space="preserve">JUMLAH HARGA PERALATAN   </v>
          </cell>
          <cell r="U1066">
            <v>634.41014160242025</v>
          </cell>
        </row>
        <row r="1067">
          <cell r="C1067" t="str">
            <v>Koefisien Alat / Ltr</v>
          </cell>
          <cell r="D1067" t="str">
            <v xml:space="preserve"> =  1  :  Q1</v>
          </cell>
          <cell r="G1067" t="str">
            <v>(E03)</v>
          </cell>
          <cell r="H1067">
            <v>2.8348688873139618E-3</v>
          </cell>
          <cell r="I1067" t="str">
            <v>Jam</v>
          </cell>
        </row>
        <row r="1068">
          <cell r="L1068" t="str">
            <v>D.</v>
          </cell>
          <cell r="N1068" t="str">
            <v>JUMLAH HARGA TENAGA, BAHAN DAN PERALATAN  ( A + B + C )</v>
          </cell>
          <cell r="U1068">
            <v>2856.1542294010314</v>
          </cell>
        </row>
        <row r="1069">
          <cell r="A1069" t="str">
            <v xml:space="preserve">   2.b.</v>
          </cell>
          <cell r="C1069" t="str">
            <v>AIR COMPRESSOR</v>
          </cell>
          <cell r="G1069" t="str">
            <v>(E05)</v>
          </cell>
          <cell r="L1069" t="str">
            <v>E.</v>
          </cell>
          <cell r="N1069" t="str">
            <v>OVERHEAD &amp; PROFIT</v>
          </cell>
          <cell r="P1069">
            <v>10</v>
          </cell>
          <cell r="Q1069" t="str">
            <v>%  x  D</v>
          </cell>
          <cell r="U1069">
            <v>285.61542294010314</v>
          </cell>
        </row>
        <row r="1070">
          <cell r="C1070" t="str">
            <v xml:space="preserve">Kapasitas alat   -----&gt;&gt;   diambil </v>
          </cell>
          <cell r="G1070" t="str">
            <v>V</v>
          </cell>
          <cell r="H1070">
            <v>600</v>
          </cell>
          <cell r="I1070" t="str">
            <v>M2 / Jam</v>
          </cell>
          <cell r="L1070" t="str">
            <v>F.</v>
          </cell>
          <cell r="N1070" t="str">
            <v>HARGA SATUAN PEKERJAAN  ( D + E )</v>
          </cell>
          <cell r="U1070">
            <v>3141.7696523411346</v>
          </cell>
        </row>
        <row r="1071">
          <cell r="C1071" t="str">
            <v>Aplikasi Lapis Resap Pengikat rata-rata (Spesifikasi)</v>
          </cell>
          <cell r="G1071" t="str">
            <v>Ap</v>
          </cell>
          <cell r="H1071">
            <v>0.8</v>
          </cell>
          <cell r="I1071" t="str">
            <v>liter / M2</v>
          </cell>
          <cell r="L1071" t="str">
            <v>Note: 1</v>
          </cell>
          <cell r="N1071" t="str">
            <v>SATUAN dapat berdasarkan atas jam operasi untuk Tenaga Kerja dan Peralatan, volume dan/atau ukuran</v>
          </cell>
        </row>
        <row r="1072">
          <cell r="N1072" t="str">
            <v>berat untuk bahan-bahan.</v>
          </cell>
        </row>
        <row r="1073">
          <cell r="C1073" t="str">
            <v>Kap. Prod. / jam =</v>
          </cell>
          <cell r="D1073" t="str">
            <v>( V x Ap )</v>
          </cell>
          <cell r="G1073" t="str">
            <v>Q2</v>
          </cell>
          <cell r="H1073">
            <v>480</v>
          </cell>
          <cell r="I1073" t="str">
            <v>liter</v>
          </cell>
          <cell r="L1073">
            <v>2</v>
          </cell>
          <cell r="N1073" t="str">
            <v>Kuantitas satuan adalah kuantitas setiap komponen untuk menyelesaikan satu satuan pekerjaan dari nomor</v>
          </cell>
        </row>
        <row r="1074">
          <cell r="N1074" t="str">
            <v>mata pembayaran.</v>
          </cell>
        </row>
        <row r="1075">
          <cell r="C1075" t="str">
            <v>Koefisien Alat / Ltr</v>
          </cell>
          <cell r="D1075" t="str">
            <v xml:space="preserve"> =  1  :  Q2</v>
          </cell>
          <cell r="G1075" t="str">
            <v>(E05)</v>
          </cell>
          <cell r="H1075">
            <v>2.0833333333333333E-3</v>
          </cell>
          <cell r="I1075" t="str">
            <v>Jam</v>
          </cell>
          <cell r="L1075">
            <v>3</v>
          </cell>
          <cell r="N1075" t="str">
            <v>Biaya satuan untuk peralatan sudah termasuk bahan bakar, bahan habis dipakai dan operator.</v>
          </cell>
        </row>
        <row r="1076">
          <cell r="L1076">
            <v>4</v>
          </cell>
          <cell r="N1076" t="str">
            <v>Biaya satuan sudah termasuk pengeluaran untuk seluruh pajak yang berkaitan (tetapi tidak termasuk PPN</v>
          </cell>
        </row>
        <row r="1077">
          <cell r="J1077" t="str">
            <v>Berlanjut ke halaman berikut</v>
          </cell>
          <cell r="N1077" t="str">
            <v>yang dibayar dari kontrak) dan biaya-biaya lainnya.</v>
          </cell>
        </row>
        <row r="1078">
          <cell r="A1078" t="str">
            <v>ITEM PEMBAYARAN NO.</v>
          </cell>
          <cell r="D1078" t="str">
            <v>:  4.2 (7)</v>
          </cell>
          <cell r="J1078" t="str">
            <v>Analisa EI-427</v>
          </cell>
        </row>
        <row r="1079">
          <cell r="A1079" t="str">
            <v>JENIS PEKERJAAN</v>
          </cell>
          <cell r="D1079" t="str">
            <v>:  Lapis Resap Pengikat</v>
          </cell>
        </row>
        <row r="1080">
          <cell r="A1080" t="str">
            <v>SATUAN PEMBAYARAN</v>
          </cell>
          <cell r="D1080" t="str">
            <v>:  LITER</v>
          </cell>
          <cell r="J1080" t="str">
            <v xml:space="preserve">         URAIAN ANALISA HARGA SATUAN</v>
          </cell>
        </row>
        <row r="1081">
          <cell r="J1081" t="str">
            <v>Lanjutan</v>
          </cell>
        </row>
        <row r="1083">
          <cell r="A1083" t="str">
            <v>No.</v>
          </cell>
          <cell r="C1083" t="str">
            <v>U R A I A N</v>
          </cell>
          <cell r="G1083" t="str">
            <v>KODE</v>
          </cell>
          <cell r="H1083" t="str">
            <v>KOEF.</v>
          </cell>
          <cell r="I1083" t="str">
            <v>SATUAN</v>
          </cell>
          <cell r="J1083" t="str">
            <v>KETERANGAN</v>
          </cell>
        </row>
        <row r="1086">
          <cell r="A1086" t="str">
            <v xml:space="preserve">   2.c.</v>
          </cell>
          <cell r="C1086" t="str">
            <v>DUMP TRUCK</v>
          </cell>
          <cell r="G1086" t="str">
            <v>(E08)</v>
          </cell>
        </row>
        <row r="1087">
          <cell r="C1087" t="str">
            <v>Sebagai alat pengangkut bahan di lokasi pekerjaan,</v>
          </cell>
        </row>
        <row r="1088">
          <cell r="C1088" t="str">
            <v>Dump Truck melayani alat Asphalt Sprayer.</v>
          </cell>
        </row>
        <row r="1089">
          <cell r="C1089" t="str">
            <v>Kap. Prod. / jam =</v>
          </cell>
          <cell r="D1089" t="str">
            <v>sama dengan Asphalt Sprayer</v>
          </cell>
          <cell r="G1089" t="str">
            <v>Q3</v>
          </cell>
          <cell r="H1089">
            <v>352.75</v>
          </cell>
          <cell r="I1089" t="str">
            <v>liter</v>
          </cell>
        </row>
        <row r="1091">
          <cell r="C1091" t="str">
            <v>Koefisien Alat / Ltr</v>
          </cell>
          <cell r="D1091" t="str">
            <v xml:space="preserve"> =  1  :  Q3</v>
          </cell>
          <cell r="G1091" t="str">
            <v>(E08)</v>
          </cell>
          <cell r="H1091">
            <v>2.8348688873139618E-3</v>
          </cell>
          <cell r="I1091" t="str">
            <v>Jam</v>
          </cell>
        </row>
        <row r="1093">
          <cell r="A1093" t="str">
            <v xml:space="preserve">   3.</v>
          </cell>
          <cell r="C1093" t="str">
            <v>TENAGA</v>
          </cell>
        </row>
        <row r="1094">
          <cell r="C1094" t="str">
            <v>Produksi menentukan : ASPHALT SPRAYER</v>
          </cell>
          <cell r="G1094" t="str">
            <v>Q4</v>
          </cell>
          <cell r="H1094">
            <v>352.75</v>
          </cell>
          <cell r="I1094" t="str">
            <v>liter</v>
          </cell>
        </row>
        <row r="1095">
          <cell r="C1095" t="str">
            <v>Produksi Lapis Resap Pengikat / hari  =  Tk x Q4</v>
          </cell>
          <cell r="G1095" t="str">
            <v>Qt</v>
          </cell>
          <cell r="H1095">
            <v>2469.25</v>
          </cell>
          <cell r="I1095" t="str">
            <v>liter</v>
          </cell>
        </row>
        <row r="1096">
          <cell r="C1096" t="str">
            <v>Kebutuhan tenaga :</v>
          </cell>
        </row>
        <row r="1097">
          <cell r="D1097" t="str">
            <v>- Pekerja</v>
          </cell>
          <cell r="G1097" t="str">
            <v>P</v>
          </cell>
          <cell r="H1097">
            <v>10</v>
          </cell>
          <cell r="I1097" t="str">
            <v>orang</v>
          </cell>
        </row>
        <row r="1098">
          <cell r="D1098" t="str">
            <v>- Mandor</v>
          </cell>
          <cell r="G1098" t="str">
            <v>M</v>
          </cell>
          <cell r="H1098">
            <v>2</v>
          </cell>
          <cell r="I1098" t="str">
            <v>orang</v>
          </cell>
        </row>
        <row r="1100">
          <cell r="C1100" t="str">
            <v>Koefisien tenaga / liter   :</v>
          </cell>
        </row>
        <row r="1101">
          <cell r="D1101" t="str">
            <v>- Pekerja</v>
          </cell>
          <cell r="E1101" t="str">
            <v>= (Tk x P) : Qt</v>
          </cell>
          <cell r="G1101" t="str">
            <v>(L01)</v>
          </cell>
          <cell r="H1101">
            <v>2.8348688873139617E-2</v>
          </cell>
          <cell r="I1101" t="str">
            <v>Jam</v>
          </cell>
        </row>
        <row r="1102">
          <cell r="D1102" t="str">
            <v>- Mandor</v>
          </cell>
          <cell r="E1102" t="str">
            <v>= (Tk x M) : Qt</v>
          </cell>
          <cell r="G1102" t="str">
            <v>(L03)</v>
          </cell>
          <cell r="H1102">
            <v>5.6697377746279237E-3</v>
          </cell>
          <cell r="I1102" t="str">
            <v>Jam</v>
          </cell>
        </row>
        <row r="1104">
          <cell r="A1104" t="str">
            <v>4.</v>
          </cell>
          <cell r="C1104" t="str">
            <v>HARGA DASAR SATUAN UPAH, BAHAN DAN ALAT</v>
          </cell>
        </row>
        <row r="1105">
          <cell r="C1105" t="str">
            <v>Lihat lampiran.</v>
          </cell>
        </row>
        <row r="1107">
          <cell r="A1107" t="str">
            <v>5.</v>
          </cell>
          <cell r="C1107" t="str">
            <v>ANALISA HARGA SATUAN PEKERJAAN</v>
          </cell>
        </row>
        <row r="1108">
          <cell r="C1108" t="str">
            <v>Lihat perhitungan dalam FORMULIR STANDAR UNTUK</v>
          </cell>
        </row>
        <row r="1109">
          <cell r="C1109" t="str">
            <v>PEREKEMAN ANALISA MASING-MASING HARGA</v>
          </cell>
        </row>
        <row r="1110">
          <cell r="C1110" t="str">
            <v>SATUAN.</v>
          </cell>
        </row>
        <row r="1111">
          <cell r="C1111" t="str">
            <v>Didapat Harga Satuan Pekerjaan :</v>
          </cell>
        </row>
        <row r="1113">
          <cell r="C1113" t="str">
            <v xml:space="preserve">Rp.  </v>
          </cell>
          <cell r="D1113">
            <v>3141.7696523411346</v>
          </cell>
          <cell r="E1113" t="str">
            <v xml:space="preserve"> / liter.</v>
          </cell>
        </row>
        <row r="1116">
          <cell r="A1116" t="str">
            <v>6.</v>
          </cell>
          <cell r="C1116" t="str">
            <v>WAKTU PELAKSANAAN YANG DIPERLUKAN</v>
          </cell>
        </row>
        <row r="1117">
          <cell r="C1117" t="str">
            <v>Waktu pelaksanaan</v>
          </cell>
          <cell r="D1117" t="str">
            <v>:  . . . . . . .  bulan</v>
          </cell>
        </row>
        <row r="1119">
          <cell r="A1119" t="str">
            <v>7.</v>
          </cell>
          <cell r="C1119" t="str">
            <v>VOLUME PEKERJAAN YANG DIPERLUKAN</v>
          </cell>
        </row>
        <row r="1120">
          <cell r="C1120" t="str">
            <v>Volume pekerjaan  :</v>
          </cell>
          <cell r="D1120">
            <v>1</v>
          </cell>
          <cell r="E1120" t="str">
            <v>Liter</v>
          </cell>
        </row>
      </sheetData>
      <sheetData sheetId="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DIV5"/>
      <sheetName val="3_DIV5"/>
    </sheetNames>
    <sheetDataSet>
      <sheetData sheetId="0" refreshError="1">
        <row r="1">
          <cell r="A1" t="str">
            <v>ITEM PEMBAYARAN NO.</v>
          </cell>
          <cell r="D1" t="str">
            <v>:  5.1 (1)</v>
          </cell>
          <cell r="J1" t="str">
            <v>Analisa EI-511</v>
          </cell>
          <cell r="T1" t="str">
            <v>Analisa EI-511</v>
          </cell>
        </row>
        <row r="2">
          <cell r="A2" t="str">
            <v>JENIS PEKERJAAN</v>
          </cell>
          <cell r="D2" t="str">
            <v>:  Lps. Pond. Ag. Kls. A, CBR Min 80%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v>
          </cell>
          <cell r="O8" t="str">
            <v xml:space="preserve">: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xml:space="preserve">:  </v>
          </cell>
        </row>
        <row r="11">
          <cell r="A11">
            <v>2</v>
          </cell>
          <cell r="C11" t="str">
            <v>Lokasi pekerjaan : sepanjang jalan</v>
          </cell>
          <cell r="L11" t="str">
            <v>PROP / KAB / KODYA</v>
          </cell>
          <cell r="O11" t="str">
            <v xml:space="preserve">:  </v>
          </cell>
        </row>
        <row r="12">
          <cell r="A12">
            <v>3</v>
          </cell>
          <cell r="C12" t="str">
            <v>Kondisi existing jalan : sedang</v>
          </cell>
          <cell r="L12" t="str">
            <v>ITEM PEMBAYARAN NO.</v>
          </cell>
          <cell r="O12" t="str">
            <v>:  5.1 (1)</v>
          </cell>
          <cell r="R12" t="str">
            <v>PERKIRAAN VOL. PEK.</v>
          </cell>
          <cell r="T12" t="str">
            <v>:</v>
          </cell>
          <cell r="U12">
            <v>1</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v>
          </cell>
          <cell r="T13" t="str">
            <v>:</v>
          </cell>
          <cell r="U13">
            <v>304732.36582799954</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v>7.251312267724303E-3</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55</v>
          </cell>
          <cell r="I17" t="str">
            <v>%</v>
          </cell>
          <cell r="J17" t="str">
            <v xml:space="preserve"> Gradasi harus</v>
          </cell>
          <cell r="Q17" t="str">
            <v>PERKIRAAN</v>
          </cell>
          <cell r="R17" t="str">
            <v>HARGA</v>
          </cell>
          <cell r="S17" t="str">
            <v>JUMLAH</v>
          </cell>
        </row>
        <row r="18">
          <cell r="D18" t="str">
            <v>- Agregat Halus</v>
          </cell>
          <cell r="G18" t="str">
            <v>Ah</v>
          </cell>
          <cell r="H18">
            <v>45</v>
          </cell>
          <cell r="I18" t="str">
            <v>%</v>
          </cell>
          <cell r="J18" t="str">
            <v xml:space="preserve"> 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Wheel Loader mencampur dan memuat Agregat ke</v>
          </cell>
        </row>
        <row r="21">
          <cell r="C21" t="str">
            <v>dalam Dump Truck di Base Camp</v>
          </cell>
        </row>
        <row r="22">
          <cell r="A22">
            <v>2</v>
          </cell>
          <cell r="C22" t="str">
            <v>Dump Truck mengangkut Agregat ke lokasi</v>
          </cell>
          <cell r="L22" t="str">
            <v>A.</v>
          </cell>
          <cell r="N22" t="str">
            <v>TENAGA</v>
          </cell>
        </row>
        <row r="23">
          <cell r="C23" t="str">
            <v>pekerjaan dan dihampar dengan Motor Grader</v>
          </cell>
        </row>
        <row r="24">
          <cell r="A24">
            <v>3</v>
          </cell>
          <cell r="C24" t="str">
            <v>Hamparan Agregat dibasahi dengan Water Tank</v>
          </cell>
          <cell r="L24" t="str">
            <v>1.</v>
          </cell>
          <cell r="N24" t="str">
            <v>Pekerja</v>
          </cell>
          <cell r="O24" t="str">
            <v>(L01)</v>
          </cell>
          <cell r="P24" t="str">
            <v>jam</v>
          </cell>
          <cell r="Q24">
            <v>0.24988844265952695</v>
          </cell>
          <cell r="R24">
            <v>2857.14</v>
          </cell>
          <cell r="U24">
            <v>713.96626506024074</v>
          </cell>
        </row>
        <row r="25">
          <cell r="C25" t="str">
            <v>Truck sebelum dipadatkan dengan Tandem</v>
          </cell>
          <cell r="L25" t="str">
            <v>2.</v>
          </cell>
          <cell r="N25" t="str">
            <v>Mandor</v>
          </cell>
          <cell r="O25" t="str">
            <v>(L03)</v>
          </cell>
          <cell r="P25" t="str">
            <v>jam</v>
          </cell>
          <cell r="Q25">
            <v>3.5698348951360995E-2</v>
          </cell>
          <cell r="R25">
            <v>3214.29</v>
          </cell>
          <cell r="U25">
            <v>114.74484605087014</v>
          </cell>
        </row>
        <row r="26">
          <cell r="C26" t="str">
            <v>Roller dan Pneumatic Tire Roller</v>
          </cell>
        </row>
        <row r="27">
          <cell r="A27">
            <v>4</v>
          </cell>
          <cell r="C27" t="str">
            <v>Selama pemadatan, sekelompok pekerja akan</v>
          </cell>
        </row>
        <row r="28">
          <cell r="C28" t="str">
            <v>merapikan tepi hamparan dan level permukaan</v>
          </cell>
          <cell r="Q28" t="str">
            <v xml:space="preserve">JUMLAH HARGA TENAGA   </v>
          </cell>
          <cell r="U28">
            <v>828.71111111111088</v>
          </cell>
        </row>
        <row r="29">
          <cell r="C29" t="str">
            <v>dengan menggunakan Alat Bantu</v>
          </cell>
        </row>
        <row r="30">
          <cell r="A30" t="str">
            <v>III.</v>
          </cell>
          <cell r="C30" t="str">
            <v>PEMAKAIAN BAHAN, ALAT DAN TENAGA</v>
          </cell>
          <cell r="L30" t="str">
            <v>B.</v>
          </cell>
          <cell r="N30" t="str">
            <v>BAHAN</v>
          </cell>
        </row>
        <row r="32">
          <cell r="A32" t="str">
            <v xml:space="preserve">   1.</v>
          </cell>
          <cell r="C32" t="str">
            <v>BAHAN</v>
          </cell>
          <cell r="L32" t="str">
            <v>1.</v>
          </cell>
          <cell r="N32" t="str">
            <v>Agregat Kasar   (M03)</v>
          </cell>
          <cell r="P32" t="str">
            <v>M3</v>
          </cell>
          <cell r="Q32">
            <v>0.66</v>
          </cell>
          <cell r="R32">
            <v>222345.54558042376</v>
          </cell>
          <cell r="U32">
            <v>146748.06008307968</v>
          </cell>
        </row>
        <row r="33">
          <cell r="C33" t="str">
            <v>- Agregat Kasar</v>
          </cell>
          <cell r="D33" t="str">
            <v>=  Ak x 1 M3 x Fk</v>
          </cell>
          <cell r="G33" t="str">
            <v>M03</v>
          </cell>
          <cell r="H33">
            <v>0.66</v>
          </cell>
          <cell r="I33" t="str">
            <v>M3</v>
          </cell>
          <cell r="L33" t="str">
            <v>2.</v>
          </cell>
          <cell r="N33" t="str">
            <v>Agregat Halus    (M04)</v>
          </cell>
          <cell r="P33" t="str">
            <v>M3</v>
          </cell>
          <cell r="Q33">
            <v>0.54</v>
          </cell>
          <cell r="R33">
            <v>194196.70775416915</v>
          </cell>
          <cell r="U33">
            <v>104866.22218725135</v>
          </cell>
        </row>
        <row r="34">
          <cell r="C34" t="str">
            <v>- Agregat Halus</v>
          </cell>
          <cell r="D34" t="str">
            <v>=  Ah x 1 M3 x Fk</v>
          </cell>
          <cell r="G34" t="str">
            <v>M04</v>
          </cell>
          <cell r="H34">
            <v>0.54</v>
          </cell>
          <cell r="I34" t="str">
            <v>M3</v>
          </cell>
        </row>
        <row r="36">
          <cell r="A36" t="str">
            <v xml:space="preserve">   2.</v>
          </cell>
          <cell r="C36" t="str">
            <v>ALAT</v>
          </cell>
        </row>
        <row r="37">
          <cell r="A37" t="str">
            <v xml:space="preserve">   2.a.</v>
          </cell>
          <cell r="C37" t="str">
            <v>WHEEL LOADER</v>
          </cell>
          <cell r="G37" t="str">
            <v>(E15)</v>
          </cell>
        </row>
        <row r="38">
          <cell r="C38" t="str">
            <v>Kapasitas bucket</v>
          </cell>
          <cell r="G38" t="str">
            <v>V</v>
          </cell>
          <cell r="H38">
            <v>1.5</v>
          </cell>
          <cell r="I38" t="str">
            <v>M3</v>
          </cell>
          <cell r="Q38" t="str">
            <v xml:space="preserve">JUMLAH HARGA BAHAN   </v>
          </cell>
          <cell r="U38">
            <v>251614.28227033102</v>
          </cell>
        </row>
        <row r="39">
          <cell r="C39" t="str">
            <v>Faktor bucket</v>
          </cell>
          <cell r="G39" t="str">
            <v>Fb</v>
          </cell>
          <cell r="H39">
            <v>0.9</v>
          </cell>
          <cell r="I39" t="str">
            <v>-</v>
          </cell>
        </row>
        <row r="40">
          <cell r="C40" t="str">
            <v>Faktor Efisiensi alat</v>
          </cell>
          <cell r="G40" t="str">
            <v>Fa</v>
          </cell>
          <cell r="H40">
            <v>0.83</v>
          </cell>
          <cell r="I40" t="str">
            <v>-</v>
          </cell>
          <cell r="L40" t="str">
            <v>C.</v>
          </cell>
          <cell r="N40" t="str">
            <v>PERALATAN</v>
          </cell>
        </row>
        <row r="41">
          <cell r="C41" t="str">
            <v>Waktu Siklus :</v>
          </cell>
          <cell r="G41" t="str">
            <v>Ts1</v>
          </cell>
          <cell r="L41" t="str">
            <v>1.</v>
          </cell>
          <cell r="N41" t="str">
            <v>Wheel Loader</v>
          </cell>
          <cell r="O41" t="str">
            <v>(E15)</v>
          </cell>
          <cell r="P41" t="str">
            <v>jam</v>
          </cell>
          <cell r="Q41">
            <v>3.5698348951360995E-2</v>
          </cell>
          <cell r="R41">
            <v>163808.13869490434</v>
          </cell>
          <cell r="U41">
            <v>5847.680096203635</v>
          </cell>
        </row>
        <row r="42">
          <cell r="C42" t="str">
            <v>- Mencampur</v>
          </cell>
          <cell r="G42" t="str">
            <v>T1</v>
          </cell>
          <cell r="H42">
            <v>1.5</v>
          </cell>
          <cell r="I42" t="str">
            <v>menit</v>
          </cell>
          <cell r="L42" t="str">
            <v>2.</v>
          </cell>
          <cell r="N42" t="str">
            <v>Dump Truck</v>
          </cell>
          <cell r="O42" t="str">
            <v>(E09)</v>
          </cell>
          <cell r="P42" t="str">
            <v>jam</v>
          </cell>
          <cell r="Q42">
            <v>0.14542063837680036</v>
          </cell>
          <cell r="R42">
            <v>70230.073977639215</v>
          </cell>
          <cell r="U42">
            <v>10212.90219107821</v>
          </cell>
        </row>
        <row r="43">
          <cell r="C43" t="str">
            <v>- Memuat dan lain-lain</v>
          </cell>
          <cell r="G43" t="str">
            <v>T2</v>
          </cell>
          <cell r="H43">
            <v>0.5</v>
          </cell>
          <cell r="I43" t="str">
            <v>menit</v>
          </cell>
          <cell r="L43" t="str">
            <v>3.</v>
          </cell>
          <cell r="N43" t="str">
            <v>Motor Grader</v>
          </cell>
          <cell r="O43" t="str">
            <v>(E13)</v>
          </cell>
          <cell r="P43" t="str">
            <v>jam</v>
          </cell>
          <cell r="Q43">
            <v>1.1713520749665328E-2</v>
          </cell>
          <cell r="R43">
            <v>201666.62574070093</v>
          </cell>
          <cell r="U43">
            <v>2362.2262051286921</v>
          </cell>
        </row>
        <row r="44">
          <cell r="G44" t="str">
            <v>Ts1</v>
          </cell>
          <cell r="H44">
            <v>2</v>
          </cell>
          <cell r="I44" t="str">
            <v>menit</v>
          </cell>
          <cell r="L44" t="str">
            <v>4.</v>
          </cell>
          <cell r="N44" t="str">
            <v>Vibratory Roller</v>
          </cell>
          <cell r="O44" t="str">
            <v>(E19)</v>
          </cell>
          <cell r="P44" t="str">
            <v>jam</v>
          </cell>
          <cell r="Q44">
            <v>1.7849174475680501E-2</v>
          </cell>
          <cell r="R44">
            <v>234734.82748629327</v>
          </cell>
          <cell r="U44">
            <v>4189.8228913216117</v>
          </cell>
        </row>
        <row r="45">
          <cell r="L45" t="str">
            <v>5.</v>
          </cell>
          <cell r="N45" t="str">
            <v>P. Tyre Roller</v>
          </cell>
          <cell r="O45" t="str">
            <v>(E18)</v>
          </cell>
          <cell r="P45" t="str">
            <v>jam</v>
          </cell>
          <cell r="Q45">
            <v>4.2838018741633201E-3</v>
          </cell>
          <cell r="R45">
            <v>113384.24751021285</v>
          </cell>
          <cell r="U45">
            <v>485.71565198484757</v>
          </cell>
        </row>
        <row r="46">
          <cell r="C46" t="str">
            <v>Kap. Prod. / jam =</v>
          </cell>
          <cell r="D46" t="str">
            <v>V x Fb x Fa x 60</v>
          </cell>
          <cell r="G46" t="str">
            <v>Q1</v>
          </cell>
          <cell r="H46">
            <v>28.012500000000003</v>
          </cell>
          <cell r="I46" t="str">
            <v>M3</v>
          </cell>
          <cell r="L46" t="str">
            <v>6.</v>
          </cell>
          <cell r="N46" t="str">
            <v>Water Tanker</v>
          </cell>
          <cell r="O46" t="str">
            <v>(E23)</v>
          </cell>
          <cell r="P46" t="str">
            <v>jam</v>
          </cell>
          <cell r="Q46">
            <v>2.1084337349397592E-2</v>
          </cell>
          <cell r="R46">
            <v>67020.510980434308</v>
          </cell>
          <cell r="U46">
            <v>1413.0830628404826</v>
          </cell>
        </row>
        <row r="47">
          <cell r="D47" t="str">
            <v>Fk x Ts1</v>
          </cell>
          <cell r="L47" t="str">
            <v>7.</v>
          </cell>
          <cell r="N47" t="str">
            <v>Alat Bantu</v>
          </cell>
          <cell r="P47" t="str">
            <v>Ls</v>
          </cell>
          <cell r="Q47">
            <v>1</v>
          </cell>
          <cell r="R47">
            <v>75</v>
          </cell>
          <cell r="U47">
            <v>75</v>
          </cell>
        </row>
        <row r="48">
          <cell r="C48" t="str">
            <v>Koefisien Alat / M3</v>
          </cell>
          <cell r="D48" t="str">
            <v xml:space="preserve"> =  1  :  Q1</v>
          </cell>
          <cell r="G48" t="str">
            <v>(E15)</v>
          </cell>
          <cell r="H48">
            <v>3.5698348951360995E-2</v>
          </cell>
          <cell r="I48" t="str">
            <v>jam</v>
          </cell>
        </row>
        <row r="49">
          <cell r="Q49" t="str">
            <v xml:space="preserve">JUMLAH HARGA PERALATAN   </v>
          </cell>
          <cell r="U49">
            <v>24586.430098557481</v>
          </cell>
        </row>
        <row r="50">
          <cell r="A50" t="str">
            <v xml:space="preserve">   2.b.</v>
          </cell>
          <cell r="C50" t="str">
            <v>DUMP TRUCK</v>
          </cell>
          <cell r="G50" t="str">
            <v>(E09)</v>
          </cell>
        </row>
        <row r="51">
          <cell r="C51" t="str">
            <v>Kapasitas bak</v>
          </cell>
          <cell r="G51" t="str">
            <v>V</v>
          </cell>
          <cell r="H51">
            <v>6</v>
          </cell>
          <cell r="I51" t="str">
            <v>M3</v>
          </cell>
          <cell r="L51" t="str">
            <v>D.</v>
          </cell>
          <cell r="N51" t="str">
            <v>JUMLAH HARGA TENAGA, BAHAN DAN PERALATAN  ( A + B + C )</v>
          </cell>
          <cell r="U51">
            <v>277029.42347999959</v>
          </cell>
        </row>
        <row r="52">
          <cell r="C52" t="str">
            <v>Faktor Efisiensi alat</v>
          </cell>
          <cell r="G52" t="str">
            <v>Fa</v>
          </cell>
          <cell r="H52">
            <v>0.83</v>
          </cell>
          <cell r="I52" t="str">
            <v>-</v>
          </cell>
          <cell r="L52" t="str">
            <v>E.</v>
          </cell>
          <cell r="N52" t="str">
            <v>OVERHEAD &amp; PROFIT</v>
          </cell>
          <cell r="P52">
            <v>10</v>
          </cell>
          <cell r="Q52" t="str">
            <v>%  x  D</v>
          </cell>
          <cell r="U52">
            <v>27702.94234799996</v>
          </cell>
        </row>
        <row r="53">
          <cell r="C53" t="str">
            <v>Kecepatan rata-rata bermuatan</v>
          </cell>
          <cell r="G53" t="str">
            <v>v1</v>
          </cell>
          <cell r="H53">
            <v>45</v>
          </cell>
          <cell r="I53" t="str">
            <v>KM/jam</v>
          </cell>
          <cell r="L53" t="str">
            <v>F.</v>
          </cell>
          <cell r="N53" t="str">
            <v>HARGA SATUAN PEKERJAAN  ( D + E )</v>
          </cell>
          <cell r="U53">
            <v>304732.36582799954</v>
          </cell>
        </row>
        <row r="54">
          <cell r="C54" t="str">
            <v>Kecepatan rata-rata kosong</v>
          </cell>
          <cell r="G54" t="str">
            <v>v2</v>
          </cell>
          <cell r="H54">
            <v>60</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12.851405622489958</v>
          </cell>
          <cell r="I55" t="str">
            <v>menit</v>
          </cell>
          <cell r="N55" t="str">
            <v>berat untuk bahan-bahan.</v>
          </cell>
        </row>
        <row r="56">
          <cell r="C56" t="str">
            <v>- Waktu tempuh isi  =  (L : v1) x 60 menit</v>
          </cell>
          <cell r="G56" t="str">
            <v>T2</v>
          </cell>
          <cell r="H56">
            <v>11.633333333333333</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8.7249999999999996</v>
          </cell>
          <cell r="I57" t="str">
            <v>menit</v>
          </cell>
          <cell r="N57" t="str">
            <v>mata pembayaran.</v>
          </cell>
        </row>
        <row r="58">
          <cell r="C58" t="str">
            <v>- Dump dan lain-lain</v>
          </cell>
          <cell r="G58" t="str">
            <v>T4</v>
          </cell>
          <cell r="H58">
            <v>3</v>
          </cell>
          <cell r="I58" t="str">
            <v>menit</v>
          </cell>
          <cell r="L58">
            <v>3</v>
          </cell>
          <cell r="N58" t="str">
            <v>Biaya satuan untuk peralatan sudah termasuk bahan bakar, bahan habis dipakai dan operator.</v>
          </cell>
        </row>
        <row r="59">
          <cell r="G59" t="str">
            <v>Ts2</v>
          </cell>
          <cell r="H59">
            <v>36.20973895582329</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 berikut</v>
          </cell>
        </row>
        <row r="62">
          <cell r="A62" t="str">
            <v>ITEM PEMBAYARAN NO.</v>
          </cell>
          <cell r="D62" t="str">
            <v>:  5.1 (1)</v>
          </cell>
          <cell r="J62" t="str">
            <v>Analisa EI-511</v>
          </cell>
        </row>
        <row r="63">
          <cell r="A63" t="str">
            <v>JENIS PEKERJAAN</v>
          </cell>
          <cell r="D63" t="str">
            <v>:  Lps. Pond. Ag. Kls. A, CBR Min 80%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 / jam =</v>
          </cell>
          <cell r="D70" t="str">
            <v>V x Fa x 60</v>
          </cell>
          <cell r="G70" t="str">
            <v>Q2</v>
          </cell>
          <cell r="H70">
            <v>6.8766030129017413</v>
          </cell>
          <cell r="I70" t="str">
            <v>M3</v>
          </cell>
        </row>
        <row r="71">
          <cell r="D71" t="str">
            <v>Fk x Ts2</v>
          </cell>
        </row>
        <row r="72">
          <cell r="C72" t="str">
            <v>Koefisien Alat / M3</v>
          </cell>
          <cell r="D72" t="str">
            <v xml:space="preserve"> =  1  :  Q2</v>
          </cell>
          <cell r="G72" t="str">
            <v>(E09)</v>
          </cell>
          <cell r="H72">
            <v>0.14542063837680036</v>
          </cell>
          <cell r="I72" t="str">
            <v>jam</v>
          </cell>
        </row>
        <row r="74">
          <cell r="A74" t="str">
            <v xml:space="preserve">   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KM/jam</v>
          </cell>
        </row>
        <row r="79">
          <cell r="C79" t="str">
            <v>Jumlah lintasan</v>
          </cell>
          <cell r="G79" t="str">
            <v>n</v>
          </cell>
          <cell r="H79">
            <v>6</v>
          </cell>
          <cell r="I79" t="str">
            <v>lintasan</v>
          </cell>
          <cell r="J79" t="str">
            <v xml:space="preserve"> 3 x pp</v>
          </cell>
        </row>
        <row r="80">
          <cell r="C80" t="str">
            <v>Waktu Siklus :</v>
          </cell>
          <cell r="G80" t="str">
            <v>Ts3</v>
          </cell>
        </row>
        <row r="81">
          <cell r="C81" t="str">
            <v>- Perataan 1 lintasan  =  Lh : (v x 1000) x 60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 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 xml:space="preserve">   2.d.</v>
          </cell>
          <cell r="C89" t="str">
            <v>VIBRATORY ROLLER</v>
          </cell>
          <cell r="G89" t="str">
            <v>(E19)</v>
          </cell>
        </row>
        <row r="90">
          <cell r="C90" t="str">
            <v>Kecepatan rata-rata alat</v>
          </cell>
          <cell r="G90" t="str">
            <v>v</v>
          </cell>
          <cell r="H90">
            <v>3</v>
          </cell>
          <cell r="I90" t="str">
            <v>KM/jam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 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(E19)</v>
          </cell>
          <cell r="H97">
            <v>1.7849174475680501E-2</v>
          </cell>
          <cell r="I97" t="str">
            <v>jam</v>
          </cell>
        </row>
        <row r="99">
          <cell r="A99" t="str">
            <v xml:space="preserve">   2.e.</v>
          </cell>
          <cell r="C99" t="str">
            <v>PNEUMATIC TIRE ROLLER</v>
          </cell>
          <cell r="G99" t="str">
            <v>(E18)</v>
          </cell>
        </row>
        <row r="100">
          <cell r="C100" t="str">
            <v>Kecepatan rata-rata alat</v>
          </cell>
          <cell r="G100" t="str">
            <v>v</v>
          </cell>
          <cell r="H100">
            <v>5</v>
          </cell>
          <cell r="I100" t="str">
            <v>KM/jam</v>
          </cell>
        </row>
        <row r="101">
          <cell r="C101" t="str">
            <v>Lebar efektif pemadatan</v>
          </cell>
          <cell r="G101" t="str">
            <v>b</v>
          </cell>
          <cell r="H101">
            <v>1.5</v>
          </cell>
          <cell r="I101" t="str">
            <v>M</v>
          </cell>
        </row>
        <row r="102">
          <cell r="C102" t="str">
            <v>Jumlah lintasan</v>
          </cell>
          <cell r="G102" t="str">
            <v>n</v>
          </cell>
          <cell r="H102">
            <v>4</v>
          </cell>
          <cell r="I102" t="str">
            <v>lintasan</v>
          </cell>
        </row>
        <row r="103">
          <cell r="C103" t="str">
            <v>Faktor Efisiensi alat</v>
          </cell>
          <cell r="G103" t="str">
            <v>Fa</v>
          </cell>
          <cell r="H103">
            <v>0.83</v>
          </cell>
          <cell r="I103" t="str">
            <v>-</v>
          </cell>
        </row>
        <row r="105">
          <cell r="C105" t="str">
            <v>Kap. Prod. / jam =</v>
          </cell>
          <cell r="D105" t="str">
            <v>(v x 1000) x b x t x Fa</v>
          </cell>
          <cell r="G105" t="str">
            <v>Q5</v>
          </cell>
          <cell r="H105">
            <v>233.4375</v>
          </cell>
          <cell r="I105" t="str">
            <v>M3</v>
          </cell>
        </row>
        <row r="106">
          <cell r="D106" t="str">
            <v>n</v>
          </cell>
        </row>
        <row r="107">
          <cell r="C107" t="str">
            <v>Koefisien Alat / M3</v>
          </cell>
          <cell r="D107" t="str">
            <v xml:space="preserve"> =  1  :  Q5</v>
          </cell>
          <cell r="G107" t="str">
            <v>(E18)</v>
          </cell>
          <cell r="H107">
            <v>4.2838018741633201E-3</v>
          </cell>
          <cell r="I107" t="str">
            <v>jam</v>
          </cell>
        </row>
        <row r="109">
          <cell r="A109" t="str">
            <v xml:space="preserve">   2.f.</v>
          </cell>
          <cell r="C109" t="str">
            <v>WATER TANK TRUCK</v>
          </cell>
          <cell r="G109" t="str">
            <v>(E23)</v>
          </cell>
        </row>
        <row r="110">
          <cell r="C110" t="str">
            <v>Volume tanki air</v>
          </cell>
          <cell r="G110" t="str">
            <v>V</v>
          </cell>
          <cell r="H110">
            <v>4</v>
          </cell>
          <cell r="I110" t="str">
            <v>M3</v>
          </cell>
        </row>
        <row r="111">
          <cell r="C111" t="str">
            <v>Kebutuhan air / M3 agregat padat</v>
          </cell>
          <cell r="G111" t="str">
            <v>Wc</v>
          </cell>
          <cell r="H111">
            <v>7.0000000000000007E-2</v>
          </cell>
          <cell r="I111" t="str">
            <v>M3</v>
          </cell>
        </row>
        <row r="112">
          <cell r="C112" t="str">
            <v>Pengisian tanki / jam</v>
          </cell>
          <cell r="G112" t="str">
            <v>n</v>
          </cell>
          <cell r="H112">
            <v>1</v>
          </cell>
          <cell r="I112" t="str">
            <v>kali</v>
          </cell>
        </row>
        <row r="113">
          <cell r="C113" t="str">
            <v>Faktor Efisiensi alat</v>
          </cell>
          <cell r="G113" t="str">
            <v>Fa</v>
          </cell>
          <cell r="H113">
            <v>0.83</v>
          </cell>
          <cell r="I113" t="str">
            <v>-</v>
          </cell>
        </row>
        <row r="115">
          <cell r="C115" t="str">
            <v>Kap. Prod. / jam =</v>
          </cell>
          <cell r="D115" t="str">
            <v>V x n x Fa</v>
          </cell>
          <cell r="G115" t="str">
            <v>Q6</v>
          </cell>
          <cell r="H115">
            <v>47.428571428571423</v>
          </cell>
          <cell r="I115" t="str">
            <v>M3</v>
          </cell>
        </row>
        <row r="116">
          <cell r="D116" t="str">
            <v>Wc</v>
          </cell>
        </row>
        <row r="117">
          <cell r="C117" t="str">
            <v>Koefisien Alat / M3</v>
          </cell>
          <cell r="D117" t="str">
            <v xml:space="preserve"> =  1  :  Q6</v>
          </cell>
          <cell r="G117" t="str">
            <v>(E23)</v>
          </cell>
          <cell r="H117">
            <v>2.1084337349397592E-2</v>
          </cell>
          <cell r="I117" t="str">
            <v>jam</v>
          </cell>
        </row>
        <row r="120">
          <cell r="J120" t="str">
            <v>Berlanjut ke hal. berikut</v>
          </cell>
        </row>
        <row r="121">
          <cell r="A121" t="str">
            <v>ITEM PEMBAYARAN NO.</v>
          </cell>
          <cell r="D121" t="str">
            <v>:  5.1 (1)</v>
          </cell>
          <cell r="J121" t="str">
            <v>Analisa EI-511</v>
          </cell>
        </row>
        <row r="122">
          <cell r="A122" t="str">
            <v>JENIS PEKERJAAN</v>
          </cell>
          <cell r="D122" t="str">
            <v>:  Lps. Pond. Ag. Kls. A, CBR Min 80%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2.g.</v>
          </cell>
          <cell r="C129" t="str">
            <v>ALAT BANTU</v>
          </cell>
          <cell r="J129" t="str">
            <v xml:space="preserve"> Lump Sum</v>
          </cell>
        </row>
        <row r="130">
          <cell r="C130" t="str">
            <v>Diperlukan   :</v>
          </cell>
        </row>
        <row r="131">
          <cell r="C131" t="str">
            <v>- Kereta dorong</v>
          </cell>
          <cell r="D131" t="str">
            <v>=  2  buah.</v>
          </cell>
        </row>
        <row r="132">
          <cell r="C132" t="str">
            <v>- Sekop</v>
          </cell>
          <cell r="D132" t="str">
            <v>=  3  buah.</v>
          </cell>
        </row>
        <row r="133">
          <cell r="C133" t="str">
            <v>- Garpu</v>
          </cell>
          <cell r="D133" t="str">
            <v>=  2  buah.</v>
          </cell>
        </row>
        <row r="135">
          <cell r="A135" t="str">
            <v xml:space="preserve">   3.</v>
          </cell>
          <cell r="C135" t="str">
            <v>TENAGA</v>
          </cell>
        </row>
        <row r="136">
          <cell r="C136" t="str">
            <v>Produksi menentukan : WHEEL LOADER</v>
          </cell>
          <cell r="G136" t="str">
            <v>Q1</v>
          </cell>
          <cell r="H136">
            <v>28.012500000000003</v>
          </cell>
          <cell r="I136" t="str">
            <v>M3/jam</v>
          </cell>
        </row>
        <row r="137">
          <cell r="C137" t="str">
            <v>Produksi agregat / hari  =  Tk x Q1</v>
          </cell>
          <cell r="G137" t="str">
            <v>Qt</v>
          </cell>
          <cell r="H137">
            <v>196.08750000000003</v>
          </cell>
          <cell r="I137" t="str">
            <v>M3</v>
          </cell>
        </row>
        <row r="138">
          <cell r="C138" t="str">
            <v>Kebutuhan tenaga :</v>
          </cell>
        </row>
        <row r="139">
          <cell r="D139" t="str">
            <v>- Pekerja</v>
          </cell>
          <cell r="G139" t="str">
            <v>P</v>
          </cell>
          <cell r="H139">
            <v>7</v>
          </cell>
          <cell r="I139" t="str">
            <v>orang</v>
          </cell>
        </row>
        <row r="140">
          <cell r="D140" t="str">
            <v>- Mandor</v>
          </cell>
          <cell r="G140" t="str">
            <v>M</v>
          </cell>
          <cell r="H140">
            <v>1</v>
          </cell>
          <cell r="I140" t="str">
            <v>orang</v>
          </cell>
        </row>
        <row r="142">
          <cell r="C142" t="str">
            <v>Koefisien tenaga / M3   :</v>
          </cell>
        </row>
        <row r="143">
          <cell r="D143" t="str">
            <v>- Pekerja</v>
          </cell>
          <cell r="E143" t="str">
            <v>= (Tk x P) : Qt</v>
          </cell>
          <cell r="G143" t="str">
            <v>(L01)</v>
          </cell>
          <cell r="H143">
            <v>0.24988844265952695</v>
          </cell>
          <cell r="I143" t="str">
            <v>jam</v>
          </cell>
        </row>
        <row r="144">
          <cell r="D144" t="str">
            <v>- Mandor</v>
          </cell>
          <cell r="E144" t="str">
            <v>= (Tk x M) : Qt</v>
          </cell>
          <cell r="G144" t="str">
            <v>(L03)</v>
          </cell>
          <cell r="H144">
            <v>3.5698348951360995E-2</v>
          </cell>
          <cell r="I144" t="str">
            <v>jam</v>
          </cell>
        </row>
        <row r="146">
          <cell r="A146" t="str">
            <v>4.</v>
          </cell>
          <cell r="C146" t="str">
            <v>HARGA DASAR SATUAN UPAH, BAHAN DAN ALAT</v>
          </cell>
        </row>
        <row r="147">
          <cell r="C147" t="str">
            <v>Lihat lampiran.</v>
          </cell>
        </row>
        <row r="149">
          <cell r="A149" t="str">
            <v>5.</v>
          </cell>
          <cell r="C149" t="str">
            <v>ANALISA HARGA SATUAN PEKERJAAN</v>
          </cell>
        </row>
        <row r="150">
          <cell r="C150" t="str">
            <v>Lihat perhitungan dalam FORMULIR STANDAR UNTUK</v>
          </cell>
        </row>
        <row r="151">
          <cell r="C151" t="str">
            <v>PEREKAMAN ANALISA MASING-MASING HARGA</v>
          </cell>
        </row>
        <row r="152">
          <cell r="C152" t="str">
            <v>SATUAN.</v>
          </cell>
        </row>
        <row r="153">
          <cell r="C153" t="str">
            <v>Didapat Harga Satuan Pekerjaan :</v>
          </cell>
        </row>
        <row r="155">
          <cell r="C155" t="str">
            <v xml:space="preserve">Rp.  </v>
          </cell>
          <cell r="D155">
            <v>304732.36582799954</v>
          </cell>
          <cell r="E155" t="str">
            <v xml:space="preserve"> / M3.</v>
          </cell>
        </row>
        <row r="158">
          <cell r="A158" t="str">
            <v>6.</v>
          </cell>
          <cell r="C158" t="str">
            <v>WAKTU PELAKSANAAN YANG DIPERLUKAN</v>
          </cell>
        </row>
        <row r="159">
          <cell r="C159" t="str">
            <v>Masa Pelaksanaan :</v>
          </cell>
          <cell r="D159" t="str">
            <v>. . . . . . . . . . . .</v>
          </cell>
          <cell r="E159" t="str">
            <v>bulan</v>
          </cell>
        </row>
        <row r="161">
          <cell r="A161" t="str">
            <v>7.</v>
          </cell>
          <cell r="C161" t="str">
            <v>VOLUME PEKERJAAN YANG DIPERLUKAN</v>
          </cell>
        </row>
        <row r="162">
          <cell r="C162" t="str">
            <v>Volume pekerjaan  :</v>
          </cell>
          <cell r="D162">
            <v>1</v>
          </cell>
          <cell r="E162" t="str">
            <v>M3</v>
          </cell>
        </row>
        <row r="180">
          <cell r="A180" t="str">
            <v>ITEM PEMBAYARAN NO.</v>
          </cell>
          <cell r="D180" t="str">
            <v>:  5.1 (2)</v>
          </cell>
          <cell r="J180" t="str">
            <v>Analisa EI-512</v>
          </cell>
          <cell r="T180" t="str">
            <v>Analisa EI-512</v>
          </cell>
        </row>
        <row r="181">
          <cell r="A181" t="str">
            <v>JENIS PEKERJAAN</v>
          </cell>
          <cell r="D181" t="str">
            <v>:  Lps. Pond. Ag. Kls. B, CBR Min 35%</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t="str">
            <v xml:space="preserve">                                                                                                            </v>
          </cell>
        </row>
        <row r="185">
          <cell r="A185" t="str">
            <v>No.</v>
          </cell>
          <cell r="C185" t="str">
            <v>U R A I A N</v>
          </cell>
          <cell r="G185" t="str">
            <v>KODE</v>
          </cell>
          <cell r="H185" t="str">
            <v>KOEF.</v>
          </cell>
          <cell r="I185" t="str">
            <v>SATUAN</v>
          </cell>
          <cell r="J185" t="str">
            <v>KETERANGAN</v>
          </cell>
        </row>
        <row r="187">
          <cell r="L187" t="str">
            <v>PROYEK</v>
          </cell>
          <cell r="O187" t="str">
            <v xml:space="preserve">: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xml:space="preserve">:  </v>
          </cell>
        </row>
        <row r="190">
          <cell r="A190">
            <v>2</v>
          </cell>
          <cell r="C190" t="str">
            <v>Lokasi pekerjaan : sepanjang jalan</v>
          </cell>
          <cell r="L190" t="str">
            <v>PROP / KAB / KODYA</v>
          </cell>
          <cell r="O190" t="str">
            <v xml:space="preserve">:  </v>
          </cell>
        </row>
        <row r="191">
          <cell r="A191">
            <v>3</v>
          </cell>
          <cell r="C191" t="str">
            <v>Kondisi existing jalan : sedang</v>
          </cell>
          <cell r="L191" t="str">
            <v>ITEM PEMBAYARAN NO.</v>
          </cell>
          <cell r="O191" t="str">
            <v>:  5.1 (2)</v>
          </cell>
          <cell r="R191" t="str">
            <v>PERKIRAAN VOL. PEK.</v>
          </cell>
          <cell r="T191" t="str">
            <v>:</v>
          </cell>
          <cell r="U191">
            <v>1</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v>
          </cell>
          <cell r="T192" t="str">
            <v>:</v>
          </cell>
          <cell r="U192">
            <v>339061.22823589185</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v>8.0681907126475844E-3</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Proporsi Campuran :</v>
          </cell>
          <cell r="D196" t="str">
            <v>- Agregat Kasar</v>
          </cell>
          <cell r="G196" t="str">
            <v>Ak</v>
          </cell>
          <cell r="H196">
            <v>35</v>
          </cell>
          <cell r="I196" t="str">
            <v>%</v>
          </cell>
          <cell r="J196" t="str">
            <v xml:space="preserve"> Gradasi harus</v>
          </cell>
          <cell r="Q196" t="str">
            <v>PERKIRAAN</v>
          </cell>
          <cell r="R196" t="str">
            <v>HARGA</v>
          </cell>
          <cell r="S196" t="str">
            <v>JUMLAH</v>
          </cell>
        </row>
        <row r="197">
          <cell r="D197" t="str">
            <v>- Agregat Halus</v>
          </cell>
          <cell r="G197" t="str">
            <v>Ah</v>
          </cell>
          <cell r="H197">
            <v>20</v>
          </cell>
          <cell r="I197" t="str">
            <v>%</v>
          </cell>
          <cell r="J197" t="str">
            <v xml:space="preserve"> memenuhi</v>
          </cell>
          <cell r="L197" t="str">
            <v>NO.</v>
          </cell>
          <cell r="N197" t="str">
            <v>KOMPONEN</v>
          </cell>
          <cell r="P197" t="str">
            <v>SATUAN</v>
          </cell>
          <cell r="Q197" t="str">
            <v>KUANTITAS</v>
          </cell>
          <cell r="R197" t="str">
            <v>SATUAN</v>
          </cell>
          <cell r="S197" t="str">
            <v>HARGA</v>
          </cell>
        </row>
        <row r="198">
          <cell r="D198" t="str">
            <v>- Sirtu</v>
          </cell>
          <cell r="G198" t="str">
            <v>St</v>
          </cell>
          <cell r="H198">
            <v>45</v>
          </cell>
          <cell r="I198" t="str">
            <v>%</v>
          </cell>
          <cell r="J198" t="str">
            <v xml:space="preserve"> Spesifikasi</v>
          </cell>
          <cell r="R198" t="str">
            <v>(Rp.)</v>
          </cell>
          <cell r="S198" t="str">
            <v>(Rp.)</v>
          </cell>
        </row>
        <row r="199">
          <cell r="A199" t="str">
            <v>II.</v>
          </cell>
          <cell r="C199" t="str">
            <v>URUTAN KERJA</v>
          </cell>
        </row>
        <row r="200">
          <cell r="A200">
            <v>1</v>
          </cell>
          <cell r="C200" t="str">
            <v>Wheel Loader mencampur dan memuat Agregat ke</v>
          </cell>
        </row>
        <row r="201">
          <cell r="C201" t="str">
            <v>dalam Dump Truck di Base Camp</v>
          </cell>
          <cell r="L201" t="str">
            <v>A.</v>
          </cell>
          <cell r="N201" t="str">
            <v>TENAGA</v>
          </cell>
        </row>
        <row r="202">
          <cell r="A202">
            <v>2</v>
          </cell>
          <cell r="C202" t="str">
            <v>Dump Truck mengangkut Agregat ke lokasi</v>
          </cell>
        </row>
        <row r="203">
          <cell r="C203" t="str">
            <v>pekerjaan dan dihampar dengan Motor Grader</v>
          </cell>
          <cell r="L203" t="str">
            <v>1.</v>
          </cell>
          <cell r="N203" t="str">
            <v>Pekerja</v>
          </cell>
          <cell r="O203" t="str">
            <v>(L01)</v>
          </cell>
          <cell r="P203" t="str">
            <v>jam</v>
          </cell>
          <cell r="Q203">
            <v>0.24988844265952695</v>
          </cell>
          <cell r="R203">
            <v>2857.14</v>
          </cell>
          <cell r="U203">
            <v>713.96626506024074</v>
          </cell>
        </row>
        <row r="204">
          <cell r="A204">
            <v>3</v>
          </cell>
          <cell r="C204" t="str">
            <v>Hamparan Agregat dibasahi dengan Water Tank</v>
          </cell>
          <cell r="L204" t="str">
            <v>2.</v>
          </cell>
          <cell r="N204" t="str">
            <v>Mandor</v>
          </cell>
          <cell r="O204" t="str">
            <v>(L03)</v>
          </cell>
          <cell r="P204" t="str">
            <v>jam</v>
          </cell>
          <cell r="Q204">
            <v>3.5698348951360995E-2</v>
          </cell>
          <cell r="R204">
            <v>3214.29</v>
          </cell>
          <cell r="U204">
            <v>114.74484605087014</v>
          </cell>
        </row>
        <row r="205">
          <cell r="C205" t="str">
            <v>Truck sebelum dipadatkan dengan Tandem</v>
          </cell>
        </row>
        <row r="206">
          <cell r="C206" t="str">
            <v>Roller dan Pneumatic Tire Roller</v>
          </cell>
        </row>
        <row r="207">
          <cell r="A207">
            <v>4</v>
          </cell>
          <cell r="C207" t="str">
            <v>Selama pemadatan, sekelompok pekerja akan</v>
          </cell>
          <cell r="Q207" t="str">
            <v xml:space="preserve">JUMLAH HARGA TENAGA   </v>
          </cell>
          <cell r="U207">
            <v>828.71111111111088</v>
          </cell>
        </row>
        <row r="208">
          <cell r="C208" t="str">
            <v>merapikan tepi hamparan dan level permukaan</v>
          </cell>
        </row>
        <row r="209">
          <cell r="C209" t="str">
            <v>dengan menggunakan Alat Bantu</v>
          </cell>
          <cell r="L209" t="str">
            <v>B.</v>
          </cell>
          <cell r="N209" t="str">
            <v>BAHAN</v>
          </cell>
        </row>
        <row r="210">
          <cell r="A210" t="str">
            <v>III.</v>
          </cell>
          <cell r="C210" t="str">
            <v>PEMAKAIAN BAHAN, ALAT DAN TENAGA</v>
          </cell>
        </row>
        <row r="211">
          <cell r="A211" t="str">
            <v xml:space="preserve">   1.</v>
          </cell>
          <cell r="C211" t="str">
            <v>BAHAN</v>
          </cell>
          <cell r="L211" t="str">
            <v>1.</v>
          </cell>
          <cell r="N211" t="str">
            <v>Agregat Kasar   (M03)</v>
          </cell>
          <cell r="P211" t="str">
            <v>M3</v>
          </cell>
          <cell r="Q211">
            <v>0.42</v>
          </cell>
          <cell r="R211">
            <v>222345.54558042376</v>
          </cell>
          <cell r="U211">
            <v>93385.129143777973</v>
          </cell>
        </row>
        <row r="212">
          <cell r="C212" t="str">
            <v>- Agregat Kasar</v>
          </cell>
          <cell r="D212" t="str">
            <v>=  Ak x 1 M3 x Fk</v>
          </cell>
          <cell r="G212" t="str">
            <v>M03</v>
          </cell>
          <cell r="H212">
            <v>0.42</v>
          </cell>
          <cell r="I212" t="str">
            <v>M3</v>
          </cell>
          <cell r="L212" t="str">
            <v>2.</v>
          </cell>
          <cell r="N212" t="str">
            <v>Agregat Halus    (M04)</v>
          </cell>
          <cell r="P212" t="str">
            <v>M3</v>
          </cell>
          <cell r="Q212">
            <v>0.24</v>
          </cell>
          <cell r="R212">
            <v>194196.70775416915</v>
          </cell>
          <cell r="U212">
            <v>46607.209861000592</v>
          </cell>
        </row>
        <row r="213">
          <cell r="C213" t="str">
            <v>- Agregat Halus</v>
          </cell>
          <cell r="D213" t="str">
            <v>=  Ah x 1 M3 x Fk</v>
          </cell>
          <cell r="G213" t="str">
            <v>M04</v>
          </cell>
          <cell r="H213">
            <v>0.24</v>
          </cell>
          <cell r="I213" t="str">
            <v>M3</v>
          </cell>
          <cell r="L213" t="str">
            <v>3.</v>
          </cell>
          <cell r="N213" t="str">
            <v>Sirtu</v>
          </cell>
          <cell r="O213" t="str">
            <v>(M16)</v>
          </cell>
          <cell r="P213" t="str">
            <v>M3</v>
          </cell>
          <cell r="Q213">
            <v>0.54</v>
          </cell>
          <cell r="R213">
            <v>264500</v>
          </cell>
          <cell r="U213">
            <v>142830</v>
          </cell>
        </row>
        <row r="214">
          <cell r="C214" t="str">
            <v>- Sirtu</v>
          </cell>
          <cell r="D214" t="str">
            <v>=  St x 1 M3 x Fk</v>
          </cell>
          <cell r="G214" t="str">
            <v>M16</v>
          </cell>
          <cell r="H214">
            <v>0.54</v>
          </cell>
          <cell r="I214" t="str">
            <v>M3</v>
          </cell>
        </row>
        <row r="215">
          <cell r="A215" t="str">
            <v xml:space="preserve">   2.</v>
          </cell>
          <cell r="C215" t="str">
            <v>ALAT</v>
          </cell>
        </row>
        <row r="216">
          <cell r="A216" t="str">
            <v xml:space="preserve">   2.a.</v>
          </cell>
          <cell r="C216" t="str">
            <v>WHEEL LOADER</v>
          </cell>
          <cell r="G216" t="str">
            <v>(E15)</v>
          </cell>
        </row>
        <row r="217">
          <cell r="C217" t="str">
            <v>Kapasitas bucket</v>
          </cell>
          <cell r="G217" t="str">
            <v>V</v>
          </cell>
          <cell r="H217">
            <v>1.5</v>
          </cell>
          <cell r="I217" t="str">
            <v>M3</v>
          </cell>
          <cell r="Q217" t="str">
            <v xml:space="preserve">JUMLAH HARGA BAHAN   </v>
          </cell>
          <cell r="U217">
            <v>282822.33900477854</v>
          </cell>
        </row>
        <row r="218">
          <cell r="C218" t="str">
            <v>Faktor bucket</v>
          </cell>
          <cell r="G218" t="str">
            <v>Fb</v>
          </cell>
          <cell r="H218">
            <v>0.9</v>
          </cell>
          <cell r="I218" t="str">
            <v>-</v>
          </cell>
        </row>
        <row r="219">
          <cell r="C219" t="str">
            <v>Faktor Efisiensi alat</v>
          </cell>
          <cell r="G219" t="str">
            <v>Fa</v>
          </cell>
          <cell r="H219">
            <v>0.83</v>
          </cell>
          <cell r="I219" t="str">
            <v>-</v>
          </cell>
          <cell r="L219" t="str">
            <v>C.</v>
          </cell>
          <cell r="N219" t="str">
            <v>PERALATAN</v>
          </cell>
        </row>
        <row r="220">
          <cell r="C220" t="str">
            <v>Waktu Siklus :</v>
          </cell>
          <cell r="G220" t="str">
            <v>Ts1</v>
          </cell>
          <cell r="L220" t="str">
            <v>1.</v>
          </cell>
          <cell r="N220" t="str">
            <v>Wheel Loader</v>
          </cell>
          <cell r="O220" t="str">
            <v>(E15)</v>
          </cell>
          <cell r="P220" t="str">
            <v>jam</v>
          </cell>
          <cell r="Q220">
            <v>3.5698348951360995E-2</v>
          </cell>
          <cell r="R220">
            <v>163808.13869490434</v>
          </cell>
          <cell r="U220">
            <v>5847.680096203635</v>
          </cell>
        </row>
        <row r="221">
          <cell r="C221" t="str">
            <v>- Mencampur</v>
          </cell>
          <cell r="G221" t="str">
            <v>T1</v>
          </cell>
          <cell r="H221">
            <v>1.5</v>
          </cell>
          <cell r="I221" t="str">
            <v>menit</v>
          </cell>
          <cell r="L221" t="str">
            <v>2.</v>
          </cell>
          <cell r="N221" t="str">
            <v>Dump Truck</v>
          </cell>
          <cell r="O221" t="str">
            <v>(E09)</v>
          </cell>
          <cell r="P221" t="str">
            <v>jam</v>
          </cell>
          <cell r="Q221">
            <v>0.14542063837680036</v>
          </cell>
          <cell r="R221">
            <v>70230.073977639215</v>
          </cell>
          <cell r="U221">
            <v>10212.90219107821</v>
          </cell>
        </row>
        <row r="222">
          <cell r="C222" t="str">
            <v>- Memuat dan lain-lain</v>
          </cell>
          <cell r="G222" t="str">
            <v>T2</v>
          </cell>
          <cell r="H222">
            <v>0.5</v>
          </cell>
          <cell r="I222" t="str">
            <v>menit</v>
          </cell>
          <cell r="L222" t="str">
            <v>3.</v>
          </cell>
          <cell r="N222" t="str">
            <v>Motor Grader</v>
          </cell>
          <cell r="O222" t="str">
            <v>(E13)</v>
          </cell>
          <cell r="P222" t="str">
            <v>jam</v>
          </cell>
          <cell r="Q222">
            <v>1.1713520749665328E-2</v>
          </cell>
          <cell r="R222">
            <v>201666.62574070093</v>
          </cell>
          <cell r="U222">
            <v>2362.2262051286921</v>
          </cell>
        </row>
        <row r="223">
          <cell r="G223" t="str">
            <v>Ts1</v>
          </cell>
          <cell r="H223">
            <v>2</v>
          </cell>
          <cell r="I223" t="str">
            <v>menit</v>
          </cell>
          <cell r="L223" t="str">
            <v>4.</v>
          </cell>
          <cell r="N223" t="str">
            <v>Vibratory Roller</v>
          </cell>
          <cell r="O223" t="str">
            <v>(E19)</v>
          </cell>
          <cell r="P223" t="str">
            <v>jam</v>
          </cell>
          <cell r="Q223">
            <v>1.7849174475680501E-2</v>
          </cell>
          <cell r="R223">
            <v>234734.82748629327</v>
          </cell>
          <cell r="U223">
            <v>4189.8228913216117</v>
          </cell>
        </row>
        <row r="224">
          <cell r="L224" t="str">
            <v>5.</v>
          </cell>
          <cell r="N224" t="str">
            <v>P. Tyre Roller</v>
          </cell>
          <cell r="O224" t="str">
            <v>(E18)</v>
          </cell>
          <cell r="P224" t="str">
            <v>jam</v>
          </cell>
          <cell r="Q224">
            <v>4.2838018741633201E-3</v>
          </cell>
          <cell r="R224">
            <v>113384.24751021285</v>
          </cell>
          <cell r="U224">
            <v>485.71565198484757</v>
          </cell>
        </row>
        <row r="225">
          <cell r="C225" t="str">
            <v>Kap. Prod. / jam =</v>
          </cell>
          <cell r="D225" t="str">
            <v>V x Fb x Fa x 60</v>
          </cell>
          <cell r="G225" t="str">
            <v>Q1</v>
          </cell>
          <cell r="H225">
            <v>28.012500000000003</v>
          </cell>
          <cell r="I225" t="str">
            <v>M3</v>
          </cell>
          <cell r="L225" t="str">
            <v>6.</v>
          </cell>
          <cell r="N225" t="str">
            <v>Water Tanker</v>
          </cell>
          <cell r="O225" t="str">
            <v>(E23)</v>
          </cell>
          <cell r="P225" t="str">
            <v>jam</v>
          </cell>
          <cell r="Q225">
            <v>2.1084337349397592E-2</v>
          </cell>
          <cell r="R225">
            <v>67020.510980434308</v>
          </cell>
          <cell r="U225">
            <v>1413.0830628404826</v>
          </cell>
        </row>
        <row r="226">
          <cell r="D226" t="str">
            <v>Fk x Ts1</v>
          </cell>
          <cell r="L226" t="str">
            <v>7.</v>
          </cell>
          <cell r="N226" t="str">
            <v>Alat Bantu</v>
          </cell>
          <cell r="P226" t="str">
            <v>Ls</v>
          </cell>
          <cell r="Q226">
            <v>1</v>
          </cell>
          <cell r="R226">
            <v>75</v>
          </cell>
          <cell r="U226">
            <v>75</v>
          </cell>
        </row>
        <row r="227">
          <cell r="C227" t="str">
            <v>Koefisien Alat / M3</v>
          </cell>
          <cell r="D227" t="str">
            <v xml:space="preserve"> =  1  :  Q1</v>
          </cell>
          <cell r="G227" t="str">
            <v>(E15)</v>
          </cell>
          <cell r="H227">
            <v>3.5698348951360995E-2</v>
          </cell>
          <cell r="I227" t="str">
            <v>jam</v>
          </cell>
        </row>
        <row r="228">
          <cell r="Q228" t="str">
            <v xml:space="preserve">JUMLAH HARGA PERALATAN   </v>
          </cell>
          <cell r="U228">
            <v>24586.430098557481</v>
          </cell>
        </row>
        <row r="229">
          <cell r="A229" t="str">
            <v xml:space="preserve">   2.b.</v>
          </cell>
          <cell r="C229" t="str">
            <v>DUMP TRUCK</v>
          </cell>
          <cell r="G229" t="str">
            <v>(E09)</v>
          </cell>
        </row>
        <row r="230">
          <cell r="C230" t="str">
            <v>Kapasitas bak</v>
          </cell>
          <cell r="G230" t="str">
            <v>V</v>
          </cell>
          <cell r="H230">
            <v>6</v>
          </cell>
          <cell r="I230" t="str">
            <v>M3</v>
          </cell>
          <cell r="L230" t="str">
            <v>D.</v>
          </cell>
          <cell r="N230" t="str">
            <v>JUMLAH HARGA TENAGA, BAHAN DAN PERALATAN  ( A + B + C )</v>
          </cell>
          <cell r="U230">
            <v>308237.48021444713</v>
          </cell>
        </row>
        <row r="231">
          <cell r="C231" t="str">
            <v>Faktor Efisiensi alat</v>
          </cell>
          <cell r="G231" t="str">
            <v>Fa</v>
          </cell>
          <cell r="H231">
            <v>0.83</v>
          </cell>
          <cell r="I231" t="str">
            <v>-</v>
          </cell>
          <cell r="L231" t="str">
            <v>E.</v>
          </cell>
          <cell r="N231" t="str">
            <v>OVERHEAD &amp; PROFIT</v>
          </cell>
          <cell r="P231">
            <v>10</v>
          </cell>
          <cell r="Q231" t="str">
            <v>%  x  D</v>
          </cell>
          <cell r="U231">
            <v>30823.748021444713</v>
          </cell>
        </row>
        <row r="232">
          <cell r="C232" t="str">
            <v>Kecepatan rata-rata bermuatan</v>
          </cell>
          <cell r="G232" t="str">
            <v>v1</v>
          </cell>
          <cell r="H232">
            <v>45</v>
          </cell>
          <cell r="I232" t="str">
            <v>KM/jam</v>
          </cell>
          <cell r="L232" t="str">
            <v>F.</v>
          </cell>
          <cell r="N232" t="str">
            <v>HARGA SATUAN PEKERJAAN  ( D + E )</v>
          </cell>
          <cell r="U232">
            <v>339061.22823589185</v>
          </cell>
        </row>
        <row r="233">
          <cell r="C233" t="str">
            <v>Kecepatan rata-rata kosong</v>
          </cell>
          <cell r="G233" t="str">
            <v>v2</v>
          </cell>
          <cell r="H233">
            <v>60</v>
          </cell>
          <cell r="I233" t="str">
            <v>KM/jam</v>
          </cell>
          <cell r="L233" t="str">
            <v>Note: 1</v>
          </cell>
          <cell r="N233" t="str">
            <v>SATUAN dapat berdasarkan atas jam operasi untuk Tenaga Kerja dan Peralatan, volume dan/atau ukuran</v>
          </cell>
        </row>
        <row r="234">
          <cell r="C234" t="str">
            <v>Waktu Siklus  :  - Waktu memuat = V : Q1 x 60</v>
          </cell>
          <cell r="G234" t="str">
            <v>T1</v>
          </cell>
          <cell r="H234">
            <v>12.851405622489958</v>
          </cell>
          <cell r="I234" t="str">
            <v>menit</v>
          </cell>
          <cell r="N234" t="str">
            <v>berat untuk bahan-bahan.</v>
          </cell>
        </row>
        <row r="235">
          <cell r="C235" t="str">
            <v>- Waktu tempuh isi  =  (L : v1) x 60 menit</v>
          </cell>
          <cell r="G235" t="str">
            <v>T2</v>
          </cell>
          <cell r="H235">
            <v>11.633333333333333</v>
          </cell>
          <cell r="I235" t="str">
            <v>menit</v>
          </cell>
          <cell r="L235">
            <v>2</v>
          </cell>
          <cell r="N235" t="str">
            <v>Kuantitas satuan adalah kuantitas setiap komponen untuk menyelesaikan satu satuan pekerjaan dari nomor</v>
          </cell>
        </row>
        <row r="236">
          <cell r="C236" t="str">
            <v>- Waktu tempuh kosong  =  (L : v2) x 60 menit</v>
          </cell>
          <cell r="G236" t="str">
            <v>T3</v>
          </cell>
          <cell r="H236">
            <v>8.7249999999999996</v>
          </cell>
          <cell r="I236" t="str">
            <v>menit</v>
          </cell>
          <cell r="N236" t="str">
            <v>mata pembayaran.</v>
          </cell>
        </row>
        <row r="237">
          <cell r="C237" t="str">
            <v>- Dump dan lain-lain</v>
          </cell>
          <cell r="G237" t="str">
            <v>T4</v>
          </cell>
          <cell r="H237">
            <v>3</v>
          </cell>
          <cell r="I237" t="str">
            <v>menit</v>
          </cell>
          <cell r="L237">
            <v>3</v>
          </cell>
          <cell r="N237" t="str">
            <v>Biaya satuan untuk peralatan sudah termasuk bahan bakar, bahan habis dipakai dan operator.</v>
          </cell>
        </row>
        <row r="238">
          <cell r="G238" t="str">
            <v>Ts2</v>
          </cell>
          <cell r="H238">
            <v>36.20973895582329</v>
          </cell>
          <cell r="I238" t="str">
            <v>menit</v>
          </cell>
          <cell r="L238">
            <v>4</v>
          </cell>
          <cell r="N238" t="str">
            <v>Biaya satuan sudah termasuk pengeluaran untuk seluruh pajak yang berkaitan (tetapi tidak termasuk PPN</v>
          </cell>
        </row>
        <row r="239">
          <cell r="N239" t="str">
            <v>yang dibayar dari kontrak) dan biaya-biaya lainnya.</v>
          </cell>
        </row>
        <row r="240">
          <cell r="J240" t="str">
            <v>Berlanjut ke hal. berikut</v>
          </cell>
        </row>
        <row r="241">
          <cell r="A241" t="str">
            <v>ITEM PEMBAYARAN NO.</v>
          </cell>
          <cell r="D241" t="str">
            <v>:  5.1 (2)</v>
          </cell>
          <cell r="J241" t="str">
            <v>Analisa EI-512</v>
          </cell>
        </row>
        <row r="242">
          <cell r="A242" t="str">
            <v>JENIS PEKERJAAN</v>
          </cell>
          <cell r="D242" t="str">
            <v>:  Lps. Pond. Ag. Kls. B, CBR Min 35%</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6.8766030129017413</v>
          </cell>
          <cell r="I249" t="str">
            <v>M3</v>
          </cell>
        </row>
        <row r="250">
          <cell r="D250" t="str">
            <v>Fk x Ts2</v>
          </cell>
        </row>
        <row r="251">
          <cell r="C251" t="str">
            <v>Koefisien Alat / M3</v>
          </cell>
          <cell r="D251" t="str">
            <v xml:space="preserve"> =  1  :  Q2</v>
          </cell>
          <cell r="G251" t="str">
            <v>-</v>
          </cell>
          <cell r="H251">
            <v>0.14542063837680036</v>
          </cell>
          <cell r="I251" t="str">
            <v>jam</v>
          </cell>
        </row>
        <row r="253">
          <cell r="A253" t="str">
            <v xml:space="preserve">   2.c.</v>
          </cell>
          <cell r="C253" t="str">
            <v>MOTOR GRADER</v>
          </cell>
          <cell r="G253" t="str">
            <v>(E13)</v>
          </cell>
        </row>
        <row r="254">
          <cell r="C254" t="str">
            <v>Panjang hamparan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KM/jam</v>
          </cell>
        </row>
        <row r="258">
          <cell r="C258" t="str">
            <v>Jumlah lintasan</v>
          </cell>
          <cell r="G258" t="str">
            <v>n</v>
          </cell>
          <cell r="H258">
            <v>6</v>
          </cell>
          <cell r="I258" t="str">
            <v>lintasan</v>
          </cell>
          <cell r="J258" t="str">
            <v xml:space="preserve"> 3 x pp</v>
          </cell>
        </row>
        <row r="259">
          <cell r="C259" t="str">
            <v>Waktu Siklus :</v>
          </cell>
          <cell r="G259" t="str">
            <v>Ts3</v>
          </cell>
        </row>
        <row r="260">
          <cell r="C260" t="str">
            <v>- Perataan 1 lintasan  =  Lh : (v x 1000) x 60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 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 xml:space="preserve">   2.d.</v>
          </cell>
          <cell r="C268" t="str">
            <v>VIBRATORY ROLLER</v>
          </cell>
          <cell r="G268" t="str">
            <v>(E19)</v>
          </cell>
        </row>
        <row r="269">
          <cell r="C269" t="str">
            <v>Kecepatan rata-rata alat</v>
          </cell>
          <cell r="G269" t="str">
            <v>v</v>
          </cell>
          <cell r="H269">
            <v>3</v>
          </cell>
          <cell r="I269" t="str">
            <v>KM/jam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 Prod. / 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(E19)</v>
          </cell>
          <cell r="H276">
            <v>1.7849174475680501E-2</v>
          </cell>
          <cell r="I276" t="str">
            <v>jam</v>
          </cell>
        </row>
        <row r="278">
          <cell r="A278" t="str">
            <v xml:space="preserve">   2.e.</v>
          </cell>
          <cell r="C278" t="str">
            <v>PNEUMATIC TIRE ROLLER</v>
          </cell>
          <cell r="G278" t="str">
            <v>(E18)</v>
          </cell>
        </row>
        <row r="279">
          <cell r="C279" t="str">
            <v>Kecepatan rata-rata alat</v>
          </cell>
          <cell r="G279" t="str">
            <v>v</v>
          </cell>
          <cell r="H279">
            <v>5</v>
          </cell>
          <cell r="I279" t="str">
            <v>KM/jam</v>
          </cell>
        </row>
        <row r="280">
          <cell r="C280" t="str">
            <v>Lebar efektif pemadatan</v>
          </cell>
          <cell r="G280" t="str">
            <v>b</v>
          </cell>
          <cell r="H280">
            <v>1.5</v>
          </cell>
          <cell r="I280" t="str">
            <v>M</v>
          </cell>
        </row>
        <row r="281">
          <cell r="C281" t="str">
            <v>Jumlah lintasan</v>
          </cell>
          <cell r="G281" t="str">
            <v>n</v>
          </cell>
          <cell r="H281">
            <v>4</v>
          </cell>
          <cell r="I281" t="str">
            <v>lintasan</v>
          </cell>
        </row>
        <row r="282">
          <cell r="C282" t="str">
            <v>Faktor Efisiensi alat</v>
          </cell>
          <cell r="G282" t="str">
            <v>Fa</v>
          </cell>
          <cell r="H282">
            <v>0.83</v>
          </cell>
          <cell r="I282" t="str">
            <v>-</v>
          </cell>
        </row>
        <row r="284">
          <cell r="C284" t="str">
            <v>Kap. Prod. / jam =</v>
          </cell>
          <cell r="D284" t="str">
            <v>(v x 1000) x b x t x Fa</v>
          </cell>
          <cell r="G284" t="str">
            <v>Q5</v>
          </cell>
          <cell r="H284">
            <v>233.4375</v>
          </cell>
          <cell r="I284" t="str">
            <v>M3</v>
          </cell>
        </row>
        <row r="285">
          <cell r="D285" t="str">
            <v>n</v>
          </cell>
        </row>
        <row r="286">
          <cell r="C286" t="str">
            <v>Koefisien Alat / M3</v>
          </cell>
          <cell r="D286" t="str">
            <v xml:space="preserve"> =  1  :  Q5</v>
          </cell>
          <cell r="G286" t="str">
            <v>(E18)</v>
          </cell>
          <cell r="H286">
            <v>4.2838018741633201E-3</v>
          </cell>
          <cell r="I286" t="str">
            <v>jam</v>
          </cell>
        </row>
        <row r="288">
          <cell r="A288" t="str">
            <v xml:space="preserve">   2.f.</v>
          </cell>
          <cell r="C288" t="str">
            <v>WATER TANK TRUCK</v>
          </cell>
          <cell r="G288" t="str">
            <v>(E23)</v>
          </cell>
        </row>
        <row r="289">
          <cell r="C289" t="str">
            <v>Volume tanki air</v>
          </cell>
          <cell r="G289" t="str">
            <v>V</v>
          </cell>
          <cell r="H289">
            <v>4</v>
          </cell>
          <cell r="I289" t="str">
            <v>M3</v>
          </cell>
        </row>
        <row r="290">
          <cell r="C290" t="str">
            <v>Kebutuhan air / M3 agregat padat</v>
          </cell>
          <cell r="G290" t="str">
            <v>Wc</v>
          </cell>
          <cell r="H290">
            <v>7.0000000000000007E-2</v>
          </cell>
          <cell r="I290" t="str">
            <v>M3</v>
          </cell>
        </row>
        <row r="291">
          <cell r="C291" t="str">
            <v>Pengisian tanki / jam</v>
          </cell>
          <cell r="G291" t="str">
            <v>n</v>
          </cell>
          <cell r="H291">
            <v>1</v>
          </cell>
          <cell r="I291" t="str">
            <v>kali</v>
          </cell>
        </row>
        <row r="292">
          <cell r="C292" t="str">
            <v>Faktor Efisiensi alat</v>
          </cell>
          <cell r="G292" t="str">
            <v>Fa</v>
          </cell>
          <cell r="H292">
            <v>0.83</v>
          </cell>
          <cell r="I292" t="str">
            <v>-</v>
          </cell>
        </row>
        <row r="294">
          <cell r="C294" t="str">
            <v>Kap. Prod. / jam =</v>
          </cell>
          <cell r="D294" t="str">
            <v>V x n x Fa</v>
          </cell>
          <cell r="G294" t="str">
            <v>Q6</v>
          </cell>
          <cell r="H294">
            <v>47.428571428571423</v>
          </cell>
          <cell r="I294" t="str">
            <v>M3</v>
          </cell>
        </row>
        <row r="295">
          <cell r="D295" t="str">
            <v>Wc</v>
          </cell>
        </row>
        <row r="296">
          <cell r="C296" t="str">
            <v>Koefisien Alat / M3</v>
          </cell>
          <cell r="D296" t="str">
            <v xml:space="preserve"> =  1  :  Q6</v>
          </cell>
          <cell r="G296" t="str">
            <v>(E23)</v>
          </cell>
          <cell r="H296">
            <v>2.1084337349397592E-2</v>
          </cell>
          <cell r="I296" t="str">
            <v>jam</v>
          </cell>
        </row>
        <row r="299">
          <cell r="J299" t="str">
            <v>Berlanjut ke hal. berikut</v>
          </cell>
        </row>
        <row r="300">
          <cell r="A300" t="str">
            <v>ITEM PEMBAYARAN NO.</v>
          </cell>
          <cell r="D300" t="str">
            <v>:  5.1 (2)</v>
          </cell>
          <cell r="J300" t="str">
            <v>Analisa EI-512</v>
          </cell>
        </row>
        <row r="301">
          <cell r="A301" t="str">
            <v>JENIS PEKERJAAN</v>
          </cell>
          <cell r="D301" t="str">
            <v>:  Lps. Pond. Ag. Kls. B, CBR Min 35%</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2.g.</v>
          </cell>
          <cell r="C308" t="str">
            <v>ALAT BANTU</v>
          </cell>
          <cell r="J308" t="str">
            <v xml:space="preserve"> Lump Sum</v>
          </cell>
        </row>
        <row r="309">
          <cell r="C309" t="str">
            <v>Diperlukan   :</v>
          </cell>
        </row>
        <row r="310">
          <cell r="C310" t="str">
            <v>- Kereta dorong</v>
          </cell>
          <cell r="D310" t="str">
            <v>=  2  buah.</v>
          </cell>
        </row>
        <row r="311">
          <cell r="C311" t="str">
            <v>- Sekop</v>
          </cell>
          <cell r="D311" t="str">
            <v>=  3  buah.</v>
          </cell>
        </row>
        <row r="312">
          <cell r="C312" t="str">
            <v>- Garpu</v>
          </cell>
          <cell r="D312" t="str">
            <v>=  2  buah.</v>
          </cell>
        </row>
        <row r="314">
          <cell r="A314" t="str">
            <v xml:space="preserve">   3.</v>
          </cell>
          <cell r="C314" t="str">
            <v>TENAGA</v>
          </cell>
        </row>
        <row r="315">
          <cell r="C315" t="str">
            <v>Produksi menentukan : WHEEL LOADER</v>
          </cell>
          <cell r="G315" t="str">
            <v>Q1</v>
          </cell>
          <cell r="H315">
            <v>28.012500000000003</v>
          </cell>
          <cell r="I315" t="str">
            <v>M3/jam</v>
          </cell>
        </row>
        <row r="316">
          <cell r="C316" t="str">
            <v>Produksi agregat / hari  =  Tk x Q1</v>
          </cell>
          <cell r="G316" t="str">
            <v>Qt</v>
          </cell>
          <cell r="H316">
            <v>196.08750000000003</v>
          </cell>
          <cell r="I316" t="str">
            <v>M3</v>
          </cell>
        </row>
        <row r="317">
          <cell r="C317" t="str">
            <v>Kebutuhan tenaga :</v>
          </cell>
        </row>
        <row r="318">
          <cell r="D318" t="str">
            <v>- Pekerja</v>
          </cell>
          <cell r="G318" t="str">
            <v>P</v>
          </cell>
          <cell r="H318">
            <v>7</v>
          </cell>
          <cell r="I318" t="str">
            <v>orang</v>
          </cell>
        </row>
        <row r="319">
          <cell r="D319" t="str">
            <v>- Mandor</v>
          </cell>
          <cell r="G319" t="str">
            <v>M</v>
          </cell>
          <cell r="H319">
            <v>1</v>
          </cell>
          <cell r="I319" t="str">
            <v>orang</v>
          </cell>
        </row>
        <row r="321">
          <cell r="C321" t="str">
            <v>Koefisien tenaga / M3   :</v>
          </cell>
        </row>
        <row r="322">
          <cell r="D322" t="str">
            <v>- Pekerja</v>
          </cell>
          <cell r="E322" t="str">
            <v>= (Tk x P) : Qt</v>
          </cell>
          <cell r="G322" t="str">
            <v>-</v>
          </cell>
          <cell r="H322">
            <v>0.24988844265952695</v>
          </cell>
          <cell r="I322" t="str">
            <v>jam</v>
          </cell>
        </row>
        <row r="323">
          <cell r="D323" t="str">
            <v>- Mandor</v>
          </cell>
          <cell r="E323" t="str">
            <v>= (Tk x M) : Qt</v>
          </cell>
          <cell r="G323" t="str">
            <v>-</v>
          </cell>
          <cell r="H323">
            <v>3.5698348951360995E-2</v>
          </cell>
          <cell r="I323" t="str">
            <v>jam</v>
          </cell>
        </row>
        <row r="325">
          <cell r="A325" t="str">
            <v>4.</v>
          </cell>
          <cell r="C325" t="str">
            <v>HARGA DASAR SATUAN UPAH, BAHAN DAN ALAT</v>
          </cell>
        </row>
        <row r="326">
          <cell r="C326" t="str">
            <v>Lihat lampiran.</v>
          </cell>
        </row>
        <row r="328">
          <cell r="A328" t="str">
            <v>5.</v>
          </cell>
          <cell r="C328" t="str">
            <v>ANALISA HARGA SATUAN PEKERJAAN</v>
          </cell>
        </row>
        <row r="329">
          <cell r="C329" t="str">
            <v>Lihat perhitungan dalam FORMULIR STANDAR UNTUK</v>
          </cell>
        </row>
        <row r="330">
          <cell r="C330" t="str">
            <v>PEREKAMAN ANALISA MASING-MASING HARGA</v>
          </cell>
        </row>
        <row r="331">
          <cell r="C331" t="str">
            <v>SATUAN.</v>
          </cell>
        </row>
        <row r="332">
          <cell r="C332" t="str">
            <v>Didapat Harga Satuan Pekerjaan :</v>
          </cell>
        </row>
        <row r="334">
          <cell r="C334" t="str">
            <v xml:space="preserve">Rp.  </v>
          </cell>
          <cell r="D334">
            <v>339061.22823589185</v>
          </cell>
          <cell r="E334" t="str">
            <v xml:space="preserve"> / M3.</v>
          </cell>
        </row>
        <row r="337">
          <cell r="A337" t="str">
            <v>6.</v>
          </cell>
          <cell r="C337" t="str">
            <v>WAKTU PELAKSANAAN YANG DIPERLUKAN</v>
          </cell>
        </row>
        <row r="338">
          <cell r="C338" t="str">
            <v>Masa Pelaksanaan :</v>
          </cell>
          <cell r="D338" t="str">
            <v>. . . . . . . . . . . .</v>
          </cell>
          <cell r="E338" t="str">
            <v>bulan</v>
          </cell>
        </row>
        <row r="340">
          <cell r="A340" t="str">
            <v>7.</v>
          </cell>
          <cell r="C340" t="str">
            <v>VOLUME PEKERJAAN YANG DIPERLUKAN</v>
          </cell>
        </row>
        <row r="341">
          <cell r="C341" t="str">
            <v>Volume pekerjaan  :</v>
          </cell>
          <cell r="D341">
            <v>1</v>
          </cell>
          <cell r="E341" t="str">
            <v>M3</v>
          </cell>
        </row>
        <row r="359">
          <cell r="A359" t="str">
            <v>ITEM PEMBAYARAN NO.</v>
          </cell>
          <cell r="D359" t="str">
            <v>:  5.1 (3)</v>
          </cell>
          <cell r="J359" t="str">
            <v>Analisa EI-521</v>
          </cell>
          <cell r="T359" t="str">
            <v>Analisa EI-521</v>
          </cell>
        </row>
        <row r="360">
          <cell r="A360" t="str">
            <v>JENIS PEKERJAAN</v>
          </cell>
          <cell r="D360" t="str">
            <v>:  Lapis Pondasi Agregat Kelas C</v>
          </cell>
        </row>
        <row r="361">
          <cell r="A361" t="str">
            <v>SATUAN PEMBAYARAN</v>
          </cell>
          <cell r="D361" t="str">
            <v>:  M3</v>
          </cell>
          <cell r="H361" t="str">
            <v xml:space="preserve">         URAIAN ANALISA HARGA SATUAN</v>
          </cell>
          <cell r="L361" t="str">
            <v>FORMULIR STANDAR UNTUK</v>
          </cell>
        </row>
        <row r="362">
          <cell r="L362" t="str">
            <v>PEREKAMAN ANALISA MASING-MASING HARGA SATUAN</v>
          </cell>
        </row>
        <row r="363">
          <cell r="L363" t="str">
            <v xml:space="preserve">                                                                                                            </v>
          </cell>
        </row>
        <row r="364">
          <cell r="A364" t="str">
            <v>No.</v>
          </cell>
          <cell r="C364" t="str">
            <v>U R A I A N</v>
          </cell>
          <cell r="G364" t="str">
            <v>KODE</v>
          </cell>
          <cell r="H364" t="str">
            <v>KOEF.</v>
          </cell>
          <cell r="I364" t="str">
            <v>SATUAN</v>
          </cell>
          <cell r="J364" t="str">
            <v>KETERANGAN</v>
          </cell>
        </row>
        <row r="366">
          <cell r="L366" t="str">
            <v>PROYEK</v>
          </cell>
          <cell r="O366" t="str">
            <v xml:space="preserve">:  </v>
          </cell>
        </row>
        <row r="367">
          <cell r="A367" t="str">
            <v>I.</v>
          </cell>
          <cell r="C367" t="str">
            <v>ASUMSI</v>
          </cell>
          <cell r="L367" t="str">
            <v>No. PAKET KONTRAK</v>
          </cell>
          <cell r="O367" t="str">
            <v xml:space="preserve">:  </v>
          </cell>
        </row>
        <row r="368">
          <cell r="A368">
            <v>1</v>
          </cell>
          <cell r="C368" t="str">
            <v>Menggunakan alat berat (cara mekanik)</v>
          </cell>
          <cell r="L368" t="str">
            <v>NAMA PAKET</v>
          </cell>
          <cell r="O368" t="str">
            <v xml:space="preserve">:  </v>
          </cell>
        </row>
        <row r="369">
          <cell r="A369">
            <v>2</v>
          </cell>
          <cell r="C369" t="str">
            <v>Lokasi pekerjaan : sepanjang jalan</v>
          </cell>
          <cell r="L369" t="str">
            <v>PROP / KAB / KODYA</v>
          </cell>
          <cell r="O369" t="str">
            <v xml:space="preserve">:  </v>
          </cell>
        </row>
        <row r="370">
          <cell r="A370">
            <v>3</v>
          </cell>
          <cell r="C370" t="str">
            <v>Kondisi existing jalan : sedang</v>
          </cell>
          <cell r="L370" t="str">
            <v>ITEM PEMBAYARAN NO.</v>
          </cell>
          <cell r="O370" t="str">
            <v>:  5.1 (3)</v>
          </cell>
          <cell r="R370" t="str">
            <v>PERKIRAAN VOL. PEK.</v>
          </cell>
          <cell r="T370" t="str">
            <v>:</v>
          </cell>
          <cell r="U370">
            <v>1</v>
          </cell>
        </row>
        <row r="371">
          <cell r="A371">
            <v>4</v>
          </cell>
          <cell r="C371" t="str">
            <v>Jarak rata-rata Base Camp ke lokasi pekerjaan</v>
          </cell>
          <cell r="G371" t="str">
            <v>L</v>
          </cell>
          <cell r="H371">
            <v>8.7249999999999996</v>
          </cell>
          <cell r="I371" t="str">
            <v>KM</v>
          </cell>
          <cell r="L371" t="str">
            <v>JENIS PEKERJAAN</v>
          </cell>
          <cell r="O371" t="str">
            <v>:  Lapis Pondasi Agregat Kelas C</v>
          </cell>
          <cell r="R371" t="str">
            <v>TOTAL HARGA</v>
          </cell>
          <cell r="T371" t="str">
            <v>:</v>
          </cell>
          <cell r="U371">
            <v>252395.66</v>
          </cell>
        </row>
        <row r="372">
          <cell r="A372">
            <v>5</v>
          </cell>
          <cell r="C372" t="str">
            <v>Tebal lapis Agregat padat</v>
          </cell>
          <cell r="G372" t="str">
            <v>t</v>
          </cell>
          <cell r="H372">
            <v>0.15</v>
          </cell>
          <cell r="I372" t="str">
            <v>M</v>
          </cell>
          <cell r="L372" t="str">
            <v>SATUAN PEMBAYARAN</v>
          </cell>
          <cell r="O372" t="str">
            <v>:  M3</v>
          </cell>
          <cell r="R372" t="str">
            <v>% THD. BIAYA PROYEK</v>
          </cell>
          <cell r="T372" t="str">
            <v>:</v>
          </cell>
          <cell r="U372">
            <v>6.005925037550471E-3</v>
          </cell>
        </row>
        <row r="373">
          <cell r="A373">
            <v>6</v>
          </cell>
          <cell r="C373" t="str">
            <v>Faktor kembang material (Padat-Lepas)</v>
          </cell>
          <cell r="G373" t="str">
            <v>Fk</v>
          </cell>
          <cell r="H373">
            <v>1.35</v>
          </cell>
          <cell r="I373" t="str">
            <v>-</v>
          </cell>
        </row>
        <row r="374">
          <cell r="A374">
            <v>7</v>
          </cell>
          <cell r="C374" t="str">
            <v>Jam kerja efektif per-hari</v>
          </cell>
          <cell r="G374" t="str">
            <v>Tk</v>
          </cell>
          <cell r="H374">
            <v>7</v>
          </cell>
          <cell r="I374" t="str">
            <v>Jam</v>
          </cell>
        </row>
        <row r="375">
          <cell r="Q375" t="str">
            <v>PERKIRAAN</v>
          </cell>
          <cell r="R375" t="str">
            <v>HARGA</v>
          </cell>
          <cell r="S375" t="str">
            <v>JUMLAH</v>
          </cell>
        </row>
        <row r="376">
          <cell r="A376" t="str">
            <v>II.</v>
          </cell>
          <cell r="C376" t="str">
            <v>URUTAN KERJA</v>
          </cell>
          <cell r="L376" t="str">
            <v>NO.</v>
          </cell>
          <cell r="N376" t="str">
            <v>KOMPONEN</v>
          </cell>
          <cell r="P376" t="str">
            <v>SATUAN</v>
          </cell>
          <cell r="Q376" t="str">
            <v>KUANTITAS</v>
          </cell>
          <cell r="R376" t="str">
            <v>SATUAN</v>
          </cell>
          <cell r="S376" t="str">
            <v>HARGA</v>
          </cell>
        </row>
        <row r="377">
          <cell r="A377">
            <v>1</v>
          </cell>
          <cell r="C377" t="str">
            <v>Wheel Loader memuat Agregat ke dalam Dump</v>
          </cell>
          <cell r="R377" t="str">
            <v>(Rp.)</v>
          </cell>
          <cell r="S377" t="str">
            <v>(Rp.)</v>
          </cell>
        </row>
        <row r="378">
          <cell r="C378" t="str">
            <v>Tuck di Base Camp</v>
          </cell>
        </row>
        <row r="379">
          <cell r="A379">
            <v>2</v>
          </cell>
          <cell r="C379" t="str">
            <v>Dump Truck mengangkut Agregat ke lokasi</v>
          </cell>
        </row>
        <row r="380">
          <cell r="C380" t="str">
            <v>pekerjaandan dihampar dengan Motor Grader</v>
          </cell>
          <cell r="L380" t="str">
            <v>A.</v>
          </cell>
          <cell r="N380" t="str">
            <v>TENAGA</v>
          </cell>
        </row>
        <row r="381">
          <cell r="A381">
            <v>3</v>
          </cell>
          <cell r="C381" t="str">
            <v>Hamparan Agregat dibasahi dengan Water Tank</v>
          </cell>
        </row>
        <row r="382">
          <cell r="C382" t="str">
            <v>Truck sebelum dipadatkan dengan Tandem</v>
          </cell>
          <cell r="L382" t="str">
            <v>1.</v>
          </cell>
          <cell r="N382" t="str">
            <v>Pekerja</v>
          </cell>
          <cell r="O382" t="str">
            <v>(L01)</v>
          </cell>
          <cell r="P382" t="str">
            <v>Jam</v>
          </cell>
          <cell r="Q382">
            <v>7.0281124497991981E-2</v>
          </cell>
          <cell r="R382">
            <v>2857.14</v>
          </cell>
          <cell r="U382">
            <v>200.80301204819281</v>
          </cell>
        </row>
        <row r="383">
          <cell r="C383" t="str">
            <v>Roller dan Pneumatic  Tire Roller</v>
          </cell>
          <cell r="L383" t="str">
            <v>2.</v>
          </cell>
          <cell r="N383" t="str">
            <v>Mandor</v>
          </cell>
          <cell r="O383" t="str">
            <v>(L03)</v>
          </cell>
          <cell r="P383" t="str">
            <v>Jam</v>
          </cell>
          <cell r="Q383">
            <v>1.0040160642570283E-2</v>
          </cell>
          <cell r="R383">
            <v>3214.29</v>
          </cell>
          <cell r="U383">
            <v>32.271987951807233</v>
          </cell>
        </row>
        <row r="384">
          <cell r="A384">
            <v>4</v>
          </cell>
          <cell r="C384" t="str">
            <v>Selama pemadatan sekelompok pekerja akan</v>
          </cell>
        </row>
        <row r="385">
          <cell r="C385" t="str">
            <v>merapikan tepi hamparan dan level permukaan</v>
          </cell>
        </row>
        <row r="386">
          <cell r="C386" t="str">
            <v>dengan menggunakan alat bantu</v>
          </cell>
          <cell r="Q386" t="str">
            <v xml:space="preserve">JUMLAH HARGA TENAGA   </v>
          </cell>
          <cell r="U386">
            <v>233.07500000000005</v>
          </cell>
        </row>
        <row r="388">
          <cell r="A388" t="str">
            <v>III.</v>
          </cell>
          <cell r="C388" t="str">
            <v>PEMAKAIAN BAHAN, ALAT DAN TENAGA</v>
          </cell>
          <cell r="L388" t="str">
            <v>B.</v>
          </cell>
          <cell r="N388" t="str">
            <v>BAHAN</v>
          </cell>
        </row>
        <row r="390">
          <cell r="A390" t="str">
            <v xml:space="preserve">   1.</v>
          </cell>
          <cell r="C390" t="str">
            <v>BAHAN</v>
          </cell>
          <cell r="L390" t="str">
            <v>1.</v>
          </cell>
          <cell r="N390" t="str">
            <v>Agregat Kelas C1 (M28)</v>
          </cell>
          <cell r="P390" t="str">
            <v>M3</v>
          </cell>
          <cell r="Q390">
            <v>1.35</v>
          </cell>
          <cell r="R390">
            <v>141787.08464737452</v>
          </cell>
          <cell r="U390">
            <v>191412.56427395562</v>
          </cell>
        </row>
        <row r="391">
          <cell r="C391" t="str">
            <v>Material Agregat Kelas C hasil produksi di Base Camp</v>
          </cell>
        </row>
        <row r="392">
          <cell r="C392" t="str">
            <v>Setiap 1 M3 Agregat padat diperlukan : 1 x Fk</v>
          </cell>
          <cell r="G392" t="str">
            <v>(M28)</v>
          </cell>
          <cell r="H392">
            <v>1.35</v>
          </cell>
          <cell r="I392" t="str">
            <v>M3</v>
          </cell>
          <cell r="J392" t="str">
            <v xml:space="preserve"> Agregat lepas</v>
          </cell>
        </row>
        <row r="394">
          <cell r="A394" t="str">
            <v xml:space="preserve">   2.</v>
          </cell>
          <cell r="C394" t="str">
            <v>ALAT</v>
          </cell>
        </row>
        <row r="395">
          <cell r="A395" t="str">
            <v>2.a.</v>
          </cell>
          <cell r="C395" t="str">
            <v>WHEEL LOADER</v>
          </cell>
          <cell r="G395" t="str">
            <v>(E15)</v>
          </cell>
        </row>
        <row r="396">
          <cell r="C396" t="str">
            <v>Kapasitas bucket</v>
          </cell>
          <cell r="G396" t="str">
            <v>V</v>
          </cell>
          <cell r="H396">
            <v>1.5</v>
          </cell>
          <cell r="I396" t="str">
            <v>M3</v>
          </cell>
          <cell r="Q396" t="str">
            <v xml:space="preserve">JUMLAH HARGA BAHAN   </v>
          </cell>
          <cell r="U396">
            <v>191412.56427395562</v>
          </cell>
        </row>
        <row r="397">
          <cell r="C397" t="str">
            <v>Faktor bucket</v>
          </cell>
          <cell r="G397" t="str">
            <v>Fb</v>
          </cell>
          <cell r="H397">
            <v>0.9</v>
          </cell>
          <cell r="I397" t="str">
            <v>-</v>
          </cell>
          <cell r="J397" t="str">
            <v>Pemuatan ringan</v>
          </cell>
        </row>
        <row r="398">
          <cell r="C398" t="str">
            <v>Faktor Efisiensi alat</v>
          </cell>
          <cell r="G398" t="str">
            <v>Fa</v>
          </cell>
          <cell r="H398">
            <v>0.83</v>
          </cell>
          <cell r="I398" t="str">
            <v>-</v>
          </cell>
          <cell r="L398" t="str">
            <v>C.</v>
          </cell>
          <cell r="N398" t="str">
            <v>PERALATAN</v>
          </cell>
        </row>
        <row r="399">
          <cell r="C399" t="str">
            <v>Waktu siklus</v>
          </cell>
          <cell r="G399" t="str">
            <v>Ts1</v>
          </cell>
        </row>
        <row r="400">
          <cell r="C400" t="str">
            <v>- Muat</v>
          </cell>
          <cell r="G400" t="str">
            <v>T1</v>
          </cell>
          <cell r="H400">
            <v>0.25</v>
          </cell>
          <cell r="I400" t="str">
            <v>menit</v>
          </cell>
          <cell r="L400" t="str">
            <v>1.</v>
          </cell>
          <cell r="N400" t="str">
            <v>Wheel Loader</v>
          </cell>
          <cell r="O400" t="str">
            <v>(E15)</v>
          </cell>
          <cell r="P400" t="str">
            <v>Jam</v>
          </cell>
          <cell r="Q400">
            <v>1.0040160642570281E-2</v>
          </cell>
          <cell r="R400">
            <v>163808.13869490434</v>
          </cell>
          <cell r="U400">
            <v>1644.6600270572724</v>
          </cell>
        </row>
        <row r="401">
          <cell r="C401" t="str">
            <v>- Lain-lain</v>
          </cell>
          <cell r="G401" t="str">
            <v>T2</v>
          </cell>
          <cell r="H401">
            <v>0.25</v>
          </cell>
          <cell r="I401" t="str">
            <v>menit</v>
          </cell>
          <cell r="L401" t="str">
            <v>2.</v>
          </cell>
          <cell r="N401" t="str">
            <v>Dump Truck</v>
          </cell>
          <cell r="O401" t="str">
            <v>(E08)</v>
          </cell>
          <cell r="P401" t="str">
            <v>Jam</v>
          </cell>
          <cell r="Q401">
            <v>0.17463233959936131</v>
          </cell>
          <cell r="R401">
            <v>153645.58193291764</v>
          </cell>
          <cell r="U401">
            <v>26831.487442050766</v>
          </cell>
        </row>
        <row r="402">
          <cell r="G402" t="str">
            <v>Ts1</v>
          </cell>
          <cell r="H402">
            <v>0.5</v>
          </cell>
          <cell r="I402" t="str">
            <v>menit</v>
          </cell>
          <cell r="L402" t="str">
            <v>3.</v>
          </cell>
          <cell r="N402" t="str">
            <v>Motor Grader</v>
          </cell>
          <cell r="O402" t="str">
            <v>(E13)</v>
          </cell>
          <cell r="P402" t="str">
            <v>Jam</v>
          </cell>
          <cell r="Q402">
            <v>1.1713520749665328E-2</v>
          </cell>
          <cell r="R402">
            <v>201666.62574070093</v>
          </cell>
          <cell r="U402">
            <v>2362.2262051286921</v>
          </cell>
        </row>
        <row r="403">
          <cell r="L403" t="str">
            <v>4.</v>
          </cell>
          <cell r="N403" t="str">
            <v>Vibratory Roller</v>
          </cell>
          <cell r="O403" t="str">
            <v>(E19)</v>
          </cell>
          <cell r="P403" t="str">
            <v>Jam</v>
          </cell>
          <cell r="Q403">
            <v>2.1419009370816599E-2</v>
          </cell>
          <cell r="R403">
            <v>234734.82748629327</v>
          </cell>
          <cell r="U403">
            <v>5027.7874695859336</v>
          </cell>
        </row>
        <row r="404">
          <cell r="C404" t="str">
            <v>Kap. Prod. / jam =</v>
          </cell>
          <cell r="D404" t="str">
            <v>V x Fb x Fa x 60</v>
          </cell>
          <cell r="G404" t="str">
            <v>Q1</v>
          </cell>
          <cell r="H404">
            <v>99.6</v>
          </cell>
          <cell r="I404" t="str">
            <v>M3</v>
          </cell>
          <cell r="L404" t="str">
            <v>5.</v>
          </cell>
          <cell r="N404" t="str">
            <v>P. Tyre Roller</v>
          </cell>
          <cell r="O404" t="str">
            <v>(E18)</v>
          </cell>
          <cell r="P404" t="str">
            <v>Jam</v>
          </cell>
          <cell r="Q404">
            <v>4.2838018741633201E-3</v>
          </cell>
          <cell r="R404">
            <v>113384.24751021285</v>
          </cell>
          <cell r="U404">
            <v>485.71565198484757</v>
          </cell>
        </row>
        <row r="405">
          <cell r="D405" t="str">
            <v>Fk x Ts1</v>
          </cell>
          <cell r="L405" t="str">
            <v>6.</v>
          </cell>
          <cell r="N405" t="str">
            <v>Water Tanker</v>
          </cell>
          <cell r="O405" t="str">
            <v>(E23)</v>
          </cell>
          <cell r="P405" t="str">
            <v>Jam</v>
          </cell>
          <cell r="Q405">
            <v>2.1084337349397592E-2</v>
          </cell>
          <cell r="R405">
            <v>67020.510980434308</v>
          </cell>
          <cell r="U405">
            <v>1413.0830628404826</v>
          </cell>
        </row>
        <row r="406">
          <cell r="C406" t="str">
            <v>Koefisien Alat / M3</v>
          </cell>
          <cell r="D406" t="str">
            <v xml:space="preserve"> =  1  :  Q1</v>
          </cell>
          <cell r="G406" t="str">
            <v>(E15)</v>
          </cell>
          <cell r="H406">
            <v>1.0040160642570281E-2</v>
          </cell>
          <cell r="I406" t="str">
            <v>Jam</v>
          </cell>
          <cell r="L406" t="str">
            <v>7.</v>
          </cell>
          <cell r="N406" t="str">
            <v>Alat Bantu</v>
          </cell>
          <cell r="P406" t="str">
            <v>Ls</v>
          </cell>
          <cell r="Q406">
            <v>1</v>
          </cell>
          <cell r="R406">
            <v>40</v>
          </cell>
          <cell r="U406">
            <v>40</v>
          </cell>
        </row>
        <row r="408">
          <cell r="A408" t="str">
            <v>2.b.</v>
          </cell>
          <cell r="C408" t="str">
            <v>DUMP TRUCK</v>
          </cell>
          <cell r="G408" t="str">
            <v>(E08)</v>
          </cell>
          <cell r="Q408" t="str">
            <v xml:space="preserve">JUMLAH HARGA PERALATAN   </v>
          </cell>
          <cell r="U408">
            <v>37804.959858647991</v>
          </cell>
        </row>
        <row r="409">
          <cell r="C409" t="str">
            <v>Kapasitas bak</v>
          </cell>
          <cell r="G409" t="str">
            <v>V</v>
          </cell>
          <cell r="H409">
            <v>4</v>
          </cell>
          <cell r="I409" t="str">
            <v>M3</v>
          </cell>
        </row>
        <row r="410">
          <cell r="C410" t="str">
            <v>Faktor Efisiensi alat</v>
          </cell>
          <cell r="G410" t="str">
            <v>Fa</v>
          </cell>
          <cell r="H410">
            <v>0.83</v>
          </cell>
          <cell r="I410" t="str">
            <v>-</v>
          </cell>
          <cell r="L410" t="str">
            <v>D.</v>
          </cell>
          <cell r="N410" t="str">
            <v>JUMLAH HARGA TENAGA, BAHAN DAN PERALATAN  ( A + B + C )</v>
          </cell>
          <cell r="U410">
            <v>229450.59913260362</v>
          </cell>
        </row>
        <row r="411">
          <cell r="C411" t="str">
            <v>Kecepatan rata-rata bermuatan</v>
          </cell>
          <cell r="G411" t="str">
            <v>v1</v>
          </cell>
          <cell r="H411">
            <v>45</v>
          </cell>
          <cell r="I411" t="str">
            <v>KM / Jam</v>
          </cell>
          <cell r="L411" t="str">
            <v>E.</v>
          </cell>
          <cell r="N411" t="str">
            <v>OVERHEAD &amp; PROFIT</v>
          </cell>
          <cell r="P411">
            <v>10</v>
          </cell>
          <cell r="Q411" t="str">
            <v>%  x  D</v>
          </cell>
          <cell r="U411">
            <v>22945.059913260364</v>
          </cell>
        </row>
        <row r="412">
          <cell r="C412" t="str">
            <v>Kecepatan rata-rata kosong</v>
          </cell>
          <cell r="G412" t="str">
            <v>v2</v>
          </cell>
          <cell r="H412">
            <v>60</v>
          </cell>
          <cell r="I412" t="str">
            <v>KM / Jam</v>
          </cell>
          <cell r="L412" t="str">
            <v>F.</v>
          </cell>
          <cell r="N412" t="str">
            <v>HARGA SATUAN PEKERJAAN  ( D + E )</v>
          </cell>
          <cell r="U412">
            <v>252395.65904586398</v>
          </cell>
        </row>
        <row r="413">
          <cell r="C413" t="str">
            <v>Waktu Siklus  :  - Waktu memuat = V : Q1 x 60</v>
          </cell>
          <cell r="G413" t="str">
            <v>T1</v>
          </cell>
          <cell r="H413">
            <v>2.4096385542168672</v>
          </cell>
          <cell r="I413" t="str">
            <v>menit</v>
          </cell>
          <cell r="L413" t="str">
            <v>Note: 1</v>
          </cell>
          <cell r="N413" t="str">
            <v>SATUAN dapat berdasarkan atas jam operasi untuk Tenaga Kerja dan Peralatan, volume dan/atau ukuran</v>
          </cell>
        </row>
        <row r="414">
          <cell r="C414" t="str">
            <v>- Waktu tempuh isi  =  (L : v1) x 60 menit</v>
          </cell>
          <cell r="G414" t="str">
            <v>T2</v>
          </cell>
          <cell r="H414">
            <v>11.633333333333333</v>
          </cell>
          <cell r="I414" t="str">
            <v>menit</v>
          </cell>
          <cell r="N414" t="str">
            <v>berat untuk bahan-bahan.</v>
          </cell>
        </row>
        <row r="415">
          <cell r="C415" t="str">
            <v>- Waktu tempuh kosong  =  (L : v2) x 60 menit</v>
          </cell>
          <cell r="G415" t="str">
            <v>T3</v>
          </cell>
          <cell r="H415">
            <v>8.7249999999999996</v>
          </cell>
          <cell r="I415" t="str">
            <v>menit</v>
          </cell>
          <cell r="L415">
            <v>2</v>
          </cell>
          <cell r="N415" t="str">
            <v>Kuantitas satuan adalah kuantitas setiap komponen untuk menyelesaikan satu satuan pekerjaan dari nomor</v>
          </cell>
        </row>
        <row r="416">
          <cell r="C416" t="str">
            <v>- Dump dan lain-lain</v>
          </cell>
          <cell r="G416" t="str">
            <v>T4</v>
          </cell>
          <cell r="H416">
            <v>3</v>
          </cell>
          <cell r="I416" t="str">
            <v>menit</v>
          </cell>
          <cell r="N416" t="str">
            <v>mata pembayaran.</v>
          </cell>
        </row>
        <row r="417">
          <cell r="G417" t="str">
            <v>Ts2</v>
          </cell>
          <cell r="H417">
            <v>25.7679718875502</v>
          </cell>
          <cell r="I417" t="str">
            <v>menit</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5.1 (3)</v>
          </cell>
          <cell r="J420" t="str">
            <v>Analisa EI-521</v>
          </cell>
        </row>
        <row r="421">
          <cell r="A421" t="str">
            <v>JENIS PEKERJAAN</v>
          </cell>
          <cell r="D421" t="str">
            <v>:  Lapis Pondasi Agregat Kelas C</v>
          </cell>
        </row>
        <row r="422">
          <cell r="A422" t="str">
            <v>SATUAN PEMBAYARAN</v>
          </cell>
          <cell r="D422" t="str">
            <v>:  M3</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 xml:space="preserve">Kap. Prod./jam = </v>
          </cell>
          <cell r="D428" t="str">
            <v>V x Fa x 60</v>
          </cell>
          <cell r="G428" t="str">
            <v>Q2</v>
          </cell>
          <cell r="H428">
            <v>5.7263162269610763</v>
          </cell>
          <cell r="I428" t="str">
            <v>M3</v>
          </cell>
        </row>
        <row r="429">
          <cell r="D429" t="str">
            <v>Fk x Ts2</v>
          </cell>
        </row>
        <row r="430">
          <cell r="C430" t="str">
            <v>Koefisien Alat / M3</v>
          </cell>
          <cell r="D430" t="str">
            <v xml:space="preserve"> = 1 : Q2</v>
          </cell>
          <cell r="G430" t="str">
            <v>(E08)</v>
          </cell>
          <cell r="H430">
            <v>0.17463233959936131</v>
          </cell>
          <cell r="I430" t="str">
            <v>Jam</v>
          </cell>
        </row>
        <row r="432">
          <cell r="A432" t="str">
            <v>2.c.</v>
          </cell>
          <cell r="C432" t="str">
            <v>MOTOR GRADER</v>
          </cell>
          <cell r="G432" t="str">
            <v>(E13)</v>
          </cell>
        </row>
        <row r="433">
          <cell r="C433" t="str">
            <v>Panjang hamparan</v>
          </cell>
          <cell r="G433" t="str">
            <v>Lh</v>
          </cell>
          <cell r="H433">
            <v>50</v>
          </cell>
          <cell r="I433" t="str">
            <v>M</v>
          </cell>
        </row>
        <row r="434">
          <cell r="C434" t="str">
            <v>Lebar efektif kerja blade</v>
          </cell>
          <cell r="G434" t="str">
            <v>b</v>
          </cell>
          <cell r="H434">
            <v>2.4</v>
          </cell>
          <cell r="I434" t="str">
            <v>M</v>
          </cell>
        </row>
        <row r="435">
          <cell r="C435" t="str">
            <v>Faktor Efisiensi alat</v>
          </cell>
          <cell r="G435" t="str">
            <v>Fa</v>
          </cell>
          <cell r="H435">
            <v>0.83</v>
          </cell>
          <cell r="I435" t="str">
            <v>-</v>
          </cell>
        </row>
        <row r="436">
          <cell r="C436" t="str">
            <v>Kecepatan rata-rata alat</v>
          </cell>
          <cell r="G436" t="str">
            <v>v</v>
          </cell>
          <cell r="H436">
            <v>4</v>
          </cell>
          <cell r="I436" t="str">
            <v>KM / Jam</v>
          </cell>
        </row>
        <row r="437">
          <cell r="C437" t="str">
            <v>Jumlah lintasan</v>
          </cell>
          <cell r="G437" t="str">
            <v>n</v>
          </cell>
          <cell r="H437">
            <v>6</v>
          </cell>
          <cell r="I437" t="str">
            <v>lintasan</v>
          </cell>
          <cell r="J437" t="str">
            <v>3 x pp</v>
          </cell>
        </row>
        <row r="438">
          <cell r="C438" t="str">
            <v>Waktu Siklus</v>
          </cell>
          <cell r="G438" t="str">
            <v>Ts3</v>
          </cell>
        </row>
        <row r="439">
          <cell r="C439" t="str">
            <v>- Perataan 1 lintasan  = (Lh x 60) : (v x 1000)</v>
          </cell>
          <cell r="G439" t="str">
            <v>T1</v>
          </cell>
          <cell r="H439">
            <v>0.75</v>
          </cell>
          <cell r="I439" t="str">
            <v>menit</v>
          </cell>
        </row>
        <row r="440">
          <cell r="C440" t="str">
            <v>- Lain-lain</v>
          </cell>
          <cell r="G440" t="str">
            <v>T2</v>
          </cell>
          <cell r="H440">
            <v>1</v>
          </cell>
          <cell r="I440" t="str">
            <v>menit</v>
          </cell>
        </row>
        <row r="441">
          <cell r="G441" t="str">
            <v>Ts3</v>
          </cell>
          <cell r="H441">
            <v>1.75</v>
          </cell>
          <cell r="I441" t="str">
            <v>menit</v>
          </cell>
        </row>
        <row r="443">
          <cell r="C443" t="str">
            <v>Kap.Prod. / jam =</v>
          </cell>
          <cell r="D443" t="str">
            <v>Lh x b x t x Fa x 60</v>
          </cell>
          <cell r="G443" t="str">
            <v>Q3</v>
          </cell>
          <cell r="H443">
            <v>85.371428571428567</v>
          </cell>
          <cell r="I443" t="str">
            <v>M3</v>
          </cell>
        </row>
        <row r="444">
          <cell r="D444" t="str">
            <v>n x Ts3</v>
          </cell>
        </row>
        <row r="445">
          <cell r="C445" t="str">
            <v>Koefisien Alat / M3</v>
          </cell>
          <cell r="D445" t="str">
            <v xml:space="preserve"> = 1 : Q3</v>
          </cell>
          <cell r="G445" t="str">
            <v>(E13)</v>
          </cell>
          <cell r="H445">
            <v>1.1713520749665328E-2</v>
          </cell>
          <cell r="I445" t="str">
            <v>Jam</v>
          </cell>
        </row>
        <row r="447">
          <cell r="A447" t="str">
            <v>2.d.</v>
          </cell>
          <cell r="C447" t="str">
            <v>VIBRATORY ROLLER</v>
          </cell>
          <cell r="G447" t="str">
            <v>(E19)</v>
          </cell>
        </row>
        <row r="448">
          <cell r="C448" t="str">
            <v>Kecepatan rata-rata</v>
          </cell>
          <cell r="G448" t="str">
            <v>v</v>
          </cell>
          <cell r="H448">
            <v>2.5</v>
          </cell>
          <cell r="I448" t="str">
            <v>KM / Jam</v>
          </cell>
        </row>
        <row r="449">
          <cell r="C449" t="str">
            <v>Lebar efektif pemadatan</v>
          </cell>
          <cell r="G449" t="str">
            <v>b</v>
          </cell>
          <cell r="H449">
            <v>1.2</v>
          </cell>
          <cell r="I449" t="str">
            <v>M</v>
          </cell>
        </row>
        <row r="450">
          <cell r="C450" t="str">
            <v>Jumlah lintasan</v>
          </cell>
          <cell r="G450" t="str">
            <v>n</v>
          </cell>
          <cell r="H450">
            <v>8</v>
          </cell>
          <cell r="I450" t="str">
            <v>lintasan</v>
          </cell>
        </row>
        <row r="451">
          <cell r="C451" t="str">
            <v>Faktor Efisiensi alat</v>
          </cell>
          <cell r="G451" t="str">
            <v>Fa</v>
          </cell>
          <cell r="H451">
            <v>0.83</v>
          </cell>
          <cell r="I451" t="str">
            <v>-</v>
          </cell>
        </row>
        <row r="453">
          <cell r="C453" t="str">
            <v>Kap.Prod. / jam =</v>
          </cell>
          <cell r="D453" t="str">
            <v>(v x 1000) x b x t x Fa</v>
          </cell>
          <cell r="G453" t="str">
            <v>Q4</v>
          </cell>
          <cell r="H453">
            <v>46.6875</v>
          </cell>
          <cell r="I453" t="str">
            <v>M3</v>
          </cell>
        </row>
        <row r="454">
          <cell r="D454" t="str">
            <v>n</v>
          </cell>
        </row>
        <row r="455">
          <cell r="C455" t="str">
            <v>Koefisien Alat / M3</v>
          </cell>
          <cell r="D455" t="str">
            <v xml:space="preserve"> = 1 : Q4</v>
          </cell>
          <cell r="G455" t="str">
            <v>(E19)</v>
          </cell>
          <cell r="H455">
            <v>2.1419009370816599E-2</v>
          </cell>
          <cell r="I455" t="str">
            <v>Jam</v>
          </cell>
        </row>
        <row r="457">
          <cell r="A457" t="str">
            <v>2.e.</v>
          </cell>
          <cell r="C457" t="str">
            <v>PNEUMATIC TIRE ROLLER</v>
          </cell>
          <cell r="G457" t="str">
            <v>(E18)</v>
          </cell>
        </row>
        <row r="458">
          <cell r="C458" t="str">
            <v>Kecepatan rata-rata alat</v>
          </cell>
          <cell r="G458" t="str">
            <v>v</v>
          </cell>
          <cell r="H458">
            <v>5</v>
          </cell>
          <cell r="I458" t="str">
            <v>KM / Jam</v>
          </cell>
        </row>
        <row r="459">
          <cell r="C459" t="str">
            <v>Lebar efektif pemadatan</v>
          </cell>
          <cell r="G459" t="str">
            <v>b</v>
          </cell>
          <cell r="H459">
            <v>1.5</v>
          </cell>
          <cell r="I459" t="str">
            <v>M</v>
          </cell>
        </row>
        <row r="460">
          <cell r="C460" t="str">
            <v>Jumlah lintasan</v>
          </cell>
          <cell r="G460" t="str">
            <v>n</v>
          </cell>
          <cell r="H460">
            <v>4</v>
          </cell>
          <cell r="I460" t="str">
            <v>lintasan</v>
          </cell>
        </row>
        <row r="461">
          <cell r="C461" t="str">
            <v>Faktor Efisiensi alat</v>
          </cell>
          <cell r="G461" t="str">
            <v>Fa</v>
          </cell>
          <cell r="H461">
            <v>0.83</v>
          </cell>
          <cell r="I461" t="str">
            <v>-</v>
          </cell>
        </row>
        <row r="463">
          <cell r="C463" t="str">
            <v>Kap.Prod. / jam =</v>
          </cell>
          <cell r="D463" t="str">
            <v>(v x 1000) x b x t x Fa</v>
          </cell>
          <cell r="G463" t="str">
            <v>Q5</v>
          </cell>
          <cell r="H463">
            <v>233.4375</v>
          </cell>
          <cell r="I463" t="str">
            <v>M3</v>
          </cell>
        </row>
        <row r="464">
          <cell r="D464" t="str">
            <v>n</v>
          </cell>
        </row>
        <row r="465">
          <cell r="C465" t="str">
            <v>Koefisien Alat / M3</v>
          </cell>
          <cell r="D465" t="str">
            <v xml:space="preserve"> = 1 : Q5</v>
          </cell>
          <cell r="G465" t="str">
            <v>(E18)</v>
          </cell>
          <cell r="H465">
            <v>4.2838018741633201E-3</v>
          </cell>
          <cell r="I465" t="str">
            <v>Jam</v>
          </cell>
        </row>
        <row r="467">
          <cell r="A467" t="str">
            <v>2.f.</v>
          </cell>
          <cell r="C467" t="str">
            <v>WATERTANK TRUCK</v>
          </cell>
          <cell r="G467" t="str">
            <v>(E23)</v>
          </cell>
        </row>
        <row r="468">
          <cell r="C468" t="str">
            <v>Volume tangki air</v>
          </cell>
          <cell r="G468" t="str">
            <v>V</v>
          </cell>
          <cell r="H468">
            <v>4</v>
          </cell>
          <cell r="I468" t="str">
            <v>M3</v>
          </cell>
        </row>
        <row r="469">
          <cell r="C469" t="str">
            <v>Kebutuhan air / M3 agregat padat</v>
          </cell>
          <cell r="G469" t="str">
            <v>Wc</v>
          </cell>
          <cell r="H469">
            <v>7.0000000000000007E-2</v>
          </cell>
          <cell r="I469" t="str">
            <v>M3</v>
          </cell>
        </row>
        <row r="470">
          <cell r="C470" t="str">
            <v>Pengisian tangki / jam</v>
          </cell>
          <cell r="G470" t="str">
            <v>n</v>
          </cell>
          <cell r="H470">
            <v>1</v>
          </cell>
          <cell r="I470" t="str">
            <v>kali</v>
          </cell>
        </row>
        <row r="471">
          <cell r="C471" t="str">
            <v>Faktor Efisiensi alat</v>
          </cell>
          <cell r="G471" t="str">
            <v>Fa</v>
          </cell>
          <cell r="H471">
            <v>0.83</v>
          </cell>
          <cell r="I471" t="str">
            <v>-</v>
          </cell>
        </row>
        <row r="473">
          <cell r="C473" t="str">
            <v>Kap.Prod. / jam =</v>
          </cell>
          <cell r="D473" t="str">
            <v>V x n x Fa</v>
          </cell>
          <cell r="G473" t="str">
            <v>Q6</v>
          </cell>
          <cell r="H473">
            <v>47.428571428571423</v>
          </cell>
          <cell r="I473" t="str">
            <v>M3</v>
          </cell>
        </row>
        <row r="474">
          <cell r="D474" t="str">
            <v>Wc</v>
          </cell>
        </row>
        <row r="475">
          <cell r="C475" t="str">
            <v>Koefisien Alat / M3</v>
          </cell>
          <cell r="D475" t="str">
            <v xml:space="preserve"> = 1 : Q6</v>
          </cell>
          <cell r="G475" t="str">
            <v>(E23)</v>
          </cell>
          <cell r="H475">
            <v>2.1084337349397592E-2</v>
          </cell>
          <cell r="I475" t="str">
            <v>Jam</v>
          </cell>
        </row>
        <row r="478">
          <cell r="J478" t="str">
            <v>Berlanjut ke hal. berikut</v>
          </cell>
        </row>
        <row r="479">
          <cell r="A479" t="str">
            <v>ITEM PEMBAYARAN NO.</v>
          </cell>
          <cell r="D479" t="str">
            <v>:  5.1 (3)</v>
          </cell>
          <cell r="J479" t="str">
            <v>Analisa EI-521</v>
          </cell>
        </row>
        <row r="480">
          <cell r="A480" t="str">
            <v>JENIS PEKERJAAN</v>
          </cell>
          <cell r="D480" t="str">
            <v>:  Lapis Pondasi Agregat Kelas C</v>
          </cell>
        </row>
        <row r="481">
          <cell r="A481" t="str">
            <v>SATUAN PEMBAYARAN</v>
          </cell>
          <cell r="D481" t="str">
            <v>:  M3</v>
          </cell>
          <cell r="H481" t="str">
            <v xml:space="preserve">         URAIAN ANALISA HARGA SATUAN</v>
          </cell>
        </row>
        <row r="482">
          <cell r="J482" t="str">
            <v>Lanjutan</v>
          </cell>
        </row>
        <row r="484">
          <cell r="A484" t="str">
            <v>No.</v>
          </cell>
          <cell r="C484" t="str">
            <v>U R A I A N</v>
          </cell>
          <cell r="G484" t="str">
            <v>KODE</v>
          </cell>
          <cell r="H484" t="str">
            <v>KOEF.</v>
          </cell>
          <cell r="I484" t="str">
            <v>SATUAN</v>
          </cell>
          <cell r="J484" t="str">
            <v>KETERANGAN</v>
          </cell>
        </row>
        <row r="487">
          <cell r="A487" t="str">
            <v>2.g.</v>
          </cell>
          <cell r="C487" t="str">
            <v>ALAT BANTU</v>
          </cell>
        </row>
        <row r="488">
          <cell r="C488" t="str">
            <v>diperlukan :</v>
          </cell>
          <cell r="J488" t="str">
            <v>Lump Sum</v>
          </cell>
        </row>
        <row r="489">
          <cell r="C489" t="str">
            <v>- Kereta dorong     = 2 buah</v>
          </cell>
        </row>
        <row r="490">
          <cell r="C490" t="str">
            <v>- Sekop                = 3 buah</v>
          </cell>
        </row>
        <row r="491">
          <cell r="C491" t="str">
            <v>- Garpu                 = 2 buah</v>
          </cell>
        </row>
        <row r="493">
          <cell r="A493" t="str">
            <v xml:space="preserve">   3.</v>
          </cell>
          <cell r="C493" t="str">
            <v>TENAGA</v>
          </cell>
        </row>
        <row r="494">
          <cell r="C494" t="str">
            <v>Produksi menentukan : WHEEL LOADER</v>
          </cell>
          <cell r="G494" t="str">
            <v>Q1</v>
          </cell>
          <cell r="H494">
            <v>99.6</v>
          </cell>
          <cell r="I494" t="str">
            <v>M3 / Jam</v>
          </cell>
        </row>
        <row r="495">
          <cell r="C495" t="str">
            <v>Produksi Agregat / hari  =  Tk x Q1</v>
          </cell>
          <cell r="G495" t="str">
            <v>Qt</v>
          </cell>
          <cell r="H495">
            <v>697.19999999999993</v>
          </cell>
          <cell r="I495" t="str">
            <v>M3</v>
          </cell>
        </row>
        <row r="496">
          <cell r="C496" t="str">
            <v>Kebutuhan tenaga :</v>
          </cell>
        </row>
        <row r="497">
          <cell r="D497" t="str">
            <v>- Pekerja</v>
          </cell>
          <cell r="G497" t="str">
            <v>P</v>
          </cell>
          <cell r="H497">
            <v>7</v>
          </cell>
          <cell r="I497" t="str">
            <v>orang</v>
          </cell>
        </row>
        <row r="498">
          <cell r="D498" t="str">
            <v>- Mandor</v>
          </cell>
          <cell r="G498" t="str">
            <v>M</v>
          </cell>
          <cell r="H498">
            <v>1</v>
          </cell>
          <cell r="I498" t="str">
            <v>orang</v>
          </cell>
        </row>
        <row r="500">
          <cell r="C500" t="str">
            <v>Koefisien tenaga / M3     :</v>
          </cell>
        </row>
        <row r="501">
          <cell r="D501" t="str">
            <v>- Pekerja</v>
          </cell>
          <cell r="E501" t="str">
            <v>= (Tk x P) : Qt</v>
          </cell>
          <cell r="G501" t="str">
            <v>(L01)</v>
          </cell>
          <cell r="H501">
            <v>7.0281124497991981E-2</v>
          </cell>
          <cell r="I501" t="str">
            <v>Jam</v>
          </cell>
        </row>
        <row r="502">
          <cell r="D502" t="str">
            <v>- Mandor</v>
          </cell>
          <cell r="E502" t="str">
            <v>= (Tk x M) : Qt</v>
          </cell>
          <cell r="G502" t="str">
            <v>(L03)</v>
          </cell>
          <cell r="H502">
            <v>1.0040160642570283E-2</v>
          </cell>
          <cell r="I502" t="str">
            <v>Jam</v>
          </cell>
        </row>
        <row r="504">
          <cell r="A504" t="str">
            <v>4.</v>
          </cell>
          <cell r="C504" t="str">
            <v>HARGA DASAR SATUAN UPAH, BAHAN DAN ALAT</v>
          </cell>
        </row>
        <row r="505">
          <cell r="C505" t="str">
            <v>Lihat lampiran.</v>
          </cell>
        </row>
        <row r="507">
          <cell r="A507" t="str">
            <v>5.</v>
          </cell>
          <cell r="C507" t="str">
            <v>ANALISA HARGA SATUAN PEKERJAAN</v>
          </cell>
        </row>
        <row r="508">
          <cell r="C508" t="str">
            <v>Lihat perhitungan dalam FORMULIR STANDAR UNTUK</v>
          </cell>
        </row>
        <row r="509">
          <cell r="C509" t="str">
            <v>PEREKEMAN ANALISA MASING-MASING HARGA</v>
          </cell>
        </row>
        <row r="510">
          <cell r="C510" t="str">
            <v>SATUAN.</v>
          </cell>
        </row>
        <row r="511">
          <cell r="C511" t="str">
            <v>Didapat Harga Satuan Pekerjaan :</v>
          </cell>
        </row>
        <row r="513">
          <cell r="C513" t="str">
            <v xml:space="preserve">Rp.  </v>
          </cell>
          <cell r="D513">
            <v>252395.65904586398</v>
          </cell>
          <cell r="E513" t="str">
            <v xml:space="preserve"> / M3.</v>
          </cell>
        </row>
        <row r="516">
          <cell r="A516" t="str">
            <v>6.</v>
          </cell>
          <cell r="C516" t="str">
            <v>WAKTU PELAKSANAAN YANG DIPERLUKAN</v>
          </cell>
        </row>
        <row r="517">
          <cell r="C517" t="str">
            <v>Masa Pelaksanaan :</v>
          </cell>
          <cell r="D517" t="str">
            <v>. . . . . . . . . . . .</v>
          </cell>
          <cell r="E517" t="str">
            <v>bulan</v>
          </cell>
        </row>
        <row r="519">
          <cell r="A519" t="str">
            <v>7.</v>
          </cell>
          <cell r="C519" t="str">
            <v>VOLUME PEKERJAAN YANG DIPERLUKAN</v>
          </cell>
        </row>
        <row r="520">
          <cell r="C520" t="str">
            <v>Volume pekerjaan  :</v>
          </cell>
          <cell r="D520">
            <v>1</v>
          </cell>
          <cell r="E520" t="str">
            <v>M3</v>
          </cell>
        </row>
        <row r="3096">
          <cell r="A3096" t="str">
            <v>ITEM PEMBAYARAN NO.</v>
          </cell>
          <cell r="D3096" t="str">
            <v>: 5.5.(2)</v>
          </cell>
          <cell r="J3096" t="str">
            <v>Analisa EI-718</v>
          </cell>
          <cell r="T3096" t="str">
            <v>Analisa EI-718</v>
          </cell>
        </row>
        <row r="3097">
          <cell r="A3097" t="str">
            <v>JENIS PEKERJAAN</v>
          </cell>
          <cell r="D3097" t="str">
            <v>: Pekerjaan LFAS Kelas B</v>
          </cell>
        </row>
        <row r="3098">
          <cell r="A3098" t="str">
            <v>SATUAN PEMBAYARAN</v>
          </cell>
          <cell r="D3098" t="str">
            <v>:  M3</v>
          </cell>
          <cell r="H3098" t="str">
            <v xml:space="preserve">        URAIAN ANALISA HARGA SATUAN</v>
          </cell>
          <cell r="L3098" t="str">
            <v>FORMULIR STANDAR UNTUK</v>
          </cell>
        </row>
        <row r="3099">
          <cell r="L3099" t="str">
            <v>PEREKAMAN ANALISA MASING-MASING HARGA SATUAN</v>
          </cell>
        </row>
        <row r="3100">
          <cell r="L3100" t="str">
            <v xml:space="preserve">                                                                                                            </v>
          </cell>
        </row>
        <row r="3101">
          <cell r="A3101" t="str">
            <v>No.</v>
          </cell>
          <cell r="C3101" t="str">
            <v>U R A I A N</v>
          </cell>
          <cell r="G3101" t="str">
            <v>KODE</v>
          </cell>
          <cell r="H3101" t="str">
            <v>KOEF.</v>
          </cell>
          <cell r="I3101" t="str">
            <v>SATUAN</v>
          </cell>
          <cell r="J3101" t="str">
            <v>KETERANGAN</v>
          </cell>
        </row>
        <row r="3103">
          <cell r="L3103" t="str">
            <v>PROYEK</v>
          </cell>
          <cell r="O3103" t="str">
            <v>:</v>
          </cell>
        </row>
        <row r="3104">
          <cell r="A3104" t="str">
            <v>I.</v>
          </cell>
          <cell r="C3104" t="str">
            <v>ASUMSI</v>
          </cell>
          <cell r="L3104" t="str">
            <v>No. PAKET KONTRAK</v>
          </cell>
          <cell r="O3104" t="str">
            <v>:</v>
          </cell>
        </row>
        <row r="3105">
          <cell r="A3105">
            <v>1</v>
          </cell>
          <cell r="C3105" t="str">
            <v>Menggunakan alat (cara mekanik)</v>
          </cell>
          <cell r="L3105" t="str">
            <v>NAMA PAKET</v>
          </cell>
          <cell r="O3105" t="str">
            <v>:</v>
          </cell>
        </row>
        <row r="3106">
          <cell r="A3106">
            <v>2</v>
          </cell>
          <cell r="C3106" t="str">
            <v>Lokasi pekerjaan : sepanjang jalan</v>
          </cell>
          <cell r="L3106" t="str">
            <v>PROP / KAB / KODYA</v>
          </cell>
          <cell r="O3106" t="str">
            <v>:</v>
          </cell>
        </row>
        <row r="3107">
          <cell r="A3107">
            <v>3</v>
          </cell>
          <cell r="C3107" t="str">
            <v>Agregat merupakan bahan Lapis Pondasi Agregat</v>
          </cell>
          <cell r="L3107" t="str">
            <v>ITEM PEMBAYARAN NO.</v>
          </cell>
          <cell r="O3107" t="str">
            <v>: 5.5.(2)</v>
          </cell>
          <cell r="R3107" t="str">
            <v>PERKIRAAN VOL. PEK.</v>
          </cell>
          <cell r="T3107" t="str">
            <v>:</v>
          </cell>
          <cell r="U3107">
            <v>1</v>
          </cell>
        </row>
        <row r="3108">
          <cell r="C3108" t="str">
            <v>Kelas B yang telah dicampur di base camp dan</v>
          </cell>
          <cell r="L3108" t="str">
            <v>JENIS PEKERJAAN</v>
          </cell>
          <cell r="O3108" t="str">
            <v>: Pekerjaan LFAS Kelas B</v>
          </cell>
          <cell r="R3108" t="str">
            <v>TOTAL HARGA (Rp.)</v>
          </cell>
          <cell r="T3108" t="str">
            <v>:</v>
          </cell>
          <cell r="U3108">
            <v>31522.779454667012</v>
          </cell>
        </row>
        <row r="3109">
          <cell r="C3109" t="str">
            <v>selanjutnya dimuat ke truck dengan wheel loader</v>
          </cell>
        </row>
        <row r="3110">
          <cell r="A3110">
            <v>4</v>
          </cell>
          <cell r="C3110" t="str">
            <v>Jarak rata-rata Base camp ke lokasi pekerjaan</v>
          </cell>
          <cell r="G3110" t="str">
            <v>L</v>
          </cell>
          <cell r="H3110">
            <v>8.7249999999999996</v>
          </cell>
          <cell r="I3110" t="str">
            <v>KM</v>
          </cell>
          <cell r="L3110" t="str">
            <v>SATUAN PEMBAYARAN</v>
          </cell>
          <cell r="O3110" t="str">
            <v>:  M3</v>
          </cell>
          <cell r="R3110" t="str">
            <v>% THD. BIAYA PROYEK</v>
          </cell>
          <cell r="T3110" t="str">
            <v>:</v>
          </cell>
          <cell r="U3110" t="e">
            <v>#DIV/0!</v>
          </cell>
        </row>
        <row r="3111">
          <cell r="A3111">
            <v>5</v>
          </cell>
          <cell r="C3111" t="str">
            <v>Jam kerja efektif per-hari</v>
          </cell>
          <cell r="G3111" t="str">
            <v>Tk</v>
          </cell>
          <cell r="H3111">
            <v>7</v>
          </cell>
          <cell r="I3111" t="str">
            <v>jam</v>
          </cell>
        </row>
        <row r="3112">
          <cell r="A3112">
            <v>6</v>
          </cell>
          <cell r="C3112" t="str">
            <v>Kadar Semen Minimum (Spesifikasi)</v>
          </cell>
          <cell r="G3112" t="str">
            <v>Ks</v>
          </cell>
          <cell r="H3112">
            <v>250</v>
          </cell>
          <cell r="I3112" t="str">
            <v>Kg/M3</v>
          </cell>
        </row>
        <row r="3113">
          <cell r="A3113">
            <v>7</v>
          </cell>
          <cell r="C3113" t="str">
            <v>Perbandingan Air/Semen Maksimum (Spesifikasi)</v>
          </cell>
          <cell r="G3113" t="str">
            <v>Wcr</v>
          </cell>
          <cell r="H3113">
            <v>0.6</v>
          </cell>
          <cell r="I3113" t="str">
            <v>-</v>
          </cell>
          <cell r="L3113" t="str">
            <v>NO.</v>
          </cell>
          <cell r="N3113" t="str">
            <v>KOMPONEN</v>
          </cell>
          <cell r="P3113" t="str">
            <v>SATUAN</v>
          </cell>
          <cell r="Q3113" t="str">
            <v>KUANTITAS</v>
          </cell>
          <cell r="R3113" t="str">
            <v>SATUAN</v>
          </cell>
          <cell r="S3113" t="str">
            <v>HARGA</v>
          </cell>
        </row>
        <row r="3114">
          <cell r="A3114">
            <v>8</v>
          </cell>
          <cell r="C3114" t="str">
            <v>Perbandingan Camp.</v>
          </cell>
          <cell r="D3114">
            <v>4</v>
          </cell>
          <cell r="E3114" t="str">
            <v>:  Semen</v>
          </cell>
          <cell r="G3114" t="str">
            <v>Sm</v>
          </cell>
          <cell r="H3114">
            <v>4</v>
          </cell>
          <cell r="I3114" t="str">
            <v>%</v>
          </cell>
          <cell r="J3114" t="str">
            <v xml:space="preserve"> Berdasarkan</v>
          </cell>
          <cell r="R3114" t="str">
            <v>(Rp.)</v>
          </cell>
          <cell r="S3114" t="str">
            <v>(Rp.)</v>
          </cell>
        </row>
        <row r="3115">
          <cell r="D3115">
            <v>20</v>
          </cell>
          <cell r="E3115" t="str">
            <v>:  Agregat Halus</v>
          </cell>
          <cell r="G3115" t="str">
            <v>Fa</v>
          </cell>
          <cell r="H3115">
            <v>19.2</v>
          </cell>
          <cell r="I3115" t="str">
            <v>%</v>
          </cell>
          <cell r="J3115" t="str">
            <v xml:space="preserve"> JMF &amp; sesuai</v>
          </cell>
        </row>
        <row r="3116">
          <cell r="D3116">
            <v>35</v>
          </cell>
          <cell r="E3116" t="str">
            <v>:  Agregat Kasar</v>
          </cell>
          <cell r="G3116" t="str">
            <v>Ca</v>
          </cell>
          <cell r="H3116">
            <v>33.6</v>
          </cell>
          <cell r="I3116" t="str">
            <v>%</v>
          </cell>
          <cell r="J3116" t="str">
            <v xml:space="preserve"> dgn Spesifikasi</v>
          </cell>
        </row>
        <row r="3117">
          <cell r="D3117">
            <v>45</v>
          </cell>
          <cell r="E3117" t="str">
            <v>: Sirtu</v>
          </cell>
          <cell r="G3117" t="str">
            <v>Sr</v>
          </cell>
          <cell r="H3117">
            <v>43.2</v>
          </cell>
          <cell r="I3117" t="str">
            <v>%</v>
          </cell>
        </row>
        <row r="3118">
          <cell r="A3118">
            <v>9</v>
          </cell>
          <cell r="C3118" t="str">
            <v>Berat Jenis Material :</v>
          </cell>
          <cell r="L3118" t="str">
            <v>A.</v>
          </cell>
          <cell r="N3118" t="str">
            <v>TENAGA</v>
          </cell>
        </row>
        <row r="3119">
          <cell r="C3119" t="str">
            <v>-  Beton</v>
          </cell>
          <cell r="G3119" t="str">
            <v>D1</v>
          </cell>
          <cell r="H3119">
            <v>2.25</v>
          </cell>
          <cell r="I3119" t="str">
            <v>T/M3</v>
          </cell>
        </row>
        <row r="3120">
          <cell r="C3120" t="str">
            <v>-  Semen</v>
          </cell>
          <cell r="G3120" t="str">
            <v>D2</v>
          </cell>
          <cell r="H3120">
            <v>3</v>
          </cell>
          <cell r="I3120" t="str">
            <v>T/M3</v>
          </cell>
          <cell r="L3120" t="str">
            <v>1.</v>
          </cell>
          <cell r="N3120" t="str">
            <v>Pekerja</v>
          </cell>
          <cell r="O3120" t="str">
            <v>(L01)</v>
          </cell>
          <cell r="P3120" t="str">
            <v>jam</v>
          </cell>
          <cell r="Q3120">
            <v>5.3012048192771086</v>
          </cell>
          <cell r="R3120">
            <v>2857.14</v>
          </cell>
          <cell r="U3120">
            <v>15146.284337349398</v>
          </cell>
        </row>
        <row r="3121">
          <cell r="C3121" t="str">
            <v>-  Agregat Halus</v>
          </cell>
          <cell r="G3121" t="str">
            <v>D3</v>
          </cell>
          <cell r="H3121">
            <v>2.1</v>
          </cell>
          <cell r="I3121" t="str">
            <v>T/M3</v>
          </cell>
          <cell r="L3121" t="str">
            <v>2.</v>
          </cell>
          <cell r="N3121" t="str">
            <v>Tukang</v>
          </cell>
          <cell r="O3121" t="str">
            <v>(L02)</v>
          </cell>
          <cell r="P3121" t="str">
            <v>jam</v>
          </cell>
          <cell r="Q3121">
            <v>1.7670682730923695</v>
          </cell>
          <cell r="R3121">
            <v>4285.71</v>
          </cell>
          <cell r="U3121">
            <v>7573.142168674699</v>
          </cell>
        </row>
        <row r="3122">
          <cell r="C3122" t="str">
            <v>-  Agregat Kasar</v>
          </cell>
          <cell r="G3122" t="str">
            <v>D4</v>
          </cell>
          <cell r="H3122">
            <v>2.1</v>
          </cell>
          <cell r="I3122" t="str">
            <v>T/M3</v>
          </cell>
          <cell r="L3122" t="str">
            <v>3.</v>
          </cell>
          <cell r="N3122" t="str">
            <v>Mandor</v>
          </cell>
          <cell r="O3122" t="str">
            <v>(L03)</v>
          </cell>
          <cell r="P3122" t="str">
            <v>jam</v>
          </cell>
          <cell r="Q3122">
            <v>0.44176706827309237</v>
          </cell>
          <cell r="R3122">
            <v>3214.29</v>
          </cell>
          <cell r="U3122">
            <v>1419.9674698795181</v>
          </cell>
        </row>
        <row r="3123">
          <cell r="C3123" t="str">
            <v>-  Sirtu</v>
          </cell>
          <cell r="G3123" t="str">
            <v>D5</v>
          </cell>
          <cell r="H3123">
            <v>1.8</v>
          </cell>
          <cell r="I3123" t="str">
            <v>T/M3</v>
          </cell>
        </row>
        <row r="3125">
          <cell r="A3125" t="str">
            <v>II.</v>
          </cell>
          <cell r="C3125" t="str">
            <v>URUTAN KERJA</v>
          </cell>
          <cell r="Q3125" t="str">
            <v xml:space="preserve">JUMLAH HARGA TENAGA   </v>
          </cell>
          <cell r="U3125">
            <v>24139.393975903615</v>
          </cell>
        </row>
        <row r="3126">
          <cell r="A3126">
            <v>1</v>
          </cell>
          <cell r="C3126" t="str">
            <v>Semen, pasir, batu kerikil dan air dicampur dan diaduk</v>
          </cell>
        </row>
        <row r="3127">
          <cell r="C3127" t="str">
            <v>menjadi beton dengan menggunakan Concrete Mixer</v>
          </cell>
          <cell r="L3127" t="str">
            <v>B.</v>
          </cell>
          <cell r="N3127" t="str">
            <v>BAHAN</v>
          </cell>
        </row>
        <row r="3128">
          <cell r="A3128">
            <v>2</v>
          </cell>
          <cell r="C3128" t="str">
            <v>Beton di-cor ke dalam bekisting yang telah disiapkan</v>
          </cell>
        </row>
        <row r="3129">
          <cell r="A3129">
            <v>3</v>
          </cell>
          <cell r="C3129" t="str">
            <v>Penyelesaian dan perapihan setelah pemasangan</v>
          </cell>
          <cell r="L3129" t="str">
            <v>1.</v>
          </cell>
          <cell r="N3129" t="str">
            <v>Semen</v>
          </cell>
          <cell r="O3129" t="str">
            <v>(M12)</v>
          </cell>
          <cell r="P3129" t="str">
            <v>Kg</v>
          </cell>
          <cell r="Q3129">
            <v>92.249999999999986</v>
          </cell>
          <cell r="R3129">
            <v>688.65625</v>
          </cell>
          <cell r="U3129">
            <v>63528.539062499993</v>
          </cell>
        </row>
        <row r="3130">
          <cell r="L3130" t="str">
            <v>2.</v>
          </cell>
          <cell r="N3130" t="str">
            <v>Pasir</v>
          </cell>
          <cell r="O3130" t="str">
            <v>(M01)</v>
          </cell>
          <cell r="P3130" t="str">
            <v>M3</v>
          </cell>
          <cell r="Q3130">
            <v>0.21085714285714283</v>
          </cell>
          <cell r="R3130">
            <v>54300</v>
          </cell>
          <cell r="U3130">
            <v>11449.542857142855</v>
          </cell>
        </row>
        <row r="3131">
          <cell r="A3131" t="str">
            <v>III.</v>
          </cell>
          <cell r="C3131" t="str">
            <v>PEMAKAIAN BAHAN, ALAT DAN TENAGA</v>
          </cell>
          <cell r="L3131" t="str">
            <v>3.</v>
          </cell>
          <cell r="N3131" t="str">
            <v>Agregat Kasar</v>
          </cell>
          <cell r="O3131" t="str">
            <v>(M03)</v>
          </cell>
          <cell r="P3131" t="str">
            <v>M3</v>
          </cell>
          <cell r="Q3131">
            <v>0.36899999999999994</v>
          </cell>
          <cell r="R3131">
            <v>222345.54558042376</v>
          </cell>
          <cell r="U3131">
            <v>82045.506319176347</v>
          </cell>
        </row>
        <row r="3132">
          <cell r="L3132" t="str">
            <v>5.</v>
          </cell>
          <cell r="N3132" t="str">
            <v>Kayu Perancah</v>
          </cell>
          <cell r="O3132" t="str">
            <v>(M19)</v>
          </cell>
          <cell r="P3132" t="str">
            <v>M3</v>
          </cell>
          <cell r="Q3132">
            <v>0.05</v>
          </cell>
          <cell r="R3132">
            <v>1466250</v>
          </cell>
          <cell r="U3132">
            <v>73312.5</v>
          </cell>
        </row>
        <row r="3133">
          <cell r="A3133" t="str">
            <v xml:space="preserve">   1.</v>
          </cell>
          <cell r="C3133" t="str">
            <v>BAHAN</v>
          </cell>
          <cell r="L3133" t="str">
            <v>6.</v>
          </cell>
          <cell r="N3133" t="str">
            <v>Paku</v>
          </cell>
          <cell r="O3133" t="str">
            <v>(M18)</v>
          </cell>
          <cell r="P3133" t="str">
            <v>Kg</v>
          </cell>
          <cell r="Q3133">
            <v>0.4</v>
          </cell>
          <cell r="R3133">
            <v>5500</v>
          </cell>
          <cell r="U3133">
            <v>2200</v>
          </cell>
        </row>
        <row r="3134">
          <cell r="A3134" t="str">
            <v>1.a.</v>
          </cell>
          <cell r="C3134" t="str">
            <v>Semen (PC)          =</v>
          </cell>
          <cell r="D3134" t="str">
            <v xml:space="preserve">   {Sm x D1 x 1000} x 1.025</v>
          </cell>
          <cell r="G3134" t="str">
            <v>(M12)</v>
          </cell>
          <cell r="H3134">
            <v>92.249999999999986</v>
          </cell>
          <cell r="I3134" t="str">
            <v>Kg</v>
          </cell>
        </row>
        <row r="3135">
          <cell r="A3135" t="str">
            <v>1.b.</v>
          </cell>
          <cell r="C3135" t="str">
            <v>Agregat Halus</v>
          </cell>
          <cell r="D3135" t="str">
            <v xml:space="preserve">   {(Ps x D1) : D3} x 1.025</v>
          </cell>
          <cell r="G3135" t="str">
            <v>(M01)</v>
          </cell>
          <cell r="H3135">
            <v>0.21085714285714283</v>
          </cell>
          <cell r="I3135" t="str">
            <v>M3</v>
          </cell>
          <cell r="Q3135" t="str">
            <v xml:space="preserve">JUMLAH HARGA BAHAN   </v>
          </cell>
          <cell r="U3135">
            <v>232536.08823881921</v>
          </cell>
        </row>
        <row r="3136">
          <cell r="A3136" t="str">
            <v>1.c.</v>
          </cell>
          <cell r="C3136" t="str">
            <v>Agregat Kasar</v>
          </cell>
          <cell r="D3136" t="str">
            <v xml:space="preserve">   {(Kr x D1) : D4} x 1.025</v>
          </cell>
          <cell r="G3136" t="str">
            <v>(M03)</v>
          </cell>
          <cell r="H3136">
            <v>0.36899999999999994</v>
          </cell>
          <cell r="I3136" t="str">
            <v>M3</v>
          </cell>
          <cell r="J3136" t="str">
            <v xml:space="preserve"> Agregat Kasar</v>
          </cell>
        </row>
        <row r="3137">
          <cell r="C3137" t="str">
            <v>Sirtu</v>
          </cell>
          <cell r="H3137">
            <v>0.55349999999999999</v>
          </cell>
          <cell r="I3137" t="str">
            <v>M3</v>
          </cell>
        </row>
        <row r="3138">
          <cell r="A3138" t="str">
            <v>1.e.</v>
          </cell>
          <cell r="C3138" t="str">
            <v>Bekisting</v>
          </cell>
          <cell r="G3138" t="str">
            <v>(M19)</v>
          </cell>
          <cell r="H3138">
            <v>0.05</v>
          </cell>
          <cell r="I3138" t="str">
            <v>M3</v>
          </cell>
        </row>
        <row r="3139">
          <cell r="A3139" t="str">
            <v>1.f</v>
          </cell>
          <cell r="C3139" t="str">
            <v>Paku</v>
          </cell>
          <cell r="G3139" t="str">
            <v>(M18)</v>
          </cell>
          <cell r="H3139">
            <v>0.4</v>
          </cell>
          <cell r="I3139" t="str">
            <v>Kg</v>
          </cell>
        </row>
        <row r="3141">
          <cell r="A3141" t="str">
            <v>2.</v>
          </cell>
          <cell r="C3141" t="str">
            <v>ALAT</v>
          </cell>
        </row>
        <row r="3142">
          <cell r="A3142" t="str">
            <v>2.a.</v>
          </cell>
          <cell r="C3142" t="str">
            <v>CONCRETE MIXER</v>
          </cell>
          <cell r="G3142" t="str">
            <v>(E06)</v>
          </cell>
        </row>
        <row r="3143">
          <cell r="C3143" t="str">
            <v>Kapasitas Alat</v>
          </cell>
          <cell r="G3143" t="str">
            <v>V</v>
          </cell>
          <cell r="H3143">
            <v>500</v>
          </cell>
          <cell r="I3143" t="str">
            <v>liter</v>
          </cell>
        </row>
        <row r="3144">
          <cell r="C3144" t="str">
            <v>Faktor Efisiensi Alat</v>
          </cell>
          <cell r="G3144" t="str">
            <v>Fa</v>
          </cell>
          <cell r="H3144">
            <v>0.83</v>
          </cell>
          <cell r="I3144" t="str">
            <v>-</v>
          </cell>
        </row>
        <row r="3145">
          <cell r="C3145" t="str">
            <v>Waktu siklus   :</v>
          </cell>
          <cell r="D3145" t="str">
            <v>(T1 + T2 + T3 + T4)</v>
          </cell>
          <cell r="G3145" t="str">
            <v>Ts</v>
          </cell>
        </row>
        <row r="3146">
          <cell r="C3146" t="str">
            <v>-  Memuat</v>
          </cell>
          <cell r="G3146" t="str">
            <v>T1</v>
          </cell>
          <cell r="H3146">
            <v>3</v>
          </cell>
          <cell r="I3146" t="str">
            <v>menit</v>
          </cell>
        </row>
        <row r="3147">
          <cell r="C3147" t="str">
            <v>-  Mengaduk</v>
          </cell>
          <cell r="G3147" t="str">
            <v>T2</v>
          </cell>
          <cell r="H3147">
            <v>2</v>
          </cell>
          <cell r="I3147" t="str">
            <v>menit</v>
          </cell>
        </row>
        <row r="3148">
          <cell r="C3148" t="str">
            <v>-  Menuang</v>
          </cell>
          <cell r="G3148" t="str">
            <v>T3</v>
          </cell>
          <cell r="H3148">
            <v>3</v>
          </cell>
          <cell r="I3148" t="str">
            <v>menit</v>
          </cell>
        </row>
        <row r="3149">
          <cell r="C3149" t="str">
            <v>-  Tunggu, dll.</v>
          </cell>
          <cell r="G3149" t="str">
            <v>T4</v>
          </cell>
          <cell r="H3149">
            <v>3</v>
          </cell>
          <cell r="I3149" t="str">
            <v>menit</v>
          </cell>
        </row>
        <row r="3150">
          <cell r="G3150" t="str">
            <v>Ts</v>
          </cell>
          <cell r="H3150">
            <v>11</v>
          </cell>
          <cell r="I3150" t="str">
            <v>menit</v>
          </cell>
        </row>
        <row r="3152">
          <cell r="C3152" t="str">
            <v>Kap. Prod. / jam  =</v>
          </cell>
          <cell r="D3152" t="str">
            <v>V x Fa x 60</v>
          </cell>
          <cell r="G3152" t="str">
            <v>Q1</v>
          </cell>
          <cell r="H3152">
            <v>2.2636363636363637</v>
          </cell>
          <cell r="I3152" t="str">
            <v>M3</v>
          </cell>
        </row>
        <row r="3153">
          <cell r="D3153" t="str">
            <v>1000 x Ts</v>
          </cell>
        </row>
        <row r="3155">
          <cell r="C3155" t="str">
            <v>Koefisien Alat / M3</v>
          </cell>
          <cell r="D3155" t="str">
            <v xml:space="preserve">  =   1  :  Q1</v>
          </cell>
          <cell r="G3155" t="str">
            <v>(E06)</v>
          </cell>
          <cell r="H3155">
            <v>0.44176706827309237</v>
          </cell>
          <cell r="I3155" t="str">
            <v>jam</v>
          </cell>
        </row>
        <row r="3159">
          <cell r="J3159" t="str">
            <v>Berlanjut ke hal. berikut.</v>
          </cell>
        </row>
        <row r="3160">
          <cell r="A3160" t="str">
            <v>ITEM PEMBAYARAN NO.</v>
          </cell>
          <cell r="D3160" t="str">
            <v>: 5.5.(2)</v>
          </cell>
          <cell r="J3160" t="str">
            <v>Analisa EI-718</v>
          </cell>
        </row>
        <row r="3161">
          <cell r="A3161" t="str">
            <v>JENIS PEKERJAAN</v>
          </cell>
          <cell r="D3161" t="str">
            <v>: Pekerjaan LFAS Kelas B</v>
          </cell>
        </row>
        <row r="3162">
          <cell r="A3162" t="str">
            <v>SATUAN PEMBAYARAN</v>
          </cell>
          <cell r="D3162" t="str">
            <v>:  M3</v>
          </cell>
          <cell r="H3162" t="str">
            <v xml:space="preserve">        URAIAN ANALISA HARGA SATUAN</v>
          </cell>
        </row>
        <row r="3163">
          <cell r="J3163" t="str">
            <v>Lanjutan</v>
          </cell>
        </row>
        <row r="3165">
          <cell r="A3165" t="str">
            <v>No.</v>
          </cell>
          <cell r="C3165" t="str">
            <v>U R A I A N</v>
          </cell>
          <cell r="G3165" t="str">
            <v>KODE</v>
          </cell>
          <cell r="H3165" t="str">
            <v>KOEF.</v>
          </cell>
          <cell r="I3165" t="str">
            <v>SATUAN</v>
          </cell>
          <cell r="J3165" t="str">
            <v>KETERANGAN</v>
          </cell>
        </row>
        <row r="3168">
          <cell r="A3168" t="str">
            <v>2.b.</v>
          </cell>
          <cell r="C3168" t="str">
            <v>WATER TANK TRUCK</v>
          </cell>
          <cell r="G3168" t="str">
            <v>(E23)</v>
          </cell>
        </row>
        <row r="3169">
          <cell r="C3169" t="str">
            <v>Volume Tanki Air</v>
          </cell>
          <cell r="G3169" t="str">
            <v>V</v>
          </cell>
          <cell r="H3169">
            <v>4</v>
          </cell>
          <cell r="I3169" t="str">
            <v>M3</v>
          </cell>
        </row>
        <row r="3170">
          <cell r="C3170" t="str">
            <v>Kebutuhan air / M3 beton</v>
          </cell>
          <cell r="G3170" t="str">
            <v>Wc</v>
          </cell>
          <cell r="H3170">
            <v>5.5349999999999989E-2</v>
          </cell>
          <cell r="I3170" t="str">
            <v>M3</v>
          </cell>
        </row>
        <row r="3171">
          <cell r="C3171" t="str">
            <v>Faktor Efiesiensi Alat</v>
          </cell>
          <cell r="G3171" t="str">
            <v>Fa</v>
          </cell>
          <cell r="H3171">
            <v>0.83</v>
          </cell>
          <cell r="I3171" t="str">
            <v>-</v>
          </cell>
        </row>
        <row r="3172">
          <cell r="C3172" t="str">
            <v>Pengisian Tanki / jam</v>
          </cell>
          <cell r="G3172" t="str">
            <v>n</v>
          </cell>
          <cell r="H3172">
            <v>1</v>
          </cell>
          <cell r="I3172" t="str">
            <v>kali</v>
          </cell>
        </row>
        <row r="3174">
          <cell r="C3174" t="str">
            <v>Kap. Prod. / jam  =</v>
          </cell>
          <cell r="D3174" t="str">
            <v>V x Fa x n</v>
          </cell>
          <cell r="G3174" t="str">
            <v>Q2</v>
          </cell>
          <cell r="H3174">
            <v>59.981933152664865</v>
          </cell>
          <cell r="I3174" t="str">
            <v>M3</v>
          </cell>
        </row>
        <row r="3175">
          <cell r="D3175" t="str">
            <v>Wc</v>
          </cell>
        </row>
        <row r="3177">
          <cell r="C3177" t="str">
            <v>Koefisien Alat / M3</v>
          </cell>
          <cell r="D3177" t="str">
            <v xml:space="preserve">  =   1  :  Q2</v>
          </cell>
          <cell r="G3177" t="str">
            <v>(E23)</v>
          </cell>
          <cell r="H3177">
            <v>1.6671686746987949E-2</v>
          </cell>
          <cell r="I3177" t="str">
            <v>jam</v>
          </cell>
        </row>
        <row r="3179">
          <cell r="A3179" t="str">
            <v>2.c.</v>
          </cell>
          <cell r="C3179" t="str">
            <v>CONCRETE VIBRATOR</v>
          </cell>
          <cell r="G3179" t="str">
            <v>(E20)</v>
          </cell>
        </row>
        <row r="3180">
          <cell r="C3180" t="str">
            <v>Kebutuhan Alat Penggetar Beton ini disesuaikan dengan</v>
          </cell>
        </row>
        <row r="3181">
          <cell r="C3181" t="str">
            <v>kapasitas produksi Alat Pencampur (Concrete Mixer)</v>
          </cell>
        </row>
        <row r="3183">
          <cell r="C3183" t="str">
            <v>Kap. Prod. / jam  =</v>
          </cell>
          <cell r="D3183" t="str">
            <v>Kap.Prod./Jam Alat Concrete Mixer</v>
          </cell>
          <cell r="G3183" t="str">
            <v>Q3</v>
          </cell>
          <cell r="H3183">
            <v>2.2636363636363637</v>
          </cell>
          <cell r="I3183" t="str">
            <v>M3</v>
          </cell>
        </row>
        <row r="3185">
          <cell r="C3185" t="str">
            <v>Koefisien Alat / M3</v>
          </cell>
          <cell r="D3185" t="str">
            <v xml:space="preserve">  =   1  :  Q3</v>
          </cell>
          <cell r="G3185" t="str">
            <v>(E20)</v>
          </cell>
          <cell r="H3185">
            <v>0.44176706827309237</v>
          </cell>
          <cell r="I3185" t="str">
            <v>jam</v>
          </cell>
        </row>
        <row r="3187">
          <cell r="A3187" t="str">
            <v>2.c.</v>
          </cell>
          <cell r="C3187" t="str">
            <v>ALAT BANTU</v>
          </cell>
        </row>
        <row r="3188">
          <cell r="C3188" t="str">
            <v>Diperlukan  :</v>
          </cell>
        </row>
        <row r="3189">
          <cell r="C3189" t="str">
            <v>- Sekop</v>
          </cell>
          <cell r="D3189" t="str">
            <v>=  2  buah</v>
          </cell>
        </row>
        <row r="3190">
          <cell r="C3190" t="str">
            <v>- Pacul</v>
          </cell>
          <cell r="D3190" t="str">
            <v>=  2  buah</v>
          </cell>
        </row>
        <row r="3191">
          <cell r="C3191" t="str">
            <v>- Sendok Semen</v>
          </cell>
          <cell r="D3191" t="str">
            <v>=  2  buah</v>
          </cell>
        </row>
        <row r="3192">
          <cell r="C3192" t="str">
            <v>- Ember Cor</v>
          </cell>
          <cell r="D3192" t="str">
            <v>=  4  buah</v>
          </cell>
        </row>
        <row r="3193">
          <cell r="C3193" t="str">
            <v>- Gerobak Dorong</v>
          </cell>
          <cell r="D3193" t="str">
            <v>=  1  buah</v>
          </cell>
        </row>
        <row r="3195">
          <cell r="A3195" t="str">
            <v>3.</v>
          </cell>
          <cell r="C3195" t="str">
            <v>TENAGA</v>
          </cell>
        </row>
        <row r="3196">
          <cell r="C3196" t="str">
            <v>Produksi Beton dalam 1 hari</v>
          </cell>
          <cell r="E3196" t="str">
            <v>=  Tk x Q1</v>
          </cell>
          <cell r="G3196" t="str">
            <v>Qt</v>
          </cell>
          <cell r="H3196">
            <v>15.845454545454546</v>
          </cell>
          <cell r="I3196" t="str">
            <v>M3</v>
          </cell>
        </row>
        <row r="3198">
          <cell r="C3198" t="str">
            <v>Kebutuhan tenaga :</v>
          </cell>
          <cell r="D3198" t="str">
            <v>- Mandor</v>
          </cell>
          <cell r="G3198" t="str">
            <v>M</v>
          </cell>
          <cell r="H3198">
            <v>1</v>
          </cell>
          <cell r="I3198" t="str">
            <v>orang</v>
          </cell>
        </row>
        <row r="3199">
          <cell r="D3199" t="str">
            <v>- Tukang</v>
          </cell>
          <cell r="G3199" t="str">
            <v>Tb</v>
          </cell>
          <cell r="H3199">
            <v>4</v>
          </cell>
          <cell r="I3199" t="str">
            <v>orang</v>
          </cell>
        </row>
        <row r="3200">
          <cell r="D3200" t="str">
            <v>- Pekerja</v>
          </cell>
          <cell r="G3200" t="str">
            <v>P</v>
          </cell>
          <cell r="H3200">
            <v>12</v>
          </cell>
          <cell r="I3200" t="str">
            <v>orang</v>
          </cell>
        </row>
        <row r="3202">
          <cell r="C3202" t="str">
            <v>Koefisien Tenaga / M3   :</v>
          </cell>
        </row>
        <row r="3203">
          <cell r="D3203" t="str">
            <v>-  Mandor</v>
          </cell>
          <cell r="E3203" t="str">
            <v>= (Tk x M) : Qt</v>
          </cell>
          <cell r="G3203" t="str">
            <v>(L03)</v>
          </cell>
          <cell r="H3203">
            <v>0.44176706827309237</v>
          </cell>
          <cell r="I3203" t="str">
            <v>jam</v>
          </cell>
        </row>
        <row r="3204">
          <cell r="D3204" t="str">
            <v>-  Tukang</v>
          </cell>
          <cell r="E3204" t="str">
            <v>= (Tk x Tb) : Qt</v>
          </cell>
          <cell r="G3204" t="str">
            <v>(L02)</v>
          </cell>
          <cell r="H3204">
            <v>1.7670682730923695</v>
          </cell>
          <cell r="I3204" t="str">
            <v>jam</v>
          </cell>
        </row>
        <row r="3205">
          <cell r="D3205" t="str">
            <v>-  Pekerja</v>
          </cell>
          <cell r="E3205" t="str">
            <v>= (Tk x P) : Qt</v>
          </cell>
          <cell r="G3205" t="str">
            <v>(L01)</v>
          </cell>
          <cell r="H3205">
            <v>5.3012048192771086</v>
          </cell>
          <cell r="I3205" t="str">
            <v>jam</v>
          </cell>
        </row>
        <row r="3208">
          <cell r="A3208" t="str">
            <v>4.</v>
          </cell>
          <cell r="C3208" t="str">
            <v>HARGA DASAR SATUAN UPAH, BAHAN DAN ALAT</v>
          </cell>
        </row>
        <row r="3209">
          <cell r="C3209" t="str">
            <v>Lihat lampiran.</v>
          </cell>
        </row>
        <row r="3218">
          <cell r="J3218" t="str">
            <v>Berlanjut ke hal. berikut.</v>
          </cell>
        </row>
        <row r="3219">
          <cell r="A3219" t="str">
            <v>ITEM PEMBAYARAN NO.</v>
          </cell>
          <cell r="D3219" t="str">
            <v>: 5.5.(2)</v>
          </cell>
          <cell r="J3219" t="str">
            <v>Analisa EI-718</v>
          </cell>
        </row>
        <row r="3220">
          <cell r="A3220" t="str">
            <v>JENIS PEKERJAAN</v>
          </cell>
          <cell r="D3220" t="str">
            <v>: Pekerjaan LFAS Kelas B</v>
          </cell>
        </row>
        <row r="3221">
          <cell r="A3221" t="str">
            <v>SATUAN PEMBAYARAN</v>
          </cell>
          <cell r="D3221" t="str">
            <v>:  M3</v>
          </cell>
          <cell r="H3221" t="str">
            <v xml:space="preserve">        URAIAN ANALISA HARGA SATUAN</v>
          </cell>
        </row>
        <row r="3222">
          <cell r="J3222" t="str">
            <v>Lanjutan</v>
          </cell>
        </row>
        <row r="3224">
          <cell r="A3224" t="str">
            <v>No.</v>
          </cell>
          <cell r="C3224" t="str">
            <v>U R A I A N</v>
          </cell>
          <cell r="G3224" t="str">
            <v>KODE</v>
          </cell>
          <cell r="H3224" t="str">
            <v>KOEF.</v>
          </cell>
          <cell r="I3224" t="str">
            <v>SATUAN</v>
          </cell>
          <cell r="J3224" t="str">
            <v>KETERANGAN</v>
          </cell>
        </row>
        <row r="3227">
          <cell r="A3227" t="str">
            <v>5.</v>
          </cell>
          <cell r="C3227" t="str">
            <v>ANALISA HARGA SATUAN PEKERJAAN</v>
          </cell>
        </row>
        <row r="3228">
          <cell r="C3228" t="str">
            <v>Lihat perhitungan dalam FORMULIR STANDAR UNTUK</v>
          </cell>
        </row>
        <row r="3229">
          <cell r="C3229" t="str">
            <v>PEREKEMAN ANALISA MASING-MASING HARGA</v>
          </cell>
        </row>
        <row r="3230">
          <cell r="C3230" t="str">
            <v>SATUAN.</v>
          </cell>
        </row>
        <row r="3231">
          <cell r="C3231" t="str">
            <v>Didapat Harga Satuan Pekerjaan :</v>
          </cell>
        </row>
        <row r="3233">
          <cell r="C3233" t="str">
            <v xml:space="preserve">Rp.  </v>
          </cell>
          <cell r="D3233">
            <v>313349.42307399388</v>
          </cell>
          <cell r="E3233" t="str">
            <v xml:space="preserve"> / M3</v>
          </cell>
        </row>
        <row r="3236">
          <cell r="A3236" t="str">
            <v>6.</v>
          </cell>
          <cell r="C3236" t="str">
            <v>MASA PELAKSANAAN YANG DIPERLUKAN</v>
          </cell>
        </row>
        <row r="3237">
          <cell r="C3237" t="str">
            <v>Masa Pelaksanaan :</v>
          </cell>
          <cell r="D3237" t="str">
            <v>. . . . . . . . . . . .</v>
          </cell>
        </row>
        <row r="3239">
          <cell r="A3239" t="str">
            <v>7.</v>
          </cell>
          <cell r="C3239" t="str">
            <v>VOLUME PEKERJAAN YANG DIPERLUKAN</v>
          </cell>
        </row>
        <row r="3240">
          <cell r="C3240" t="str">
            <v>Volume pekerjaan  :</v>
          </cell>
          <cell r="D3240">
            <v>1</v>
          </cell>
          <cell r="E3240" t="str">
            <v>M3</v>
          </cell>
        </row>
        <row r="3281">
          <cell r="A3281" t="str">
            <v>ITEM PEMBAYARAN NO.</v>
          </cell>
          <cell r="D3281" t="str">
            <v>: 5.5.(3)</v>
          </cell>
          <cell r="J3281" t="str">
            <v>Analisa EI-718</v>
          </cell>
          <cell r="T3281" t="str">
            <v>Analisa EI-718</v>
          </cell>
        </row>
        <row r="3282">
          <cell r="A3282" t="str">
            <v>JENIS PEKERJAAN</v>
          </cell>
          <cell r="D3282" t="str">
            <v>: Pekerjaan LPAS Kelas C</v>
          </cell>
        </row>
        <row r="3283">
          <cell r="A3283" t="str">
            <v>SATUAN PEMBAYARAN</v>
          </cell>
          <cell r="D3283" t="str">
            <v>:  M3</v>
          </cell>
          <cell r="H3283" t="str">
            <v xml:space="preserve">        URAIAN ANALISA HARGA SATUAN</v>
          </cell>
          <cell r="L3283" t="str">
            <v>FORMULIR STANDAR UNTUK</v>
          </cell>
        </row>
        <row r="3284">
          <cell r="L3284" t="str">
            <v>PEREKAMAN ANALISA MASING-MASING HARGA SATUAN</v>
          </cell>
        </row>
        <row r="3285">
          <cell r="L3285" t="str">
            <v xml:space="preserve">                                                                                                            </v>
          </cell>
        </row>
        <row r="3286">
          <cell r="A3286" t="str">
            <v>No.</v>
          </cell>
          <cell r="C3286" t="str">
            <v>U R A I A N</v>
          </cell>
          <cell r="G3286" t="str">
            <v>KODE</v>
          </cell>
          <cell r="H3286" t="str">
            <v>KOEF.</v>
          </cell>
          <cell r="I3286" t="str">
            <v>SATUAN</v>
          </cell>
          <cell r="J3286" t="str">
            <v>KETERANGAN</v>
          </cell>
        </row>
        <row r="3288">
          <cell r="L3288" t="str">
            <v>PROYEK</v>
          </cell>
          <cell r="O3288" t="str">
            <v>:</v>
          </cell>
        </row>
        <row r="3289">
          <cell r="A3289" t="str">
            <v>I.</v>
          </cell>
          <cell r="C3289" t="str">
            <v>ASUMSI</v>
          </cell>
          <cell r="L3289" t="str">
            <v>No. PAKET KONTRAK</v>
          </cell>
          <cell r="O3289" t="str">
            <v>:</v>
          </cell>
        </row>
        <row r="3290">
          <cell r="A3290">
            <v>1</v>
          </cell>
          <cell r="C3290" t="str">
            <v>Menggunakan alat (cara mekanik)</v>
          </cell>
          <cell r="L3290" t="str">
            <v>NAMA PAKET</v>
          </cell>
          <cell r="O3290" t="str">
            <v>:</v>
          </cell>
        </row>
        <row r="3291">
          <cell r="A3291">
            <v>2</v>
          </cell>
          <cell r="C3291" t="str">
            <v>Lokasi pekerjaan : sepanjang jalan</v>
          </cell>
          <cell r="L3291" t="str">
            <v>PROP / KAB / KODYA</v>
          </cell>
          <cell r="O3291" t="str">
            <v>:</v>
          </cell>
        </row>
        <row r="3292">
          <cell r="A3292">
            <v>3</v>
          </cell>
          <cell r="C3292" t="str">
            <v>Agregat merupakan bahan Lapis Pondasi Agregat</v>
          </cell>
          <cell r="L3292" t="str">
            <v>ITEM PEMBAYARAN NO.</v>
          </cell>
          <cell r="O3292" t="str">
            <v>: 5.5.(3)</v>
          </cell>
          <cell r="R3292" t="str">
            <v>PERKIRAAN VOL. PEK.</v>
          </cell>
          <cell r="T3292" t="str">
            <v>:</v>
          </cell>
          <cell r="U3292">
            <v>1</v>
          </cell>
        </row>
        <row r="3293">
          <cell r="C3293" t="str">
            <v>Kelas C yang telah dicampur di base camp dan</v>
          </cell>
          <cell r="L3293" t="str">
            <v>JENIS PEKERJAAN</v>
          </cell>
          <cell r="O3293" t="str">
            <v>: Pekerjaan LPAS Kelas C</v>
          </cell>
          <cell r="R3293" t="str">
            <v>TOTAL HARGA (Rp.)</v>
          </cell>
          <cell r="T3293" t="str">
            <v>:</v>
          </cell>
          <cell r="U3293">
            <v>31522.779454667012</v>
          </cell>
        </row>
        <row r="3294">
          <cell r="C3294" t="str">
            <v>selanjutnya dimuat ke truck dengan wheel loader</v>
          </cell>
        </row>
        <row r="3295">
          <cell r="A3295">
            <v>4</v>
          </cell>
          <cell r="C3295" t="str">
            <v>Jarak rata-rata Base camp ke lokasi pekerjaan</v>
          </cell>
          <cell r="G3295" t="str">
            <v>L</v>
          </cell>
          <cell r="H3295">
            <v>0</v>
          </cell>
          <cell r="I3295" t="str">
            <v>KM</v>
          </cell>
          <cell r="L3295" t="str">
            <v>SATUAN PEMBAYARAN</v>
          </cell>
          <cell r="O3295" t="str">
            <v>:  M3</v>
          </cell>
          <cell r="R3295" t="str">
            <v>% THD. BIAYA PROYEK</v>
          </cell>
          <cell r="T3295" t="str">
            <v>:</v>
          </cell>
          <cell r="U3295" t="e">
            <v>#DIV/0!</v>
          </cell>
        </row>
        <row r="3296">
          <cell r="A3296">
            <v>5</v>
          </cell>
          <cell r="C3296" t="str">
            <v>Jam kerja efektif per-hari</v>
          </cell>
          <cell r="G3296" t="str">
            <v>Tk</v>
          </cell>
          <cell r="H3296">
            <v>7</v>
          </cell>
          <cell r="I3296" t="str">
            <v>jam</v>
          </cell>
        </row>
        <row r="3297">
          <cell r="A3297">
            <v>6</v>
          </cell>
          <cell r="C3297" t="str">
            <v>Kadar Semen Minimum (Spesifikasi)</v>
          </cell>
          <cell r="G3297" t="str">
            <v>Ks</v>
          </cell>
          <cell r="H3297">
            <v>250</v>
          </cell>
          <cell r="I3297" t="str">
            <v>Kg/M3</v>
          </cell>
        </row>
        <row r="3298">
          <cell r="A3298">
            <v>7</v>
          </cell>
          <cell r="C3298" t="str">
            <v>Perbandingan Air/Semen Maksimum (Spesifikasi)</v>
          </cell>
          <cell r="G3298" t="str">
            <v>Wcr</v>
          </cell>
          <cell r="H3298">
            <v>0.6</v>
          </cell>
          <cell r="I3298" t="str">
            <v>-</v>
          </cell>
          <cell r="L3298" t="str">
            <v>NO.</v>
          </cell>
          <cell r="N3298" t="str">
            <v>KOMPONEN</v>
          </cell>
          <cell r="P3298" t="str">
            <v>SATUAN</v>
          </cell>
          <cell r="Q3298" t="str">
            <v>KUANTITAS</v>
          </cell>
          <cell r="R3298" t="str">
            <v>SATUAN</v>
          </cell>
          <cell r="S3298" t="str">
            <v>HARGA</v>
          </cell>
        </row>
        <row r="3299">
          <cell r="A3299">
            <v>8</v>
          </cell>
          <cell r="C3299" t="str">
            <v>Perbandingan Camp.</v>
          </cell>
          <cell r="D3299">
            <v>12</v>
          </cell>
          <cell r="E3299" t="str">
            <v>:  Semen</v>
          </cell>
          <cell r="G3299" t="str">
            <v>Sm</v>
          </cell>
          <cell r="H3299">
            <v>12</v>
          </cell>
          <cell r="I3299" t="str">
            <v>%</v>
          </cell>
          <cell r="J3299" t="str">
            <v xml:space="preserve"> Berdasarkan</v>
          </cell>
          <cell r="R3299" t="str">
            <v>(Rp.)</v>
          </cell>
          <cell r="S3299" t="str">
            <v>(Rp.)</v>
          </cell>
        </row>
        <row r="3300">
          <cell r="D3300">
            <v>47</v>
          </cell>
          <cell r="E3300" t="str">
            <v>:  Agregat Halus</v>
          </cell>
          <cell r="G3300" t="str">
            <v>Fa</v>
          </cell>
          <cell r="H3300">
            <v>41.4</v>
          </cell>
          <cell r="I3300" t="str">
            <v>%</v>
          </cell>
          <cell r="J3300" t="str">
            <v xml:space="preserve"> JMF &amp; sesuai</v>
          </cell>
        </row>
        <row r="3301">
          <cell r="D3301">
            <v>38</v>
          </cell>
          <cell r="E3301" t="str">
            <v>:  Agregat Kasar</v>
          </cell>
          <cell r="G3301" t="str">
            <v>Ca</v>
          </cell>
          <cell r="H3301">
            <v>33.4</v>
          </cell>
          <cell r="I3301" t="str">
            <v>%</v>
          </cell>
          <cell r="J3301" t="str">
            <v xml:space="preserve"> </v>
          </cell>
        </row>
        <row r="3302">
          <cell r="D3302">
            <v>15</v>
          </cell>
          <cell r="E3302" t="str">
            <v>: Tanah</v>
          </cell>
          <cell r="G3302" t="str">
            <v>Tnh</v>
          </cell>
          <cell r="H3302">
            <v>13.2</v>
          </cell>
          <cell r="I3302" t="str">
            <v>%</v>
          </cell>
        </row>
        <row r="3303">
          <cell r="A3303">
            <v>9</v>
          </cell>
          <cell r="C3303" t="str">
            <v>Berat Jenis Material :</v>
          </cell>
          <cell r="L3303" t="str">
            <v>A.</v>
          </cell>
          <cell r="N3303" t="str">
            <v>TENAGA</v>
          </cell>
        </row>
        <row r="3304">
          <cell r="C3304" t="str">
            <v>-  Beton</v>
          </cell>
          <cell r="G3304" t="str">
            <v>D1</v>
          </cell>
          <cell r="H3304">
            <v>2.25</v>
          </cell>
          <cell r="I3304" t="str">
            <v>T/M3</v>
          </cell>
        </row>
        <row r="3305">
          <cell r="C3305" t="str">
            <v>-  Semen</v>
          </cell>
          <cell r="G3305" t="str">
            <v>D2</v>
          </cell>
          <cell r="H3305">
            <v>3</v>
          </cell>
          <cell r="I3305" t="str">
            <v>T/M3</v>
          </cell>
          <cell r="L3305" t="str">
            <v>1.</v>
          </cell>
          <cell r="N3305" t="str">
            <v>Pekerja</v>
          </cell>
          <cell r="O3305" t="str">
            <v>(L01)</v>
          </cell>
          <cell r="P3305" t="str">
            <v>jam</v>
          </cell>
          <cell r="Q3305">
            <v>5.3012048192771086</v>
          </cell>
          <cell r="R3305">
            <v>2857.14</v>
          </cell>
          <cell r="U3305">
            <v>15146.284337349398</v>
          </cell>
        </row>
        <row r="3306">
          <cell r="C3306" t="str">
            <v>-  Agregat Kelas C</v>
          </cell>
          <cell r="G3306" t="str">
            <v>D3</v>
          </cell>
          <cell r="H3306">
            <v>1.9</v>
          </cell>
          <cell r="I3306" t="str">
            <v>T/M3</v>
          </cell>
          <cell r="L3306" t="str">
            <v>2.</v>
          </cell>
          <cell r="N3306" t="str">
            <v>Tukang</v>
          </cell>
          <cell r="O3306" t="str">
            <v>(L02)</v>
          </cell>
          <cell r="P3306" t="str">
            <v>jam</v>
          </cell>
          <cell r="Q3306">
            <v>1.7670682730923695</v>
          </cell>
          <cell r="R3306">
            <v>4285.71</v>
          </cell>
          <cell r="U3306">
            <v>7573.142168674699</v>
          </cell>
        </row>
        <row r="3307">
          <cell r="C3307" t="str">
            <v xml:space="preserve"> </v>
          </cell>
          <cell r="G3307" t="str">
            <v xml:space="preserve"> </v>
          </cell>
          <cell r="H3307" t="str">
            <v xml:space="preserve"> </v>
          </cell>
          <cell r="I3307" t="str">
            <v xml:space="preserve"> </v>
          </cell>
          <cell r="L3307" t="str">
            <v>3.</v>
          </cell>
          <cell r="N3307" t="str">
            <v>Mandor</v>
          </cell>
          <cell r="O3307" t="str">
            <v>(L03)</v>
          </cell>
          <cell r="P3307" t="str">
            <v>jam</v>
          </cell>
          <cell r="Q3307">
            <v>0.44176706827309237</v>
          </cell>
          <cell r="R3307">
            <v>3214.29</v>
          </cell>
          <cell r="U3307">
            <v>1419.9674698795181</v>
          </cell>
        </row>
        <row r="3308">
          <cell r="C3308" t="str">
            <v/>
          </cell>
        </row>
        <row r="3309">
          <cell r="A3309" t="str">
            <v>II.</v>
          </cell>
          <cell r="C3309" t="str">
            <v>URUTAN KERJA</v>
          </cell>
          <cell r="Q3309" t="str">
            <v xml:space="preserve">JUMLAH HARGA TENAGA   </v>
          </cell>
          <cell r="U3309">
            <v>24139.393975903615</v>
          </cell>
        </row>
        <row r="3310">
          <cell r="A3310">
            <v>1</v>
          </cell>
          <cell r="C3310" t="str">
            <v>Semen, pasir, batu kerikil dan air dicampur dan diaduk</v>
          </cell>
        </row>
        <row r="3311">
          <cell r="C3311" t="str">
            <v>menjadi beton dengan menggunakan Concrete Mixer</v>
          </cell>
          <cell r="L3311" t="str">
            <v>B.</v>
          </cell>
          <cell r="N3311" t="str">
            <v>BAHAN</v>
          </cell>
        </row>
        <row r="3312">
          <cell r="A3312">
            <v>2</v>
          </cell>
          <cell r="C3312" t="str">
            <v>Beton di-cor ke dalam bekisting yang telah disiapkan</v>
          </cell>
        </row>
        <row r="3313">
          <cell r="A3313">
            <v>3</v>
          </cell>
          <cell r="C3313" t="str">
            <v>Penyelesaian dan perapihan setelah pemasangan</v>
          </cell>
          <cell r="L3313" t="str">
            <v>1.</v>
          </cell>
          <cell r="N3313" t="str">
            <v>Semen</v>
          </cell>
          <cell r="O3313" t="str">
            <v>(M12)</v>
          </cell>
          <cell r="P3313" t="str">
            <v>Kg</v>
          </cell>
          <cell r="Q3313">
            <v>276.75</v>
          </cell>
          <cell r="R3313">
            <v>1357.5</v>
          </cell>
          <cell r="U3313">
            <v>375688.125</v>
          </cell>
        </row>
        <row r="3314">
          <cell r="L3314" t="str">
            <v>2.</v>
          </cell>
          <cell r="N3314" t="str">
            <v>Aggregat Klas C</v>
          </cell>
          <cell r="O3314" t="str">
            <v>(M01)</v>
          </cell>
          <cell r="P3314" t="str">
            <v>M3</v>
          </cell>
          <cell r="Q3314">
            <v>0.50251973684210527</v>
          </cell>
          <cell r="R3314">
            <v>141787.08464737452</v>
          </cell>
          <cell r="U3314">
            <v>71250.808464607951</v>
          </cell>
        </row>
        <row r="3315">
          <cell r="A3315" t="str">
            <v>III.</v>
          </cell>
          <cell r="C3315" t="str">
            <v>PEMAKAIAN BAHAN, ALAT DAN TENAGA</v>
          </cell>
        </row>
        <row r="3317">
          <cell r="A3317" t="str">
            <v xml:space="preserve">   1.</v>
          </cell>
          <cell r="C3317" t="str">
            <v>BAHAN</v>
          </cell>
        </row>
        <row r="3318">
          <cell r="A3318" t="str">
            <v>1.a.</v>
          </cell>
          <cell r="C3318" t="str">
            <v>Semen (PC)          =</v>
          </cell>
          <cell r="D3318" t="str">
            <v xml:space="preserve">   {Sm x D1 x 1000} x 1.025</v>
          </cell>
          <cell r="G3318" t="str">
            <v>(M12)</v>
          </cell>
          <cell r="H3318">
            <v>276.75</v>
          </cell>
          <cell r="I3318" t="str">
            <v>Kg</v>
          </cell>
        </row>
        <row r="3319">
          <cell r="A3319" t="str">
            <v>1.b.</v>
          </cell>
          <cell r="C3319" t="str">
            <v>Agregat Kelas C</v>
          </cell>
          <cell r="D3319" t="str">
            <v xml:space="preserve">   {(Ps x D1) : D3} x 1.025</v>
          </cell>
          <cell r="G3319" t="str">
            <v>(M01)</v>
          </cell>
          <cell r="H3319">
            <v>0.50251973684210527</v>
          </cell>
          <cell r="I3319" t="str">
            <v>M3</v>
          </cell>
        </row>
        <row r="3320">
          <cell r="A3320" t="str">
            <v>1.c.</v>
          </cell>
          <cell r="C3320" t="str">
            <v xml:space="preserve"> </v>
          </cell>
          <cell r="D3320" t="str">
            <v xml:space="preserve"> </v>
          </cell>
          <cell r="G3320" t="str">
            <v xml:space="preserve"> </v>
          </cell>
          <cell r="H3320" t="str">
            <v xml:space="preserve"> </v>
          </cell>
          <cell r="I3320" t="str">
            <v xml:space="preserve"> </v>
          </cell>
          <cell r="J3320" t="str">
            <v xml:space="preserve"> </v>
          </cell>
        </row>
        <row r="3321">
          <cell r="A3321" t="str">
            <v>1.e.</v>
          </cell>
          <cell r="C3321" t="str">
            <v>Bekisting</v>
          </cell>
          <cell r="G3321" t="str">
            <v>(M19)</v>
          </cell>
          <cell r="H3321">
            <v>0.05</v>
          </cell>
          <cell r="I3321" t="str">
            <v>M3</v>
          </cell>
        </row>
        <row r="3322">
          <cell r="A3322" t="str">
            <v>1.f</v>
          </cell>
          <cell r="C3322" t="str">
            <v>Paku</v>
          </cell>
          <cell r="G3322" t="str">
            <v>(M18)</v>
          </cell>
          <cell r="H3322">
            <v>0.4</v>
          </cell>
          <cell r="I3322" t="str">
            <v>Kg</v>
          </cell>
        </row>
        <row r="3324">
          <cell r="A3324" t="str">
            <v>2.</v>
          </cell>
          <cell r="C3324" t="str">
            <v>ALAT</v>
          </cell>
        </row>
        <row r="3325">
          <cell r="A3325" t="str">
            <v>2.a.</v>
          </cell>
          <cell r="C3325" t="str">
            <v>CONCRETE MIXER</v>
          </cell>
          <cell r="G3325" t="str">
            <v>(E06)</v>
          </cell>
        </row>
        <row r="3326">
          <cell r="C3326" t="str">
            <v>Kapasitas Alat</v>
          </cell>
          <cell r="G3326" t="str">
            <v>V</v>
          </cell>
          <cell r="H3326">
            <v>500</v>
          </cell>
          <cell r="I3326" t="str">
            <v>liter</v>
          </cell>
        </row>
        <row r="3327">
          <cell r="C3327" t="str">
            <v>Faktor Efisiensi Alat</v>
          </cell>
          <cell r="G3327" t="str">
            <v>Fa</v>
          </cell>
          <cell r="H3327">
            <v>0.83</v>
          </cell>
          <cell r="I3327" t="str">
            <v>-</v>
          </cell>
        </row>
        <row r="3328">
          <cell r="C3328" t="str">
            <v>Waktu siklus   :</v>
          </cell>
          <cell r="D3328" t="str">
            <v>(T1 + T2 + T3 + T4)</v>
          </cell>
          <cell r="G3328" t="str">
            <v>Ts</v>
          </cell>
        </row>
        <row r="3329">
          <cell r="C3329" t="str">
            <v>-  Memuat</v>
          </cell>
          <cell r="G3329" t="str">
            <v>T1</v>
          </cell>
          <cell r="H3329">
            <v>3</v>
          </cell>
          <cell r="I3329" t="str">
            <v>menit</v>
          </cell>
        </row>
        <row r="3330">
          <cell r="C3330" t="str">
            <v>-  Mengaduk</v>
          </cell>
          <cell r="G3330" t="str">
            <v>T2</v>
          </cell>
          <cell r="H3330">
            <v>2</v>
          </cell>
          <cell r="I3330" t="str">
            <v>menit</v>
          </cell>
        </row>
        <row r="3331">
          <cell r="C3331" t="str">
            <v>-  Menuang</v>
          </cell>
          <cell r="G3331" t="str">
            <v>T3</v>
          </cell>
          <cell r="H3331">
            <v>3</v>
          </cell>
          <cell r="I3331" t="str">
            <v>menit</v>
          </cell>
        </row>
        <row r="3332">
          <cell r="C3332" t="str">
            <v>-  Tunggu, dll.</v>
          </cell>
          <cell r="G3332" t="str">
            <v>T4</v>
          </cell>
          <cell r="H3332">
            <v>3</v>
          </cell>
          <cell r="I3332" t="str">
            <v>menit</v>
          </cell>
        </row>
        <row r="3333">
          <cell r="G3333" t="str">
            <v>Ts</v>
          </cell>
          <cell r="H3333">
            <v>11</v>
          </cell>
          <cell r="I3333" t="str">
            <v>menit</v>
          </cell>
        </row>
        <row r="3335">
          <cell r="C3335" t="str">
            <v>Kap. Prod. / jam  =</v>
          </cell>
          <cell r="D3335" t="str">
            <v>V x Fa x 60</v>
          </cell>
          <cell r="G3335" t="str">
            <v>Q1</v>
          </cell>
          <cell r="H3335">
            <v>2.2636363636363637</v>
          </cell>
          <cell r="I3335" t="str">
            <v>M3</v>
          </cell>
        </row>
        <row r="3336">
          <cell r="D3336" t="str">
            <v>1000 x Ts</v>
          </cell>
        </row>
        <row r="3338">
          <cell r="C3338" t="str">
            <v>Koefisien Alat / M3</v>
          </cell>
          <cell r="D3338" t="str">
            <v xml:space="preserve">  =   1  :  Q1</v>
          </cell>
          <cell r="G3338" t="str">
            <v>(E06)</v>
          </cell>
          <cell r="H3338">
            <v>0.44176706827309237</v>
          </cell>
          <cell r="I3338" t="str">
            <v>jam</v>
          </cell>
        </row>
        <row r="3342">
          <cell r="J3342" t="str">
            <v>Berlanjut ke hal. berikut.</v>
          </cell>
        </row>
        <row r="3343">
          <cell r="A3343" t="str">
            <v>ITEM PEMBAYARAN NO.</v>
          </cell>
          <cell r="D3343" t="str">
            <v>: 5.5.(3)</v>
          </cell>
          <cell r="J3343" t="str">
            <v>Analisa EI-718</v>
          </cell>
        </row>
        <row r="3344">
          <cell r="A3344" t="str">
            <v>JENIS PEKERJAAN</v>
          </cell>
          <cell r="D3344" t="str">
            <v>: Pekerjaan LPAS Kelas C</v>
          </cell>
        </row>
        <row r="3345">
          <cell r="A3345" t="str">
            <v>SATUAN PEMBAYARAN</v>
          </cell>
          <cell r="D3345" t="str">
            <v>:  M3</v>
          </cell>
          <cell r="H3345" t="str">
            <v xml:space="preserve">        URAIAN ANALISA HARGA SATUAN</v>
          </cell>
        </row>
        <row r="3346">
          <cell r="J3346" t="str">
            <v>Lanjutan</v>
          </cell>
        </row>
        <row r="3348">
          <cell r="A3348" t="str">
            <v>No.</v>
          </cell>
          <cell r="C3348" t="str">
            <v>U R A I A N</v>
          </cell>
          <cell r="G3348" t="str">
            <v>KODE</v>
          </cell>
          <cell r="H3348" t="str">
            <v>KOEF.</v>
          </cell>
          <cell r="I3348" t="str">
            <v>SATUAN</v>
          </cell>
          <cell r="J3348" t="str">
            <v>KETERANGAN</v>
          </cell>
        </row>
        <row r="3351">
          <cell r="A3351" t="str">
            <v>2.b.</v>
          </cell>
          <cell r="C3351" t="str">
            <v>WATER TANK TRUCK</v>
          </cell>
          <cell r="G3351" t="str">
            <v>(E23)</v>
          </cell>
        </row>
        <row r="3352">
          <cell r="C3352" t="str">
            <v>Volume Tanki Air</v>
          </cell>
          <cell r="G3352" t="str">
            <v>V</v>
          </cell>
          <cell r="H3352">
            <v>4</v>
          </cell>
          <cell r="I3352" t="str">
            <v>M3</v>
          </cell>
        </row>
        <row r="3353">
          <cell r="C3353" t="str">
            <v>Kebutuhan air / M3 beton</v>
          </cell>
          <cell r="G3353" t="str">
            <v>Wc</v>
          </cell>
          <cell r="H3353">
            <v>0.16604999999999998</v>
          </cell>
          <cell r="I3353" t="str">
            <v>M3</v>
          </cell>
        </row>
        <row r="3354">
          <cell r="C3354" t="str">
            <v>Faktor Efiesiensi Alat</v>
          </cell>
          <cell r="G3354" t="str">
            <v>Fa</v>
          </cell>
          <cell r="H3354">
            <v>0.83</v>
          </cell>
          <cell r="I3354" t="str">
            <v>-</v>
          </cell>
        </row>
        <row r="3355">
          <cell r="C3355" t="str">
            <v>Pengisian Tanki / jam</v>
          </cell>
          <cell r="G3355" t="str">
            <v>n</v>
          </cell>
          <cell r="H3355">
            <v>1</v>
          </cell>
          <cell r="I3355" t="str">
            <v>kali</v>
          </cell>
        </row>
        <row r="3357">
          <cell r="C3357" t="str">
            <v>Kap. Prod. / jam  =</v>
          </cell>
          <cell r="D3357" t="str">
            <v>V x Fa x n</v>
          </cell>
          <cell r="G3357" t="str">
            <v>Q2</v>
          </cell>
          <cell r="H3357">
            <v>19.993977717554955</v>
          </cell>
          <cell r="I3357" t="str">
            <v>M3</v>
          </cell>
        </row>
        <row r="3358">
          <cell r="D3358" t="str">
            <v>Wc</v>
          </cell>
        </row>
        <row r="3360">
          <cell r="C3360" t="str">
            <v>Koefisien Alat / M3</v>
          </cell>
          <cell r="D3360" t="str">
            <v xml:space="preserve">  =   1  :  Q2</v>
          </cell>
          <cell r="G3360" t="str">
            <v>(E23)</v>
          </cell>
          <cell r="H3360">
            <v>5.0015060240963853E-2</v>
          </cell>
          <cell r="I3360" t="str">
            <v>jam</v>
          </cell>
        </row>
        <row r="3362">
          <cell r="A3362" t="str">
            <v>2.c.</v>
          </cell>
          <cell r="C3362" t="str">
            <v>CONCRETE VIBRATOR</v>
          </cell>
          <cell r="G3362" t="str">
            <v>(E20)</v>
          </cell>
        </row>
        <row r="3363">
          <cell r="C3363" t="str">
            <v>Kebutuhan Alat Penggetar Beton ini disesuaikan dengan</v>
          </cell>
        </row>
        <row r="3364">
          <cell r="C3364" t="str">
            <v>kapasitas produksi Alat Pencampur (Concrete Mixer)</v>
          </cell>
        </row>
        <row r="3366">
          <cell r="C3366" t="str">
            <v>Kap. Prod. / jam  =</v>
          </cell>
          <cell r="D3366" t="str">
            <v>Kap.Prod./Jam Alat Concrete Mixer</v>
          </cell>
          <cell r="G3366" t="str">
            <v>Q3</v>
          </cell>
          <cell r="H3366">
            <v>2.2636363636363637</v>
          </cell>
          <cell r="I3366" t="str">
            <v>M3</v>
          </cell>
        </row>
        <row r="3368">
          <cell r="C3368" t="str">
            <v>Koefisien Alat / M3</v>
          </cell>
          <cell r="D3368" t="str">
            <v xml:space="preserve">  =   1  :  Q3</v>
          </cell>
          <cell r="G3368" t="str">
            <v>(E20)</v>
          </cell>
          <cell r="H3368">
            <v>0.44176706827309237</v>
          </cell>
          <cell r="I3368" t="str">
            <v>jam</v>
          </cell>
        </row>
        <row r="3370">
          <cell r="A3370" t="str">
            <v>2.c.</v>
          </cell>
          <cell r="C3370" t="str">
            <v>ALAT BANTU</v>
          </cell>
        </row>
        <row r="3371">
          <cell r="C3371" t="str">
            <v>Diperlukan  :</v>
          </cell>
        </row>
        <row r="3372">
          <cell r="C3372" t="str">
            <v>- Sekop</v>
          </cell>
          <cell r="D3372" t="str">
            <v>=  2  buah</v>
          </cell>
        </row>
        <row r="3373">
          <cell r="C3373" t="str">
            <v>- Pacul</v>
          </cell>
          <cell r="D3373" t="str">
            <v>=  2  buah</v>
          </cell>
        </row>
        <row r="3374">
          <cell r="C3374" t="str">
            <v>- Sendok Semen</v>
          </cell>
          <cell r="D3374" t="str">
            <v>=  2  buah</v>
          </cell>
        </row>
        <row r="3375">
          <cell r="C3375" t="str">
            <v>- Ember Cor</v>
          </cell>
          <cell r="D3375" t="str">
            <v>=  4  buah</v>
          </cell>
        </row>
        <row r="3376">
          <cell r="C3376" t="str">
            <v>- Gerobak Dorong</v>
          </cell>
          <cell r="D3376" t="str">
            <v>=  1  buah</v>
          </cell>
        </row>
        <row r="3378">
          <cell r="A3378" t="str">
            <v>3.</v>
          </cell>
          <cell r="C3378" t="str">
            <v>TENAGA</v>
          </cell>
        </row>
        <row r="3379">
          <cell r="C3379" t="str">
            <v>Produksi Beton dalam 1 hari</v>
          </cell>
          <cell r="E3379" t="str">
            <v>=  Tk x Q1</v>
          </cell>
          <cell r="G3379" t="str">
            <v>Qt</v>
          </cell>
          <cell r="H3379">
            <v>15.845454545454546</v>
          </cell>
          <cell r="I3379" t="str">
            <v>M3</v>
          </cell>
        </row>
        <row r="3381">
          <cell r="C3381" t="str">
            <v>Kebutuhan tenaga :</v>
          </cell>
          <cell r="D3381" t="str">
            <v>- Mandor</v>
          </cell>
          <cell r="G3381" t="str">
            <v>M</v>
          </cell>
          <cell r="H3381">
            <v>1</v>
          </cell>
          <cell r="I3381" t="str">
            <v>orang</v>
          </cell>
        </row>
        <row r="3382">
          <cell r="D3382" t="str">
            <v>- Tukang</v>
          </cell>
          <cell r="G3382" t="str">
            <v>Tb</v>
          </cell>
          <cell r="H3382">
            <v>4</v>
          </cell>
          <cell r="I3382" t="str">
            <v>orang</v>
          </cell>
        </row>
        <row r="3383">
          <cell r="D3383" t="str">
            <v>- Pekerja</v>
          </cell>
          <cell r="G3383" t="str">
            <v>P</v>
          </cell>
          <cell r="H3383">
            <v>12</v>
          </cell>
          <cell r="I3383" t="str">
            <v>orang</v>
          </cell>
        </row>
        <row r="3385">
          <cell r="C3385" t="str">
            <v>Koefisien Tenaga / M3   :</v>
          </cell>
        </row>
        <row r="3386">
          <cell r="D3386" t="str">
            <v>-  Mandor</v>
          </cell>
          <cell r="E3386" t="str">
            <v>= (Tk x M) : Qt</v>
          </cell>
          <cell r="G3386" t="str">
            <v>(L03)</v>
          </cell>
          <cell r="H3386">
            <v>0.44176706827309237</v>
          </cell>
          <cell r="I3386" t="str">
            <v>jam</v>
          </cell>
        </row>
        <row r="3387">
          <cell r="D3387" t="str">
            <v>-  Tukang</v>
          </cell>
          <cell r="E3387" t="str">
            <v>= (Tk x Tb) : Qt</v>
          </cell>
          <cell r="G3387" t="str">
            <v>(L02)</v>
          </cell>
          <cell r="H3387">
            <v>1.7670682730923695</v>
          </cell>
          <cell r="I3387" t="str">
            <v>jam</v>
          </cell>
        </row>
        <row r="3388">
          <cell r="D3388" t="str">
            <v>-  Pekerja</v>
          </cell>
          <cell r="E3388" t="str">
            <v>= (Tk x P) : Qt</v>
          </cell>
          <cell r="G3388" t="str">
            <v>(L01)</v>
          </cell>
          <cell r="H3388">
            <v>5.3012048192771086</v>
          </cell>
          <cell r="I3388" t="str">
            <v>jam</v>
          </cell>
        </row>
        <row r="3391">
          <cell r="A3391" t="str">
            <v>4.</v>
          </cell>
          <cell r="C3391" t="str">
            <v>HARGA DASAR SATUAN UPAH, BAHAN DAN ALAT</v>
          </cell>
        </row>
        <row r="3392">
          <cell r="C3392" t="str">
            <v>Lihat lampiran.</v>
          </cell>
        </row>
        <row r="3401">
          <cell r="J3401" t="str">
            <v>Berlanjut ke hal. berikut.</v>
          </cell>
        </row>
        <row r="3402">
          <cell r="A3402" t="str">
            <v>ITEM PEMBAYARAN NO.</v>
          </cell>
          <cell r="D3402" t="str">
            <v>: 5.5.(3)</v>
          </cell>
          <cell r="J3402" t="str">
            <v>Analisa EI-718</v>
          </cell>
        </row>
        <row r="3403">
          <cell r="A3403" t="str">
            <v>JENIS PEKERJAAN</v>
          </cell>
          <cell r="D3403" t="str">
            <v>: Pekerjaan LPAS Kelas C</v>
          </cell>
        </row>
        <row r="3404">
          <cell r="A3404" t="str">
            <v>SATUAN PEMBAYARAN</v>
          </cell>
          <cell r="D3404" t="str">
            <v>:  M3</v>
          </cell>
          <cell r="H3404" t="str">
            <v xml:space="preserve">        URAIAN ANALISA HARGA SATUAN</v>
          </cell>
        </row>
        <row r="3405">
          <cell r="J3405" t="str">
            <v>Lanjutan</v>
          </cell>
        </row>
        <row r="3407">
          <cell r="A3407" t="str">
            <v>No.</v>
          </cell>
          <cell r="C3407" t="str">
            <v>U R A I A N</v>
          </cell>
          <cell r="G3407" t="str">
            <v>KODE</v>
          </cell>
          <cell r="H3407" t="str">
            <v>KOEF.</v>
          </cell>
          <cell r="I3407" t="str">
            <v>SATUAN</v>
          </cell>
          <cell r="J3407" t="str">
            <v>KETERANGAN</v>
          </cell>
        </row>
        <row r="3410">
          <cell r="A3410" t="str">
            <v>5.</v>
          </cell>
          <cell r="C3410" t="str">
            <v>ANALISA HARGA SATUAN PEKERJAAN</v>
          </cell>
        </row>
        <row r="3411">
          <cell r="C3411" t="str">
            <v>Lihat perhitungan dalam FORMULIR STANDAR UNTUK</v>
          </cell>
        </row>
        <row r="3412">
          <cell r="C3412" t="str">
            <v>PEREKEMAN ANALISA MASING-MASING HARGA</v>
          </cell>
        </row>
        <row r="3413">
          <cell r="C3413" t="str">
            <v>SATUAN.</v>
          </cell>
        </row>
        <row r="3414">
          <cell r="C3414" t="str">
            <v>Didapat Harga Satuan Pekerjaan :</v>
          </cell>
        </row>
        <row r="3416">
          <cell r="C3416" t="str">
            <v xml:space="preserve">Rp.  </v>
          </cell>
          <cell r="D3416">
            <v>634714.46174467704</v>
          </cell>
          <cell r="E3416" t="str">
            <v xml:space="preserve"> / M3</v>
          </cell>
        </row>
        <row r="3419">
          <cell r="A3419" t="str">
            <v>6.</v>
          </cell>
          <cell r="C3419" t="str">
            <v>MASA PELAKSANAAN YANG DIPERLUKAN</v>
          </cell>
        </row>
        <row r="3420">
          <cell r="C3420" t="str">
            <v>Masa Pelaksanaan :</v>
          </cell>
          <cell r="D3420" t="str">
            <v>. . . . . . . . . . . .</v>
          </cell>
        </row>
        <row r="3422">
          <cell r="A3422" t="str">
            <v>7.</v>
          </cell>
          <cell r="C3422" t="str">
            <v>VOLUME PEKERJAAN YANG DIPERLUKAN</v>
          </cell>
        </row>
        <row r="3423">
          <cell r="C3423" t="str">
            <v>Volume pekerjaan  :</v>
          </cell>
          <cell r="D3423">
            <v>1</v>
          </cell>
          <cell r="E3423" t="str">
            <v>M3</v>
          </cell>
        </row>
        <row r="3463">
          <cell r="A3463" t="str">
            <v>ITEM  PEMBAYARAN</v>
          </cell>
          <cell r="D3463" t="str">
            <v xml:space="preserve">:  5.7 (1) </v>
          </cell>
          <cell r="J3463" t="str">
            <v>Analisa EI-7171</v>
          </cell>
        </row>
        <row r="3464">
          <cell r="A3464" t="str">
            <v>JENIS PEKERJAAN</v>
          </cell>
          <cell r="D3464" t="str">
            <v>: Wet  Lean Concrete (Tebal 10 cm)</v>
          </cell>
        </row>
        <row r="3465">
          <cell r="A3465" t="str">
            <v xml:space="preserve">SATUAN                                          </v>
          </cell>
          <cell r="E3465" t="str">
            <v>: M2</v>
          </cell>
        </row>
        <row r="3469">
          <cell r="A3469" t="str">
            <v>UNIT PERHITUNGAN :</v>
          </cell>
          <cell r="D3469">
            <v>100</v>
          </cell>
          <cell r="E3469" t="str">
            <v>M3</v>
          </cell>
          <cell r="G3469" t="str">
            <v xml:space="preserve">        URAIAN ANALISA HARGA SATUAN</v>
          </cell>
        </row>
        <row r="3471">
          <cell r="A3471" t="str">
            <v>No.</v>
          </cell>
          <cell r="C3471" t="str">
            <v>U R A I A N</v>
          </cell>
          <cell r="G3471" t="str">
            <v>KODE</v>
          </cell>
          <cell r="H3471" t="str">
            <v>KOEF.</v>
          </cell>
          <cell r="I3471" t="str">
            <v>SATUAN</v>
          </cell>
          <cell r="J3471" t="str">
            <v>KETERANGAN</v>
          </cell>
        </row>
        <row r="3474">
          <cell r="A3474" t="str">
            <v>I.</v>
          </cell>
          <cell r="C3474" t="str">
            <v>ASUMSI</v>
          </cell>
        </row>
        <row r="3475">
          <cell r="A3475">
            <v>1</v>
          </cell>
          <cell r="C3475" t="str">
            <v xml:space="preserve">Menggunakan cara mekanik  </v>
          </cell>
        </row>
        <row r="3476">
          <cell r="A3476">
            <v>2</v>
          </cell>
          <cell r="C3476" t="str">
            <v>Tebal   Lean Concrete  =</v>
          </cell>
          <cell r="H3476">
            <v>10</v>
          </cell>
          <cell r="I3476" t="str">
            <v>CM</v>
          </cell>
        </row>
        <row r="3477">
          <cell r="A3477">
            <v>3</v>
          </cell>
          <cell r="C3477" t="str">
            <v>Beton  ready mix  diterima  di lokasi  pekerjaan</v>
          </cell>
        </row>
        <row r="3478">
          <cell r="A3478">
            <v>4</v>
          </cell>
          <cell r="C3478" t="str">
            <v>Jam kerja efektif per-hari</v>
          </cell>
          <cell r="G3478" t="str">
            <v>Tk</v>
          </cell>
          <cell r="H3478">
            <v>7</v>
          </cell>
          <cell r="I3478" t="str">
            <v>jam</v>
          </cell>
        </row>
        <row r="3479">
          <cell r="A3479">
            <v>5</v>
          </cell>
          <cell r="C3479" t="str">
            <v>Harga ready mix franco lokasi/ proyek</v>
          </cell>
          <cell r="G3479" t="str">
            <v xml:space="preserve"> </v>
          </cell>
          <cell r="H3479" t="str">
            <v xml:space="preserve"> </v>
          </cell>
          <cell r="I3479" t="str">
            <v xml:space="preserve"> </v>
          </cell>
        </row>
        <row r="3480">
          <cell r="C3480" t="str">
            <v xml:space="preserve"> </v>
          </cell>
        </row>
        <row r="3481">
          <cell r="C3481" t="str">
            <v xml:space="preserve"> </v>
          </cell>
        </row>
        <row r="3482">
          <cell r="A3482" t="str">
            <v xml:space="preserve"> </v>
          </cell>
        </row>
        <row r="3484">
          <cell r="A3484" t="str">
            <v>II.</v>
          </cell>
          <cell r="C3484" t="str">
            <v>URUTAN KERJA</v>
          </cell>
        </row>
        <row r="3485">
          <cell r="A3485">
            <v>1</v>
          </cell>
          <cell r="C3485" t="str">
            <v>Mal /bekisting/form work  dipersiapkan sesuai dengan</v>
          </cell>
        </row>
        <row r="3486">
          <cell r="C3486" t="str">
            <v>gambar dan persyaratan</v>
          </cell>
        </row>
        <row r="3487">
          <cell r="A3487">
            <v>2</v>
          </cell>
          <cell r="C3487" t="str">
            <v>Beton di-cor ke dalam mal yang telah disiapkan</v>
          </cell>
        </row>
        <row r="3488">
          <cell r="A3488">
            <v>3</v>
          </cell>
          <cell r="C3488" t="str">
            <v xml:space="preserve">Penghamparan dan perataan dilakukan dengan </v>
          </cell>
        </row>
        <row r="3489">
          <cell r="C3489" t="str">
            <v>dengan memakai alat Slip Form Paver</v>
          </cell>
        </row>
        <row r="3490">
          <cell r="A3490" t="str">
            <v xml:space="preserve"> </v>
          </cell>
        </row>
        <row r="3491">
          <cell r="A3491" t="str">
            <v>III.</v>
          </cell>
          <cell r="C3491" t="str">
            <v>PEMAKAIAN BAHAN, ALAT DAN TENAGA</v>
          </cell>
        </row>
        <row r="3493">
          <cell r="A3493">
            <v>1</v>
          </cell>
          <cell r="C3493" t="str">
            <v>BAHAN</v>
          </cell>
        </row>
        <row r="3494">
          <cell r="A3494" t="str">
            <v>1.a.</v>
          </cell>
          <cell r="C3494" t="str">
            <v>Beton  K-125 Ready mix =  100  * 1.05</v>
          </cell>
          <cell r="H3494">
            <v>105</v>
          </cell>
          <cell r="I3494" t="str">
            <v>M3</v>
          </cell>
        </row>
        <row r="3495">
          <cell r="C3495" t="str">
            <v>Volume  Beton  per M2 = 0,1*1 =</v>
          </cell>
          <cell r="E3495" t="str">
            <v>0,1  M3</v>
          </cell>
        </row>
        <row r="3496">
          <cell r="A3496" t="str">
            <v>b</v>
          </cell>
          <cell r="C3496" t="str">
            <v>Form Work</v>
          </cell>
          <cell r="D3496" t="str">
            <v>= 0.1*100</v>
          </cell>
          <cell r="H3496">
            <v>20</v>
          </cell>
          <cell r="I3496" t="str">
            <v>M2</v>
          </cell>
        </row>
        <row r="3498">
          <cell r="A3498" t="str">
            <v>2.</v>
          </cell>
          <cell r="C3498" t="str">
            <v>ALAT</v>
          </cell>
        </row>
        <row r="3499">
          <cell r="A3499" t="str">
            <v>2.a.</v>
          </cell>
          <cell r="C3499" t="str">
            <v>EXCAVATOR</v>
          </cell>
          <cell r="G3499" t="str">
            <v>(E10)</v>
          </cell>
        </row>
        <row r="3500">
          <cell r="C3500" t="str">
            <v>Kapasitas Bucket</v>
          </cell>
          <cell r="G3500" t="str">
            <v>V</v>
          </cell>
          <cell r="H3500">
            <v>0.93</v>
          </cell>
          <cell r="I3500" t="str">
            <v>M3</v>
          </cell>
        </row>
        <row r="3501">
          <cell r="C3501" t="str">
            <v>Faktor Bucket</v>
          </cell>
          <cell r="G3501" t="str">
            <v>Fb</v>
          </cell>
          <cell r="H3501">
            <v>1</v>
          </cell>
          <cell r="I3501" t="str">
            <v>-</v>
          </cell>
        </row>
        <row r="3502">
          <cell r="C3502" t="str">
            <v>Faktor  Efisiensi alat</v>
          </cell>
          <cell r="G3502" t="str">
            <v>Fa</v>
          </cell>
          <cell r="H3502">
            <v>0.83</v>
          </cell>
          <cell r="I3502" t="str">
            <v>-</v>
          </cell>
        </row>
        <row r="3503">
          <cell r="C3503" t="str">
            <v>Faktor Konversi</v>
          </cell>
          <cell r="G3503" t="str">
            <v>Fv</v>
          </cell>
          <cell r="H3503">
            <v>0.9</v>
          </cell>
        </row>
        <row r="3505">
          <cell r="C3505" t="str">
            <v>Waktu siklus</v>
          </cell>
          <cell r="G3505" t="str">
            <v>Ts1</v>
          </cell>
        </row>
        <row r="3506">
          <cell r="C3506" t="str">
            <v>- Menggali,  memuat dan berputar</v>
          </cell>
          <cell r="G3506" t="str">
            <v>T1</v>
          </cell>
          <cell r="H3506">
            <v>0.317</v>
          </cell>
          <cell r="I3506" t="str">
            <v>menit</v>
          </cell>
        </row>
        <row r="3507">
          <cell r="C3507" t="str">
            <v>- Lain-lain</v>
          </cell>
          <cell r="G3507" t="str">
            <v>T2</v>
          </cell>
          <cell r="H3507">
            <v>0.5</v>
          </cell>
          <cell r="I3507" t="str">
            <v>menit</v>
          </cell>
        </row>
        <row r="3508">
          <cell r="G3508" t="str">
            <v>Ts1</v>
          </cell>
          <cell r="H3508">
            <v>0.81699999999999995</v>
          </cell>
          <cell r="I3508" t="str">
            <v>menit</v>
          </cell>
        </row>
        <row r="3510">
          <cell r="C3510" t="str">
            <v>Kap. Prod. / jam =</v>
          </cell>
          <cell r="D3510" t="str">
            <v>V  x Fb x Fa x Fv x  60</v>
          </cell>
          <cell r="G3510" t="str">
            <v>Q1</v>
          </cell>
          <cell r="H3510">
            <v>5.1019094247246022</v>
          </cell>
          <cell r="I3510" t="str">
            <v xml:space="preserve">M3  </v>
          </cell>
        </row>
        <row r="3511">
          <cell r="D3511" t="str">
            <v>Ts1 x Fk</v>
          </cell>
        </row>
        <row r="3513">
          <cell r="C3513" t="str">
            <v>Koefisien Alat / M3</v>
          </cell>
          <cell r="D3513" t="str">
            <v xml:space="preserve"> =  1  :  Q1</v>
          </cell>
          <cell r="G3513" t="str">
            <v>-</v>
          </cell>
          <cell r="H3513">
            <v>0.19600504766977109</v>
          </cell>
          <cell r="I3513" t="str">
            <v>Jam</v>
          </cell>
        </row>
        <row r="3517">
          <cell r="A3517" t="str">
            <v>2.b.</v>
          </cell>
          <cell r="C3517" t="str">
            <v>SLIP FORM PAVER</v>
          </cell>
        </row>
        <row r="3522">
          <cell r="A3522" t="str">
            <v>2.c.</v>
          </cell>
          <cell r="C3522" t="str">
            <v>CONCRETE VIBRATOR</v>
          </cell>
          <cell r="G3522" t="str">
            <v>(E20)</v>
          </cell>
        </row>
        <row r="3523">
          <cell r="C3523" t="str">
            <v>Kebutuhan Alat Penggetar Beton ini disesuaikan dengan</v>
          </cell>
        </row>
        <row r="3524">
          <cell r="C3524" t="str">
            <v>kapasitas produksi Concrete  Pump</v>
          </cell>
        </row>
        <row r="3525">
          <cell r="C3525" t="str">
            <v>Kap. Prod. / jam  =</v>
          </cell>
          <cell r="G3525" t="str">
            <v>Q3</v>
          </cell>
          <cell r="H3525">
            <v>10</v>
          </cell>
          <cell r="I3525" t="str">
            <v>M3</v>
          </cell>
          <cell r="J3525" t="str">
            <v>Cek Kap prod</v>
          </cell>
        </row>
        <row r="3526">
          <cell r="C3526" t="str">
            <v xml:space="preserve">Kebutuhan utk </v>
          </cell>
          <cell r="D3526">
            <v>100</v>
          </cell>
          <cell r="E3526" t="str">
            <v>M3</v>
          </cell>
          <cell r="G3526" t="str">
            <v>(E20)</v>
          </cell>
          <cell r="H3526">
            <v>10.5</v>
          </cell>
          <cell r="I3526" t="str">
            <v>jam</v>
          </cell>
        </row>
        <row r="3528">
          <cell r="A3528" t="str">
            <v>2.c.</v>
          </cell>
          <cell r="C3528" t="str">
            <v>ALAT BANTU</v>
          </cell>
        </row>
        <row r="3529">
          <cell r="C3529" t="str">
            <v>Diperlukan  :</v>
          </cell>
        </row>
        <row r="3530">
          <cell r="C3530" t="str">
            <v>- Sekop</v>
          </cell>
          <cell r="D3530" t="str">
            <v>=  2  buah</v>
          </cell>
        </row>
        <row r="3531">
          <cell r="C3531" t="str">
            <v>- Pacul</v>
          </cell>
          <cell r="D3531" t="str">
            <v>=  2  buah</v>
          </cell>
        </row>
        <row r="3532">
          <cell r="C3532" t="str">
            <v>Dan lain-lain</v>
          </cell>
        </row>
        <row r="3534">
          <cell r="A3534" t="str">
            <v>3.</v>
          </cell>
          <cell r="C3534" t="str">
            <v>TENAGA</v>
          </cell>
        </row>
        <row r="3535">
          <cell r="C3535" t="str">
            <v xml:space="preserve">Kebutuhan utk </v>
          </cell>
          <cell r="D3535">
            <v>100</v>
          </cell>
          <cell r="E3535" t="str">
            <v>M3</v>
          </cell>
        </row>
        <row r="3536">
          <cell r="C3536" t="str">
            <v>- Pengawas</v>
          </cell>
          <cell r="E3536" t="str">
            <v xml:space="preserve"> </v>
          </cell>
          <cell r="G3536" t="str">
            <v>Pg</v>
          </cell>
          <cell r="H3536">
            <v>7</v>
          </cell>
          <cell r="I3536" t="str">
            <v>hour</v>
          </cell>
        </row>
        <row r="3537">
          <cell r="C3537" t="str">
            <v>- Mandor</v>
          </cell>
          <cell r="E3537" t="str">
            <v>= 1 orang hari</v>
          </cell>
          <cell r="G3537" t="str">
            <v>M</v>
          </cell>
          <cell r="H3537">
            <v>21</v>
          </cell>
          <cell r="I3537" t="str">
            <v>hour</v>
          </cell>
        </row>
        <row r="3538">
          <cell r="C3538" t="str">
            <v>- Tukang/ Tenaga  trampil</v>
          </cell>
          <cell r="E3538" t="str">
            <v xml:space="preserve"> </v>
          </cell>
          <cell r="G3538" t="str">
            <v>Tb</v>
          </cell>
          <cell r="H3538">
            <v>35</v>
          </cell>
          <cell r="I3538" t="str">
            <v>hour</v>
          </cell>
        </row>
        <row r="3539">
          <cell r="C3539" t="str">
            <v>- Pekerja</v>
          </cell>
          <cell r="E3539" t="str">
            <v>= 2 orang hari</v>
          </cell>
          <cell r="G3539" t="str">
            <v>P</v>
          </cell>
          <cell r="H3539">
            <v>49</v>
          </cell>
          <cell r="I3539" t="str">
            <v>hour</v>
          </cell>
        </row>
        <row r="3542">
          <cell r="C3542" t="str">
            <v>DOMINAN: Slip Form Paver</v>
          </cell>
        </row>
        <row r="3553">
          <cell r="A3553" t="str">
            <v>ITEM  PEMBAYARAN</v>
          </cell>
          <cell r="E3553" t="str">
            <v xml:space="preserve">:  5.7 (1) </v>
          </cell>
          <cell r="J3553" t="str">
            <v>Analisa EI-7171</v>
          </cell>
        </row>
        <row r="3554">
          <cell r="A3554" t="str">
            <v>JENIS PEKERJAAN</v>
          </cell>
          <cell r="E3554" t="str">
            <v>: Wet  Lean Concrete (Tebal 10 cm)</v>
          </cell>
        </row>
        <row r="3555">
          <cell r="A3555" t="str">
            <v xml:space="preserve">SATUAN                                          </v>
          </cell>
          <cell r="E3555" t="str">
            <v>: M3</v>
          </cell>
        </row>
        <row r="3558">
          <cell r="A3558" t="str">
            <v>UNIT PERHITUNGAN :</v>
          </cell>
          <cell r="D3558">
            <v>100</v>
          </cell>
          <cell r="E3558" t="str">
            <v>M3</v>
          </cell>
          <cell r="G3558" t="str">
            <v xml:space="preserve">        URAIAN ANALISA HARGA SATUAN</v>
          </cell>
        </row>
        <row r="3560">
          <cell r="A3560" t="str">
            <v>4.</v>
          </cell>
          <cell r="C3560" t="str">
            <v>HARGA DASAR SATUAN UPAH, BAHAN DAN ALAT</v>
          </cell>
        </row>
        <row r="3561">
          <cell r="C3561" t="str">
            <v>Lihat lampiran.</v>
          </cell>
        </row>
        <row r="3563">
          <cell r="A3563" t="str">
            <v>5.</v>
          </cell>
          <cell r="C3563" t="str">
            <v>ANALISA HARGA SATUAN PEKERJAAN</v>
          </cell>
        </row>
        <row r="3564">
          <cell r="C3564" t="str">
            <v>Lihat perhitungan dalam FORMULIR STANDAR UNTUK</v>
          </cell>
        </row>
        <row r="3565">
          <cell r="C3565" t="str">
            <v>PEREKEMAN ANALISA MASING-MASING HARGA</v>
          </cell>
        </row>
        <row r="3566">
          <cell r="C3566" t="str">
            <v>SATUAN.</v>
          </cell>
        </row>
        <row r="3567">
          <cell r="C3567" t="str">
            <v>Didapat Harga Satuan Pekerjaan :</v>
          </cell>
        </row>
        <row r="3569">
          <cell r="C3569" t="str">
            <v xml:space="preserve">Rp.  </v>
          </cell>
          <cell r="D3569">
            <v>56726.178538879387</v>
          </cell>
          <cell r="E3569" t="str">
            <v xml:space="preserve"> / M2</v>
          </cell>
        </row>
        <row r="3572">
          <cell r="A3572" t="str">
            <v>6.</v>
          </cell>
          <cell r="C3572" t="str">
            <v>WAKTU PELAKSANAAN YANG DIPERLUKAN</v>
          </cell>
        </row>
        <row r="3573">
          <cell r="C3573" t="str">
            <v>Masa Pelaksanaan :</v>
          </cell>
          <cell r="D3573" t="str">
            <v>. . . . . . . . . . . .</v>
          </cell>
          <cell r="E3573" t="str">
            <v>bulan</v>
          </cell>
        </row>
        <row r="3575">
          <cell r="A3575" t="str">
            <v>7.</v>
          </cell>
          <cell r="C3575" t="str">
            <v>VOLUME PEKERJAAN YANG DIPERLUKAN</v>
          </cell>
        </row>
        <row r="3576">
          <cell r="C3576" t="str">
            <v>Volume pekerjaan  :</v>
          </cell>
          <cell r="D3576">
            <v>1</v>
          </cell>
          <cell r="E3576" t="str">
            <v>M2</v>
          </cell>
        </row>
        <row r="3582">
          <cell r="A3582" t="str">
            <v>ITEM PEMBAYARAN NO.</v>
          </cell>
          <cell r="D3582" t="str">
            <v>:  5.7 (2)</v>
          </cell>
          <cell r="J3582" t="str">
            <v>Analisa EI-511</v>
          </cell>
        </row>
        <row r="3583">
          <cell r="A3583" t="str">
            <v>JENIS PEKERJAAN</v>
          </cell>
          <cell r="D3583" t="str">
            <v>: Sand Bedding (t=5 cm)</v>
          </cell>
        </row>
        <row r="3584">
          <cell r="A3584" t="str">
            <v>SATUAN PEMBAYARAN</v>
          </cell>
          <cell r="D3584" t="str">
            <v>:  M2</v>
          </cell>
          <cell r="H3584" t="str">
            <v xml:space="preserve">         URAIAN ANALISA HARGA SATUAN</v>
          </cell>
        </row>
        <row r="3587">
          <cell r="A3587" t="str">
            <v>No.</v>
          </cell>
          <cell r="C3587" t="str">
            <v>U R A I A N</v>
          </cell>
          <cell r="G3587" t="str">
            <v>KODE</v>
          </cell>
          <cell r="H3587" t="str">
            <v>KOEF.</v>
          </cell>
          <cell r="I3587" t="str">
            <v>SATUAN</v>
          </cell>
          <cell r="J3587" t="str">
            <v>KETERANGAN</v>
          </cell>
        </row>
        <row r="3590">
          <cell r="A3590" t="str">
            <v>I.</v>
          </cell>
          <cell r="C3590" t="str">
            <v>ASUMSI</v>
          </cell>
        </row>
        <row r="3591">
          <cell r="A3591">
            <v>1</v>
          </cell>
          <cell r="C3591" t="str">
            <v>Pekerjaan dilakukan secara mekanis</v>
          </cell>
        </row>
        <row r="3592">
          <cell r="A3592">
            <v>2</v>
          </cell>
          <cell r="C3592" t="str">
            <v>Lokasi pekerjaan : sepanjang jalan</v>
          </cell>
        </row>
        <row r="3593">
          <cell r="A3593">
            <v>3</v>
          </cell>
          <cell r="C3593" t="str">
            <v>Kondisi Jalan   :  sedang / baik</v>
          </cell>
        </row>
        <row r="3594">
          <cell r="A3594">
            <v>4</v>
          </cell>
          <cell r="C3594" t="str">
            <v>Jam kerja efektif per-hari</v>
          </cell>
          <cell r="G3594" t="str">
            <v>Tk</v>
          </cell>
          <cell r="H3594">
            <v>7</v>
          </cell>
          <cell r="I3594" t="str">
            <v>Jam</v>
          </cell>
        </row>
        <row r="3595">
          <cell r="A3595">
            <v>5</v>
          </cell>
          <cell r="C3595" t="str">
            <v>Faktor pengembangan bahan</v>
          </cell>
          <cell r="G3595" t="str">
            <v>Fk</v>
          </cell>
          <cell r="H3595">
            <v>1.17</v>
          </cell>
          <cell r="I3595" t="str">
            <v>-</v>
          </cell>
        </row>
        <row r="3596">
          <cell r="A3596">
            <v>6</v>
          </cell>
          <cell r="C3596" t="str">
            <v>Tebal hamparan padat</v>
          </cell>
          <cell r="G3596" t="str">
            <v>t</v>
          </cell>
          <cell r="H3596">
            <v>0.05</v>
          </cell>
          <cell r="I3596" t="str">
            <v>M</v>
          </cell>
        </row>
        <row r="3598">
          <cell r="A3598" t="str">
            <v>II.</v>
          </cell>
          <cell r="C3598" t="str">
            <v>URUTAN KERJA</v>
          </cell>
        </row>
        <row r="3599">
          <cell r="A3599">
            <v>1</v>
          </cell>
          <cell r="C3599" t="str">
            <v>Wheel Loader memuat ke dalam Dump Truck</v>
          </cell>
        </row>
        <row r="3600">
          <cell r="A3600">
            <v>2</v>
          </cell>
          <cell r="C3600" t="str">
            <v>Dump Truck mengangkut ke lapangan dengan jarak</v>
          </cell>
        </row>
        <row r="3601">
          <cell r="C3601" t="str">
            <v>quari ke lapangan</v>
          </cell>
          <cell r="G3601" t="str">
            <v>L</v>
          </cell>
          <cell r="H3601">
            <v>80.61</v>
          </cell>
          <cell r="I3601" t="str">
            <v>Km</v>
          </cell>
        </row>
        <row r="3602">
          <cell r="A3602">
            <v>3</v>
          </cell>
          <cell r="C3602" t="str">
            <v>Material dihampar dengan menggunakan Motor Grader</v>
          </cell>
        </row>
        <row r="3603">
          <cell r="A3603">
            <v>4</v>
          </cell>
          <cell r="C3603" t="str">
            <v>Hamparan material disiram air dengan Watertank Truck</v>
          </cell>
        </row>
        <row r="3604">
          <cell r="C3604" t="str">
            <v>(sebelum pelaksanaan pemadatan) dan dipadatkan</v>
          </cell>
        </row>
        <row r="3605">
          <cell r="C3605" t="str">
            <v>dengan menggunakan Tandem Roller</v>
          </cell>
        </row>
        <row r="3606">
          <cell r="A3606">
            <v>5</v>
          </cell>
          <cell r="C3606" t="str">
            <v>Selama pemadatan sekelompok pekerja  akan</v>
          </cell>
        </row>
        <row r="3607">
          <cell r="C3607" t="str">
            <v>merapikan tepi hamparan dan level permukaan</v>
          </cell>
        </row>
        <row r="3608">
          <cell r="C3608" t="str">
            <v>dengan menggunakan alat bantu</v>
          </cell>
        </row>
        <row r="3610">
          <cell r="A3610" t="str">
            <v>III.</v>
          </cell>
          <cell r="C3610" t="str">
            <v>PEMAKAIAN BAHAN, ALAT DAN TENAGA</v>
          </cell>
        </row>
        <row r="3611">
          <cell r="A3611" t="str">
            <v xml:space="preserve">   1.</v>
          </cell>
          <cell r="C3611" t="str">
            <v>BAHAN</v>
          </cell>
        </row>
      </sheetData>
      <sheetData sheetId="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7.1. (btn1)"/>
      <sheetName val="3-DIV7.2.gel "/>
      <sheetName val="3-DIV7.3.bj"/>
      <sheetName val="3-DIV7.1"/>
      <sheetName val="3-DIV7.2"/>
      <sheetName val="3-DIV7.kerb"/>
      <sheetName val="3-DIV7.2.(btn2)"/>
      <sheetName val="3-DIV7.4-5"/>
      <sheetName val="3-DIV7.6"/>
      <sheetName val="3-DIV7.11-14"/>
      <sheetName val="3-DIV7.15"/>
      <sheetName val="3-DIV7.16"/>
      <sheetName val="3-DIV7.17&amp;18"/>
      <sheetName val="Diafragma"/>
      <sheetName val="3-DIV8"/>
      <sheetName val="3-DIV9"/>
      <sheetName val="3-DIV10 LS-Rutin"/>
      <sheetName val="3-DIV10 Kuantitas"/>
      <sheetName val="3-DIV11.3-4"/>
      <sheetName val="3-DIV10 Analisa HSP"/>
      <sheetName val="SPESIFIKASI"/>
      <sheetName val="4-Basic Price"/>
      <sheetName val="4-formulir harga bahan"/>
      <sheetName val="4-Analisa Quarry"/>
      <sheetName val="5-Peralatan"/>
      <sheetName val="5-Peralatan (2)"/>
      <sheetName val="6-Agregat Halus &amp; Kasar"/>
      <sheetName val="6-Agregat Kelas A"/>
      <sheetName val="6-Agregat Kelas B"/>
      <sheetName val="6-Agregat Kelas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row r="12">
          <cell r="AW12">
            <v>114117.68984684566</v>
          </cell>
        </row>
        <row r="15">
          <cell r="AW15">
            <v>143907.60983292255</v>
          </cell>
        </row>
      </sheetData>
      <sheetData sheetId="39" refreshError="1"/>
      <sheetData sheetId="40" refreshError="1"/>
      <sheetData sheetId="41" refreshError="1"/>
      <sheetData sheetId="42" refreshError="1"/>
      <sheetData sheetId="4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DIV11.1-2"/>
      <sheetName val="3-DIV11.3-4"/>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7.1. (btn1)"/>
      <sheetName val="3-DIV7.1.(btn2)"/>
      <sheetName val="3-DIV7.2.gel "/>
      <sheetName val="3-DIV7.3.bj"/>
      <sheetName val="3-DIV7.1"/>
      <sheetName val="3-DIV7.2"/>
      <sheetName val="3-DIV7.kerb"/>
      <sheetName val="3-DIV7.4-5"/>
      <sheetName val="3-DIV7.6"/>
      <sheetName val="3-DIV7.7-10"/>
      <sheetName val="3-DIV7.11-14"/>
      <sheetName val="3-DIV7.15"/>
      <sheetName val="3-DIV7.16"/>
      <sheetName val="3-DIV7.17&amp;18"/>
      <sheetName val="3-DIV8 (new)"/>
      <sheetName val="3-DIV8"/>
      <sheetName val="3-DIV9"/>
      <sheetName val="3-DIV10 LS-Rutin"/>
      <sheetName val="3-DIV10 Kuantitas"/>
      <sheetName val="3-DIV10 Analisa HSP"/>
      <sheetName val="3-DIV11.1-3"/>
      <sheetName val="3-DIV11.4"/>
      <sheetName val="SPESIFIKASI"/>
      <sheetName val="4-Basic Price"/>
      <sheetName val="4-formulir harga bahan"/>
      <sheetName val="4-Analisa Quarry"/>
      <sheetName val="5-Peralatan"/>
      <sheetName val="5-Peralatan (2)"/>
      <sheetName val="6-Agregat Halus &amp; Kasar"/>
      <sheetName val="6-Agregat Kelas A"/>
      <sheetName val="6-Agregat Kelas B"/>
      <sheetName val="6-Agregat Kelas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row r="8">
          <cell r="F8">
            <v>2857.14</v>
          </cell>
        </row>
        <row r="10">
          <cell r="F10">
            <v>4285.71</v>
          </cell>
        </row>
        <row r="12">
          <cell r="F12">
            <v>3214.29</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sheetName val="BOQ"/>
      <sheetName val="BOQPUSJAL"/>
      <sheetName val="MAJOR"/>
      <sheetName val="%"/>
      <sheetName val="Informasi"/>
      <sheetName val="Peta Quarry"/>
      <sheetName val="Mobilisasi"/>
      <sheetName val="Perhitungan Mobilisasi Alat"/>
      <sheetName val="Lalu Lintas"/>
      <sheetName val="Jembatan Sementara"/>
      <sheetName val="D2"/>
      <sheetName val="D3"/>
      <sheetName val="D4"/>
      <sheetName val="D5"/>
      <sheetName val="D6"/>
      <sheetName val="D6 ASBT"/>
      <sheetName val="D7(1)"/>
      <sheetName val="D7(2)"/>
      <sheetName val="Sheet1"/>
      <sheetName val="D8"/>
      <sheetName val="D9"/>
      <sheetName val="D8(2)"/>
      <sheetName val="D10 LS-Rutin"/>
      <sheetName val="D10 Kuantitas"/>
      <sheetName val="D10 Analisa HSP"/>
      <sheetName val="4-Basic Price"/>
      <sheetName val="4-formulir harga bahan"/>
      <sheetName val="4-Analisa Quarry"/>
      <sheetName val="5-ALAT(1)"/>
      <sheetName val="5-ALAT (2)"/>
      <sheetName val="Agg Halus &amp; Kasar"/>
      <sheetName val="Agg A"/>
      <sheetName val="Agg B"/>
      <sheetName val="Agg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7.1. (btn)"/>
      <sheetName val="3-DIV7.2.gel "/>
      <sheetName val="3-DIV7.3.bj"/>
      <sheetName val="3-DIV7.1"/>
      <sheetName val="3-DIV7.2"/>
      <sheetName val="3-DIV7.kerb"/>
      <sheetName val="3-DIV7.2.(drf)"/>
      <sheetName val="3-DIV7.4-5"/>
      <sheetName val="3-DIV7.6"/>
      <sheetName val="3-DIV7.11-14"/>
      <sheetName val="3-DIV7.15"/>
      <sheetName val="3-DIV7.16"/>
      <sheetName val="3-DIV7.17&amp;18"/>
      <sheetName val="Diafragma"/>
      <sheetName val="3-DIV8"/>
      <sheetName val="3-DIV9"/>
      <sheetName val="3-DIV10 LS-Rutin"/>
      <sheetName val="3-DIV10 Kuantitas"/>
      <sheetName val="3-DIV11.1-3"/>
      <sheetName val="3-DIV11.4"/>
      <sheetName val="3-DIV10 Analisa HSP"/>
      <sheetName val="SPESIFIKASI"/>
      <sheetName val="4-Basic Price"/>
      <sheetName val="4-formulir harga bahan"/>
      <sheetName val="4-Analisa Quarry"/>
      <sheetName val="5-Peralatan"/>
      <sheetName val="5-Peralatan (2)"/>
      <sheetName val="6-Agregat Halus &amp; Kasar"/>
      <sheetName val="6-Agregat Kelas A"/>
      <sheetName val="6-Agregat Kelas B"/>
      <sheetName val="6-Agregat Kelas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t"/>
      <sheetName val="Hanggar"/>
      <sheetName val="Area"/>
      <sheetName val="Rekap"/>
      <sheetName val="ANALISA"/>
      <sheetName val="DAFTAR UPAH DAN BAHAN"/>
      <sheetName val="JADWAL PELAKSANAAN"/>
    </sheetNames>
    <sheetDataSet>
      <sheetData sheetId="0" refreshError="1"/>
      <sheetData sheetId="1" refreshError="1"/>
      <sheetData sheetId="2"/>
      <sheetData sheetId="3"/>
      <sheetData sheetId="4">
        <row r="89">
          <cell r="K89">
            <v>753918.25</v>
          </cell>
        </row>
        <row r="101">
          <cell r="K101">
            <v>563175</v>
          </cell>
        </row>
        <row r="119">
          <cell r="K119">
            <v>12078</v>
          </cell>
        </row>
        <row r="128">
          <cell r="K128">
            <v>11553</v>
          </cell>
        </row>
      </sheetData>
      <sheetData sheetId="5">
        <row r="17">
          <cell r="F17">
            <v>110000</v>
          </cell>
        </row>
        <row r="18">
          <cell r="F18">
            <v>100000</v>
          </cell>
        </row>
        <row r="19">
          <cell r="F19">
            <v>85000</v>
          </cell>
        </row>
        <row r="21">
          <cell r="F21">
            <v>125000</v>
          </cell>
        </row>
        <row r="45">
          <cell r="F45">
            <v>10500</v>
          </cell>
        </row>
        <row r="46">
          <cell r="F46">
            <v>10000</v>
          </cell>
        </row>
        <row r="47">
          <cell r="F47">
            <v>18500</v>
          </cell>
        </row>
        <row r="48">
          <cell r="F48">
            <v>18500</v>
          </cell>
        </row>
        <row r="77">
          <cell r="F77">
            <v>55000</v>
          </cell>
        </row>
        <row r="79">
          <cell r="F79">
            <v>45000</v>
          </cell>
        </row>
      </sheetData>
      <sheetData sheetId="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hitungan"/>
      <sheetName val="atap tpi"/>
      <sheetName val="kawsan"/>
      <sheetName val="revetment"/>
      <sheetName val="turap"/>
      <sheetName val="TPI"/>
      <sheetName val="tandon atas"/>
      <sheetName val="GUDANG ES BARU"/>
      <sheetName val="gudang es"/>
      <sheetName val="saluran"/>
      <sheetName val="tangga"/>
      <sheetName val="atap gudang es"/>
      <sheetName val="tb. besi"/>
      <sheetName val="tb_ be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t.BKMM"/>
      <sheetName val="tulang"/>
      <sheetName val="anls.tulg"/>
      <sheetName val="Sheet1"/>
      <sheetName val="EST"/>
      <sheetName val="Rekap"/>
      <sheetName val="Rinci"/>
      <sheetName val="ME"/>
      <sheetName val="anls.harga"/>
      <sheetName val="harga"/>
      <sheetName val="huruf"/>
      <sheetName val="hit_BKM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BILL (2)"/>
      <sheetName val="BILL"/>
      <sheetName val="Item1"/>
      <sheetName val="Item2"/>
      <sheetName val="Item4-5"/>
      <sheetName val="Item3"/>
      <sheetName val="Proses"/>
      <sheetName val="Alat DC"/>
      <sheetName val="Item6"/>
      <sheetName val="Item7"/>
      <sheetName val="Item8"/>
      <sheetName val="Item9"/>
      <sheetName val="Item10"/>
      <sheetName val="H.Satuan"/>
      <sheetName val="Jam Al Myr Item"/>
      <sheetName val="Jam Alat"/>
      <sheetName val="Jarak"/>
      <sheetName val="Tim &amp; Loc"/>
      <sheetName val="Gorong-2"/>
      <sheetName val="Pas-batu"/>
      <sheetName val="Ang Qua"/>
      <sheetName val="Franco BC"/>
      <sheetName val="Alat Qua."/>
      <sheetName val="crushing_pro"/>
      <sheetName val="hauling_pro"/>
      <sheetName val="mix_pro"/>
      <sheetName val="spread_pro"/>
      <sheetName val="kapasitas"/>
      <sheetName val="Sum"/>
      <sheetName val="HATSAT-KUDUS"/>
      <sheetName val="H_Satuan"/>
      <sheetName val="DIV2"/>
      <sheetName val="DIV5"/>
      <sheetName val="escon"/>
      <sheetName val="DC AM-02(baru)"/>
      <sheetName val="Cash Flow bulanan"/>
      <sheetName val="FINISHING"/>
      <sheetName val="GIP"/>
      <sheetName val="HM.MEK."/>
      <sheetName val="PVC"/>
      <sheetName val="P.UTMA"/>
      <sheetName val="GV10k"/>
      <sheetName val="KITZ"/>
      <sheetName val="U,Psg.pipa"/>
      <sheetName val="HS.KITZ"/>
      <sheetName val="TE TS FA LAN MATV"/>
      <sheetName val="DivVII"/>
      <sheetName val="Kolom ABCDG vGI"/>
      <sheetName val="AN Tdr"/>
      <sheetName val="bahan+upah"/>
      <sheetName val="4-MVAC"/>
      <sheetName val="Penjumlahan"/>
      <sheetName val="I-KAMAR"/>
      <sheetName val="BQ"/>
      <sheetName val="Harga Material"/>
      <sheetName val="Harga Bahan &amp; Upah "/>
      <sheetName val="Harga Satuan"/>
      <sheetName val="RAB_KL"/>
      <sheetName val="Rekap RAB_Amd"/>
      <sheetName val="RAB_Amd"/>
      <sheetName val="REKAP_Dftr_Kuan_Hrg_Amd"/>
      <sheetName val="Dftr_Kuan_Hrg Amd"/>
      <sheetName val="BAG_2"/>
      <sheetName val="str"/>
      <sheetName val="me"/>
      <sheetName val="struktur tdk dipakai"/>
      <sheetName val="AHS_LAL"/>
      <sheetName val="Currency Rate"/>
      <sheetName val="I_KAMAR"/>
      <sheetName val="AC"/>
      <sheetName val="COMM"/>
      <sheetName val="FINAL"/>
      <sheetName val="대비표"/>
      <sheetName val="LOADDAT"/>
      <sheetName val="BILL_(2)"/>
      <sheetName val="Alat_DC"/>
      <sheetName val="H_Satuan1"/>
      <sheetName val="Jam_Al_Myr_Item"/>
      <sheetName val="Jam_Alat"/>
      <sheetName val="Tim_&amp;_Loc"/>
      <sheetName val="Ang_Qua"/>
      <sheetName val="Franco_BC"/>
      <sheetName val="Alat_Qua_"/>
      <sheetName val="Harsat"/>
      <sheetName val="Analisa_Harga_Satuan"/>
      <sheetName val="TE_TS_FA_LAN_MATV"/>
      <sheetName val="Bangunan_Utama"/>
      <sheetName val="Analisa_2"/>
      <sheetName val="Daftar_Harga"/>
      <sheetName val="Daftar_Upah"/>
      <sheetName val="Material"/>
      <sheetName val="Koefisien"/>
      <sheetName val="Rekap"/>
      <sheetName val="Upah"/>
      <sheetName val="Harga_Satuan"/>
      <sheetName val="satpek"/>
      <sheetName val="Hitung"/>
      <sheetName val="Analisa"/>
      <sheetName val="Rencana Anggaran Biaya"/>
      <sheetName val="MAP2"/>
      <sheetName val="rab"/>
      <sheetName val="61008"/>
      <sheetName val="MAP"/>
      <sheetName val="anal-mpu"/>
      <sheetName val="Bhn"/>
      <sheetName val="D7(1)"/>
      <sheetName val="BOQ"/>
      <sheetName val="5-ALAT(1)"/>
      <sheetName val="4-Basic Price"/>
      <sheetName val="61007"/>
      <sheetName val="dashboard VERSI BATUBARA"/>
      <sheetName val="inves alat"/>
      <sheetName val="Estimate"/>
      <sheetName val="schtng"/>
      <sheetName val="schbhn"/>
      <sheetName val="schalt"/>
      <sheetName val="BAG-2"/>
      <sheetName val="met bab3"/>
      <sheetName val="anal bab8"/>
      <sheetName val="Rumus"/>
      <sheetName val="61006"/>
      <sheetName val="SAP"/>
      <sheetName val="eqp-rek"/>
      <sheetName val="total"/>
      <sheetName val="HARGADASAR"/>
      <sheetName val="Rkp"/>
      <sheetName val="REKAP A BESAR"/>
      <sheetName val="VAC-1"/>
      <sheetName val="304-06"/>
      <sheetName val="95삼성급(본사)"/>
      <sheetName val="Klad Bank BNI"/>
      <sheetName val="Basic Price"/>
      <sheetName val="Kuantitas &amp; Harga"/>
      <sheetName val="Analisa Harga Satuan"/>
      <sheetName val="Perm. Test"/>
      <sheetName val="schedule real"/>
      <sheetName val="HRG BAHAN &amp; UPAH okk"/>
      <sheetName val="Analis Kusen okk"/>
      <sheetName val="표지"/>
      <sheetName val="설비원가"/>
      <sheetName val="grafik"/>
      <sheetName val="A"/>
      <sheetName val="EVAL_INI"/>
      <sheetName val="BA%"/>
      <sheetName val="Resume"/>
      <sheetName val="SPEC"/>
      <sheetName val="SCHEDULE"/>
      <sheetName val="Perhit.Alat"/>
      <sheetName val="Listrik"/>
      <sheetName val="Hydrant - ok"/>
      <sheetName val="Air Conditioning ok"/>
      <sheetName val="Telepon OK"/>
      <sheetName val="gondola ok"/>
      <sheetName val="Lift - ok"/>
      <sheetName val="Plumbing ok"/>
      <sheetName val="STP ok"/>
      <sheetName val=""/>
      <sheetName val="Sheet2"/>
      <sheetName val="analis standar(20m)"/>
      <sheetName val="ANAL BETON"/>
      <sheetName val="Bahan "/>
      <sheetName val="Pekerjaan "/>
      <sheetName val="TJ1Q47"/>
      <sheetName val="LPMING1"/>
      <sheetName val="Rekapitulasi"/>
      <sheetName val="DC_AM-02(baru)"/>
      <sheetName val="HM_MEK_"/>
      <sheetName val="P_UTMA"/>
      <sheetName val="U,Psg_pipa"/>
      <sheetName val="HS_KITZ"/>
      <sheetName val="Cash_Flow_bulanan"/>
      <sheetName val="Kolom_ABCDG_vGI"/>
      <sheetName val="AN_Tdr"/>
      <sheetName val="Currency_Rate"/>
      <sheetName val="Rekap_RAB_Amd"/>
      <sheetName val="Dftr_Kuan_Hrg_Amd"/>
      <sheetName val="Harga_Material"/>
      <sheetName val="Harga_Bahan_&amp;_Upah_"/>
      <sheetName val="Hydrant_-_ok"/>
      <sheetName val="Air_Conditioning_ok"/>
      <sheetName val="Telepon_OK"/>
      <sheetName val="gondola_ok"/>
      <sheetName val="Lift_-_ok"/>
      <sheetName val="Plumbing_ok"/>
      <sheetName val="STP_ok"/>
      <sheetName val="Basic_Price"/>
      <sheetName val="HRG_BAHAN_&amp;_UPAH_okk"/>
      <sheetName val="Analis_Kusen_okk"/>
      <sheetName val="Perhit_Alat"/>
      <sheetName val="Rencana_Anggaran_Biaya"/>
      <sheetName val="inter"/>
      <sheetName val="BQ_IABK"/>
      <sheetName val="An Arsitektur"/>
      <sheetName val="Unit Rate (2)"/>
      <sheetName val="An Struktur"/>
      <sheetName val="chitimc"/>
      <sheetName val="dongia (2)"/>
      <sheetName val="giathanh1"/>
      <sheetName val="THPDMoi  (2)"/>
      <sheetName val="gtrinh"/>
      <sheetName val="phuluc1"/>
      <sheetName val="lam-moi"/>
      <sheetName val="DONGIA"/>
      <sheetName val="TONGKE-HT"/>
      <sheetName val="#REF"/>
      <sheetName val="dtxl"/>
      <sheetName val="CHITIET VL-NC-TT -1p"/>
      <sheetName val="t-h HA THE"/>
      <sheetName val="TH XL"/>
      <sheetName val="thao-go"/>
      <sheetName val="VC"/>
      <sheetName val="KPVC-BD "/>
      <sheetName val="BQ-IABK"/>
      <sheetName val="ana_str"/>
      <sheetName val="Hargamat"/>
      <sheetName val="Particular Sch"/>
      <sheetName val="CH"/>
      <sheetName val="Ptjwb_Keu"/>
      <sheetName val="LEMBAR1"/>
      <sheetName val="DAF-5"/>
      <sheetName val="LEMBAR2"/>
      <sheetName val="LEMBAR3"/>
      <sheetName val="DAF-4"/>
      <sheetName val="Statprod gab"/>
      <sheetName val="2-Genset print"/>
      <sheetName val="LKVL-CK-HT-GD1"/>
      <sheetName val="TONG HOP VL-NC"/>
      <sheetName val="chitiet"/>
      <sheetName val="TONGKE3p "/>
      <sheetName val="TH VL, NC, DDHT Thanhphuoc"/>
      <sheetName val="DON GIA"/>
      <sheetName val="DG"/>
      <sheetName val="TONG HOP VL-NC TT"/>
      <sheetName val="TNHCHINH"/>
      <sheetName val="CHITIET VL-NC"/>
      <sheetName val="Tiepdia"/>
      <sheetName val="CHITIET VL-NC-TT-3p"/>
      <sheetName val="TDTKP"/>
      <sheetName val="TDTKP1"/>
      <sheetName val="VCV-BE-TONG"/>
      <sheetName val="BAHAN"/>
      <sheetName val="SATUAN"/>
      <sheetName val="bahan-mos"/>
      <sheetName val="ELEMEN"/>
      <sheetName val="Isolasi Luar Dalam"/>
      <sheetName val="Isolasi Luar"/>
      <sheetName val="Engine"/>
      <sheetName val="umum"/>
      <sheetName val="PB_B_"/>
      <sheetName val="Summary"/>
      <sheetName val="Quantity"/>
      <sheetName val="B"/>
      <sheetName val="BERAT TUL."/>
      <sheetName val="Bill rekap"/>
      <sheetName val="SLNK"/>
      <sheetName val="rek det 1-3"/>
      <sheetName val="PRY01-1(2)"/>
      <sheetName val="Analisa "/>
      <sheetName val="BQ Utama "/>
      <sheetName val="Upah "/>
      <sheetName val="harga bahan"/>
      <sheetName val="Up &amp; bhn"/>
      <sheetName val="Agregat Halus &amp; Kasar"/>
      <sheetName val="SCD-S"/>
      <sheetName val="Koordinat"/>
      <sheetName val="Steel-Twr"/>
      <sheetName val="HVAC"/>
      <sheetName val="ELECTRICAL"/>
      <sheetName val="B.O.Q"/>
      <sheetName val="ANSAT"/>
      <sheetName val="BAHAN SNI"/>
      <sheetName val="sch1"/>
      <sheetName val="Hargamaterial"/>
      <sheetName val="skejul"/>
      <sheetName val="harga dasar"/>
      <sheetName val="FKT_PJK"/>
      <sheetName val="FAK"/>
      <sheetName val="Master 1.0"/>
      <sheetName val="BQ-Str"/>
      <sheetName val="Har Sat"/>
      <sheetName val="Harga Mat "/>
      <sheetName val="Panel"/>
      <sheetName val="G KELAS"/>
      <sheetName val="REKAP STRKTR"/>
      <sheetName val="REKAP ARSITEKTUR"/>
      <sheetName val="UPAH &amp; BAHAN "/>
      <sheetName val="304_06"/>
      <sheetName val="name"/>
      <sheetName val="Fill this out first___"/>
      <sheetName val="HB "/>
      <sheetName val="Allowance"/>
      <sheetName val="SPJ"/>
      <sheetName val="Gaji"/>
      <sheetName val="DATA PROYEK"/>
      <sheetName val="HD Alat"/>
      <sheetName val="HD Bahan"/>
      <sheetName val="PRD 01-3"/>
      <sheetName val="HD Upah"/>
      <sheetName val="ANTEK-1"/>
      <sheetName val="rincian"/>
      <sheetName val="ORET2AN"/>
      <sheetName val="SAT_BHN"/>
      <sheetName val="SAT-BHN"/>
      <sheetName val="BasicPrice"/>
      <sheetName val="HARGA"/>
      <sheetName val="Schedule 11a"/>
      <sheetName val="Data"/>
      <sheetName val="Temporary"/>
      <sheetName val="Septick tank"/>
      <sheetName val="Subkon"/>
      <sheetName val="plumbing"/>
      <sheetName val="DIV 7"/>
      <sheetName val="kurva S (detail)"/>
      <sheetName val="SDM"/>
      <sheetName val="NP"/>
      <sheetName val="GR"/>
      <sheetName val="anal Lamp 4a"/>
      <sheetName val="Sumber Daya"/>
      <sheetName val="BOQ INTERN"/>
      <sheetName val="ANALYS EXTERN"/>
      <sheetName val="WELCOME"/>
      <sheetName val="BQ RESO"/>
      <sheetName val="REKAP INDIRECT"/>
      <sheetName val="CASH FLOW"/>
      <sheetName val="ORGANIZATION"/>
      <sheetName val="MATRIX"/>
      <sheetName val="SUMMARY IN"/>
      <sheetName val="PriceList"/>
      <sheetName val="Project Data"/>
      <sheetName val="Confidential PAS HMI"/>
      <sheetName val="Z"/>
      <sheetName val="Cash2"/>
      <sheetName val="Rekap 2002 mod"/>
      <sheetName val="sept"/>
      <sheetName val="R"/>
      <sheetName val="RPP01 6"/>
      <sheetName val="SAT"/>
      <sheetName val="Str BT"/>
      <sheetName val="PC"/>
      <sheetName val="HS"/>
      <sheetName val="DB"/>
      <sheetName val="RAB-01"/>
      <sheetName val="BAG-III"/>
      <sheetName val="TOWN"/>
      <sheetName val="URAIAN "/>
      <sheetName val="LS-Rutin"/>
      <sheetName val="Anal"/>
      <sheetName val="RAB-NEGO"/>
      <sheetName val="BAG_III"/>
      <sheetName val="Analisa SNI"/>
      <sheetName val="anal SNI"/>
      <sheetName val="Bahan+Upah ALL"/>
      <sheetName val="DAF.HRG"/>
      <sheetName val="Biaya OVH"/>
      <sheetName val="On Time"/>
      <sheetName val="Curup"/>
      <sheetName val="Prabu"/>
      <sheetName val="PESANTREN"/>
      <sheetName val="G"/>
      <sheetName val="Bill of Qty"/>
      <sheetName val="pro ra op"/>
      <sheetName val="project"/>
      <sheetName val="Daftar BOQ"/>
      <sheetName val="Reference"/>
      <sheetName val="FIN"/>
      <sheetName val="Illustrative Value"/>
      <sheetName val="Facilities"/>
      <sheetName val="Stock Price Performance"/>
      <sheetName val="LBO S&amp;U &amp; Cap Table"/>
      <sheetName val="LBO Model"/>
      <sheetName val="Firm Value"/>
      <sheetName val="EPS Analysis"/>
      <sheetName val="ROI Analysis"/>
      <sheetName val="Synergy Analysis"/>
      <sheetName val="BILL_(2)1"/>
      <sheetName val="Alat_DC1"/>
      <sheetName val="H_Satuan2"/>
      <sheetName val="Jam_Al_Myr_Item1"/>
      <sheetName val="Jam_Alat1"/>
      <sheetName val="Tim_&amp;_Loc1"/>
      <sheetName val="Ang_Qua1"/>
      <sheetName val="Franco_BC1"/>
      <sheetName val="Alat_Qua_1"/>
      <sheetName val="DC_AM-02(baru)1"/>
      <sheetName val="Cash_Flow_bulanan1"/>
      <sheetName val="HM_MEK_1"/>
      <sheetName val="P_UTMA1"/>
      <sheetName val="U,Psg_pipa1"/>
      <sheetName val="HS_KITZ1"/>
      <sheetName val="Currency_Rate1"/>
      <sheetName val="Rekap_RAB_Amd1"/>
      <sheetName val="Dftr_Kuan_Hrg_Amd1"/>
      <sheetName val="Harga_Material1"/>
      <sheetName val="Harga_Bahan_&amp;_Upah_1"/>
      <sheetName val="Harga_Satuan1"/>
      <sheetName val="Statprod_gab"/>
      <sheetName val="TE_TS_FA_LAN_MATV1"/>
      <sheetName val="Kolom_ABCDG_vGI1"/>
      <sheetName val="AN_Tdr1"/>
      <sheetName val="2-Genset_print"/>
      <sheetName val="struktur_tdk_dipakai"/>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Rencana_Anggaran_Biaya1"/>
      <sheetName val="4-Basic_Price"/>
      <sheetName val="dashboard_VERSI_BATUBARA"/>
      <sheetName val="inves_alat"/>
      <sheetName val="met_bab3"/>
      <sheetName val="anal_bab8"/>
      <sheetName val="REKAP_A_BESAR"/>
      <sheetName val="Klad_Bank_BNI"/>
      <sheetName val="Kuantitas_&amp;_Harga"/>
      <sheetName val="Isolasi_Luar_Dalam"/>
      <sheetName val="Isolasi_Luar"/>
      <sheetName val="Basic_Price1"/>
      <sheetName val="HRG_BAHAN_&amp;_UPAH_okk1"/>
      <sheetName val="Analis_Kusen_okk1"/>
      <sheetName val="Perhit_Alat1"/>
      <sheetName val="Hydrant_-_ok1"/>
      <sheetName val="Air_Conditioning_ok1"/>
      <sheetName val="Telepon_OK1"/>
      <sheetName val="gondola_ok1"/>
      <sheetName val="Lift_-_ok1"/>
      <sheetName val="Plumbing_ok1"/>
      <sheetName val="STP_ok1"/>
      <sheetName val="Perm__Test"/>
      <sheetName val="An_Arsitektur"/>
      <sheetName val="Unit_Rate_(2)"/>
      <sheetName val="An_Struktur"/>
      <sheetName val="analis_standar(20m)"/>
      <sheetName val="ANAL_BETON"/>
      <sheetName val="Bahan_"/>
      <sheetName val="Pekerjaan_"/>
      <sheetName val="Particular_Sch"/>
      <sheetName val="BERAT_TUL_"/>
      <sheetName val="Bill_rekap"/>
      <sheetName val="Analisa_"/>
      <sheetName val="BQ_Utama_"/>
      <sheetName val="Upah_"/>
      <sheetName val="BILL_(2)2"/>
      <sheetName val="Alat_DC2"/>
      <sheetName val="H_Satuan3"/>
      <sheetName val="Jam_Al_Myr_Item2"/>
      <sheetName val="Jam_Alat2"/>
      <sheetName val="Tim_&amp;_Loc2"/>
      <sheetName val="Ang_Qua2"/>
      <sheetName val="Franco_BC2"/>
      <sheetName val="Alat_Qua_2"/>
      <sheetName val="DC_AM-02(baru)2"/>
      <sheetName val="Cash_Flow_bulanan2"/>
      <sheetName val="HM_MEK_2"/>
      <sheetName val="P_UTMA2"/>
      <sheetName val="U,Psg_pipa2"/>
      <sheetName val="HS_KITZ2"/>
      <sheetName val="Currency_Rate2"/>
      <sheetName val="Rekap_RAB_Amd2"/>
      <sheetName val="Dftr_Kuan_Hrg_Amd2"/>
      <sheetName val="Harga_Material2"/>
      <sheetName val="Harga_Bahan_&amp;_Upah_2"/>
      <sheetName val="Harga_Satuan2"/>
      <sheetName val="Statprod_gab1"/>
      <sheetName val="TE_TS_FA_LAN_MATV2"/>
      <sheetName val="Kolom_ABCDG_vGI2"/>
      <sheetName val="AN_Tdr2"/>
      <sheetName val="2-Genset_print1"/>
      <sheetName val="struktur_tdk_dipakai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Rencana_Anggaran_Biaya2"/>
      <sheetName val="4-Basic_Price1"/>
      <sheetName val="dashboard_VERSI_BATUBARA1"/>
      <sheetName val="inves_alat1"/>
      <sheetName val="met_bab31"/>
      <sheetName val="anal_bab81"/>
      <sheetName val="REKAP_A_BESAR1"/>
      <sheetName val="Klad_Bank_BNI1"/>
      <sheetName val="Kuantitas_&amp;_Harga1"/>
      <sheetName val="Isolasi_Luar_Dalam1"/>
      <sheetName val="Isolasi_Luar1"/>
      <sheetName val="Basic_Price2"/>
      <sheetName val="HRG_BAHAN_&amp;_UPAH_okk2"/>
      <sheetName val="Analis_Kusen_okk2"/>
      <sheetName val="Perhit_Alat2"/>
      <sheetName val="Hydrant_-_ok2"/>
      <sheetName val="Air_Conditioning_ok2"/>
      <sheetName val="Telepon_OK2"/>
      <sheetName val="gondola_ok2"/>
      <sheetName val="Lift_-_ok2"/>
      <sheetName val="Plumbing_ok2"/>
      <sheetName val="STP_ok2"/>
      <sheetName val="Perm__Test1"/>
      <sheetName val="An_Arsitektur1"/>
      <sheetName val="Unit_Rate_(2)1"/>
      <sheetName val="An_Struktur1"/>
      <sheetName val="analis_standar(20m)1"/>
      <sheetName val="ANAL_BETON1"/>
      <sheetName val="Bahan_1"/>
      <sheetName val="Pekerjaan_1"/>
      <sheetName val="Particular_Sch1"/>
      <sheetName val="BERAT_TUL_1"/>
      <sheetName val="Bill_rekap1"/>
      <sheetName val="Analisa_1"/>
      <sheetName val="BQ_Utama_1"/>
      <sheetName val="Upah_1"/>
      <sheetName val="kode Baru "/>
      <sheetName val="PNT"/>
      <sheetName val="analisa Str"/>
      <sheetName val=" "/>
      <sheetName val="Analisa SNI STANDART "/>
      <sheetName val="An_1"/>
      <sheetName val="An_3"/>
      <sheetName val="An_2"/>
      <sheetName val="Data-Masukan"/>
      <sheetName val="SCH"/>
      <sheetName val="BQ-E20-02(Rp)"/>
      <sheetName val="DAF-1"/>
      <sheetName val="DHS AC"/>
      <sheetName val="BILL_(2)3"/>
      <sheetName val="Alat_DC3"/>
      <sheetName val="H_Satuan4"/>
      <sheetName val="Jam_Al_Myr_Item3"/>
      <sheetName val="Jam_Alat3"/>
      <sheetName val="Tim_&amp;_Loc3"/>
      <sheetName val="Ang_Qua3"/>
      <sheetName val="Franco_BC3"/>
      <sheetName val="Alat_Qua_3"/>
      <sheetName val="DC_AM-02(baru)3"/>
      <sheetName val="HM_MEK_3"/>
      <sheetName val="P_UTMA3"/>
      <sheetName val="U,Psg_pipa3"/>
      <sheetName val="HS_KITZ3"/>
      <sheetName val="Cash_Flow_bulanan3"/>
      <sheetName val="Currency_Rate3"/>
      <sheetName val="Rekap_RAB_Amd3"/>
      <sheetName val="Dftr_Kuan_Hrg_Amd3"/>
      <sheetName val="Harga_Material3"/>
      <sheetName val="Harga_Bahan_&amp;_Upah_3"/>
      <sheetName val="Harga_Satuan3"/>
      <sheetName val="TE_TS_FA_LAN_MATV3"/>
      <sheetName val="Kolom_ABCDG_vGI3"/>
      <sheetName val="AN_Tdr3"/>
      <sheetName val="struktur_tdk_dipakai2"/>
      <sheetName val="met_bab32"/>
      <sheetName val="anal_bab82"/>
      <sheetName val="REKAP_A_BESAR2"/>
      <sheetName val="Rencana_Anggaran_Biaya3"/>
      <sheetName val="4-Basic_Price2"/>
      <sheetName val="dashboard_VERSI_BATUBARA2"/>
      <sheetName val="inves_alat2"/>
      <sheetName val="Klad_Bank_BNI2"/>
      <sheetName val="Basic_Price3"/>
      <sheetName val="Kuantitas_&amp;_Harga2"/>
      <sheetName val="Statprod_gab2"/>
      <sheetName val="2-Genset_print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Isolasi_Luar_Dalam2"/>
      <sheetName val="Isolasi_Luar2"/>
      <sheetName val="HRG_BAHAN_&amp;_UPAH_okk3"/>
      <sheetName val="Analis_Kusen_okk3"/>
      <sheetName val="Perhit_Alat3"/>
      <sheetName val="Hydrant_-_ok3"/>
      <sheetName val="Air_Conditioning_ok3"/>
      <sheetName val="Telepon_OK3"/>
      <sheetName val="gondola_ok3"/>
      <sheetName val="Lift_-_ok3"/>
      <sheetName val="Plumbing_ok3"/>
      <sheetName val="STP_ok3"/>
      <sheetName val="Perm__Test2"/>
      <sheetName val="An_Arsitektur2"/>
      <sheetName val="Unit_Rate_(2)2"/>
      <sheetName val="An_Struktur2"/>
      <sheetName val="analis_standar(20m)2"/>
      <sheetName val="ANAL_BETON2"/>
      <sheetName val="BERAT_TUL_2"/>
      <sheetName val="Bahan_2"/>
      <sheetName val="Pekerjaan_2"/>
      <sheetName val="Particular_Sch2"/>
      <sheetName val="Bill_rekap2"/>
      <sheetName val="Analisa_3"/>
      <sheetName val="BQ_Utama_2"/>
      <sheetName val="Upah_2"/>
      <sheetName val="rek_det_1-3"/>
      <sheetName val="DATA_PROYEK"/>
      <sheetName val="HD_Alat"/>
      <sheetName val="HD_Bahan"/>
      <sheetName val="PRD_01-3"/>
      <sheetName val="HD_Upah"/>
      <sheetName val="harga_bahan"/>
      <sheetName val="Up_&amp;_bhn"/>
      <sheetName val="Agregat_Halus_&amp;_Kasar"/>
      <sheetName val="kode_Baru_"/>
      <sheetName val="URAIAN_"/>
      <sheetName val="_"/>
      <sheetName val="Master_1_0"/>
      <sheetName val="Bill_of_Qty"/>
      <sheetName val="Schedule_11a"/>
      <sheetName val="Septick_tank"/>
      <sheetName val="DIV_7"/>
      <sheetName val="On_Time"/>
      <sheetName val="harga_dasar"/>
      <sheetName val="input"/>
      <sheetName val="H S D"/>
      <sheetName val="D8(1)"/>
      <sheetName val="Progress"/>
      <sheetName val="Cth"/>
      <sheetName val="Volume"/>
      <sheetName val="BAJA TUL"/>
      <sheetName val="S.UPAH"/>
      <sheetName val="S.BAHAN"/>
      <sheetName val="EE-PR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ARGA MAT NON STD BLOK A"/>
      <sheetName val="Analis Kusen BLOK A"/>
      <sheetName val="Analis ME BLOK A"/>
      <sheetName val="HRG BAHAN &amp; UPAH BLOK A"/>
      <sheetName val="ANALISA SNI-STD BLOK A"/>
      <sheetName val="REKAP-SNI-BLOK A"/>
      <sheetName val="REKAP TOTAL BLOK A"/>
      <sheetName val="REKAP BLOK A okk "/>
      <sheetName val="TAS 2"/>
      <sheetName val="PEDISTRIAN BLOK A"/>
      <sheetName val="SARANA &amp; PRASARANA BLOK A"/>
      <sheetName val="RKP SARANA &amp; PRASARANA BLOK A"/>
      <sheetName val="REKAP &amp; BAHAN UPAH ME BLOK 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REKAP"/>
      <sheetName val="RAB"/>
      <sheetName val="VOLUME"/>
      <sheetName val="ANALISA"/>
      <sheetName val="HARSAT"/>
      <sheetName val="metode"/>
      <sheetName val="P&amp;L"/>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dl"/>
      <sheetName val="MC 0"/>
      <sheetName val="ADI BARAT"/>
      <sheetName val="ADI TIMUR"/>
      <sheetName val="SARI"/>
      <sheetName val="SEGARAN"/>
      <sheetName val="SID WETAN"/>
      <sheetName val="WEDI"/>
      <sheetName val="LABAN"/>
      <sheetName val="PUTRO AGUNG"/>
      <sheetName val="dayvol adibarat"/>
      <sheetName val="dayvol adiTIMUR"/>
      <sheetName val="dayvol sari"/>
      <sheetName val="dayvol segaran"/>
      <sheetName val="dayvol sidwetan"/>
      <sheetName val="dayvol WEDI"/>
      <sheetName val="dayvol LABAN"/>
      <sheetName val="dayvol Putro Agung"/>
      <sheetName val="1"/>
      <sheetName val="2"/>
      <sheetName val="3"/>
      <sheetName val="4"/>
      <sheetName val="5"/>
      <sheetName val="6"/>
      <sheetName val="7"/>
      <sheetName val="8"/>
      <sheetName val="9"/>
      <sheetName val="10"/>
      <sheetName val="11"/>
      <sheetName val="12"/>
      <sheetName val="13"/>
      <sheetName val="14"/>
      <sheetName val="15"/>
      <sheetName val="16"/>
      <sheetName val="ERET"/>
      <sheetName val="schdl (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467">
          <cell r="N4467">
            <v>0.1</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33">
          <cell r="X33">
            <v>0</v>
          </cell>
          <cell r="Y33">
            <v>1.4399999999999999E-3</v>
          </cell>
          <cell r="Z33">
            <v>5.4000000000000003E-3</v>
          </cell>
          <cell r="AA33">
            <v>1.9539890385062032E-2</v>
          </cell>
          <cell r="AB33">
            <v>7.8716586947467887E-2</v>
          </cell>
          <cell r="AC33">
            <v>0.16126658694746787</v>
          </cell>
          <cell r="AD33">
            <v>0.29122287451034817</v>
          </cell>
          <cell r="AE33">
            <v>0.425283676625895</v>
          </cell>
          <cell r="AF33">
            <v>0.56948684495221757</v>
          </cell>
          <cell r="AG33">
            <v>0.71371684495221754</v>
          </cell>
          <cell r="AH33">
            <v>0.84574684495221764</v>
          </cell>
          <cell r="AI33">
            <v>0.93645684495221759</v>
          </cell>
          <cell r="AJ33">
            <v>0.97976684495221766</v>
          </cell>
          <cell r="AK33">
            <v>0.99340684495221765</v>
          </cell>
          <cell r="AL33">
            <v>0.99680684495221772</v>
          </cell>
          <cell r="AM33">
            <v>1</v>
          </cell>
        </row>
      </sheetData>
      <sheetData sheetId="35"/>
      <sheetData sheetId="36"/>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1"/>
      <sheetName val="daf-2(OK)"/>
      <sheetName val="daf-3(OK)"/>
      <sheetName val="DAF-4OK"/>
      <sheetName val="daf-5OK"/>
      <sheetName val="daf-6OK"/>
      <sheetName val="daf-7(OK)"/>
      <sheetName val="DAF-8"/>
      <sheetName val="daf-9"/>
      <sheetName val="DAF-10"/>
      <sheetName val="DAF-11"/>
      <sheetName val="daf_3_OK_"/>
      <sheetName val="daf_7_OK_"/>
      <sheetName val="_xffff__xffff__xffff__xffff__xffff_"/>
      <sheetName val="Rekap Upah"/>
      <sheetName val="DAF-2"/>
      <sheetName val="plumbing"/>
      <sheetName val="Bill-19"/>
      <sheetName val="sum-bill22"/>
      <sheetName val="An Arsitektur"/>
      <sheetName val="An Struktur"/>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AS'97"/>
      <sheetName val="4-MVAC"/>
      <sheetName val="Ana"/>
      <sheetName val="112-885"/>
      <sheetName val="Anl.+"/>
      <sheetName val="EVALUASI"/>
      <sheetName val="Seratus Lima Puluh Tiga"/>
      <sheetName val="Sheet1"/>
      <sheetName val="DAF-5"/>
      <sheetName val="Cover"/>
      <sheetName val="BAG_2"/>
      <sheetName val="BAG-2"/>
      <sheetName val="Lain2"/>
      <sheetName val="CPar"/>
      <sheetName val="PivotTabel"/>
      <sheetName val="?????"/>
      <sheetName val="AO_UMUM"/>
      <sheetName val="_____"/>
      <sheetName val="ARS"/>
      <sheetName val="Bid Summary"/>
      <sheetName val="I_KAMAR"/>
      <sheetName val="analisa teknis"/>
      <sheetName val="ANALISA PEK.UMUM"/>
      <sheetName val="Sheet2"/>
      <sheetName val="HRG BHN"/>
      <sheetName val="daffin"/>
      <sheetName val="UPAH &amp; BHN ARS"/>
      <sheetName val="AHS ARS"/>
      <sheetName val="tulang"/>
      <sheetName val="hit.BKMM"/>
      <sheetName val="Rekap_Upah"/>
      <sheetName val="An_Arsitektur"/>
      <sheetName val="An_Struktur"/>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DAFTAR HARGA SATUAN MATERIAL"/>
      <sheetName val="DAF_2"/>
      <sheetName val="_x005f_xffff__x005f_xffff__x005f_xffff__x005f_xffff__xf"/>
      <sheetName val="Alat"/>
      <sheetName val="Analisa Gabungan"/>
      <sheetName val="Sub"/>
      <sheetName val="I-KAMAR"/>
      <sheetName val="HSD"/>
      <sheetName val="RAB-SPL2"/>
      <sheetName val="FORM 3A"/>
      <sheetName val="BOW"/>
      <sheetName val="Material"/>
      <sheetName val="Lt 3"/>
      <sheetName val="‎КМ‎ Bosnian (Cyrillic)‎"/>
      <sheetName val="keb-BHN"/>
      <sheetName val="sche"/>
      <sheetName val="TOTAL"/>
      <sheetName val="CAT_HAR"/>
      <sheetName val="SAT-BHN"/>
      <sheetName val="ANALISA_PEK_UMUM"/>
      <sheetName val="Anl_+"/>
      <sheetName val="Seratus_Lima_Puluh_Tiga"/>
      <sheetName val="Bid_Summary"/>
      <sheetName val="analisa_teknis"/>
      <sheetName val="Analisa"/>
      <sheetName val="DAFTAR 7"/>
      <sheetName val="DAF_1"/>
      <sheetName val="DAFTAR_8"/>
      <sheetName val="34"/>
      <sheetName val="35"/>
      <sheetName val="27"/>
      <sheetName val="46"/>
      <sheetName val="4"/>
      <sheetName val="33"/>
      <sheetName val="9"/>
      <sheetName val="8"/>
      <sheetName val="26"/>
      <sheetName val="42"/>
      <sheetName val="32"/>
      <sheetName val="41"/>
      <sheetName val="31"/>
      <sheetName val="64.6"/>
      <sheetName val="37"/>
      <sheetName val="62"/>
      <sheetName val="7"/>
      <sheetName val="61"/>
      <sheetName val="24"/>
      <sheetName val="43"/>
      <sheetName val="53 "/>
      <sheetName val="54"/>
      <sheetName val="MH CIVIL"/>
      <sheetName val="30"/>
      <sheetName val="64.14"/>
      <sheetName val="64.1"/>
      <sheetName val="64.2"/>
      <sheetName val="64.3"/>
      <sheetName val="64.4"/>
      <sheetName val="64.5"/>
      <sheetName val="17"/>
      <sheetName val="51"/>
      <sheetName val="38"/>
      <sheetName val="52"/>
      <sheetName val="23"/>
      <sheetName val="22"/>
      <sheetName val="20"/>
      <sheetName val="49"/>
      <sheetName val="28"/>
      <sheetName val="29"/>
      <sheetName val="36.3"/>
      <sheetName val="36.4"/>
      <sheetName val="36.2"/>
      <sheetName val="36.1"/>
      <sheetName val="44"/>
      <sheetName val="45"/>
      <sheetName val="63"/>
      <sheetName val="DAF_5"/>
      <sheetName val="DAF_8"/>
      <sheetName val="FINISHING"/>
      <sheetName val="dasboard"/>
      <sheetName val="UNIT PRICE"/>
      <sheetName val="AHS"/>
      <sheetName val="ESCON"/>
      <sheetName val="WBS (2)"/>
      <sheetName val="WBS (3)"/>
      <sheetName val="WBS (0)"/>
      <sheetName val="WBS (1)"/>
      <sheetName val="NP"/>
      <sheetName val="Bahan"/>
      <sheetName val="rumus"/>
      <sheetName val="villa"/>
      <sheetName val="rab"/>
      <sheetName val="ff__x005f_xffff__x005f_xffff__x005f_xffff__x005f_xffff_"/>
      <sheetName val="List material"/>
      <sheetName val="Temporer"/>
      <sheetName val="Sheet5"/>
      <sheetName val="Sch.1"/>
      <sheetName val="Rekap_Upah1"/>
      <sheetName val="An_Arsitektur1"/>
      <sheetName val="An_Struktur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it_BKMM"/>
      <sheetName val="DAFTAR_HARGA_SATUAN_MATERIAL"/>
      <sheetName val="HRG_BHN"/>
      <sheetName val="Analisa_Gabungan"/>
      <sheetName val="FORM_3A"/>
      <sheetName val="UPAH_&amp;_BHN_ARS"/>
      <sheetName val="AHS_ARS"/>
      <sheetName val="str"/>
      <sheetName val="me"/>
      <sheetName val="REVISI (5)-30-"/>
      <sheetName val="AC"/>
      <sheetName val="Pipe"/>
      <sheetName val="B - Norelec"/>
      <sheetName val="A"/>
      <sheetName val="Hsatbahan"/>
      <sheetName val="Plat"/>
      <sheetName val="???? Bosnian (Cyrillic)?"/>
      <sheetName val="Plumbing &amp; Fire"/>
      <sheetName val="AGG A"/>
      <sheetName val="AGG B"/>
      <sheetName val="DAFTAR BAHAN"/>
      <sheetName val="DAFTAR ALAT"/>
      <sheetName val="ATBL"/>
      <sheetName val="DAFTAR UPAH"/>
      <sheetName val="REKAP"/>
      <sheetName val="MARKA"/>
      <sheetName val="PAS. BATU"/>
      <sheetName val="PRIME COAT"/>
      <sheetName val="TACK COAT"/>
      <sheetName val="URUKAN"/>
      <sheetName val="An_Arsitekt@Á"/>
      <sheetName val="____ Bosnian (Cyrillic)_"/>
      <sheetName val="Rate"/>
      <sheetName val="Basic Price"/>
      <sheetName val="PANELKAST"/>
      <sheetName val="tgp-02"/>
      <sheetName val="HARGA ALAT"/>
      <sheetName val="HARGA SATUAN"/>
      <sheetName val="MAPP"/>
      <sheetName val="rek det 1-3"/>
      <sheetName val="TE TS FA LAN MATV"/>
      <sheetName val="Parts list (060411)"/>
      <sheetName val="HB "/>
      <sheetName val="BQ 2.3 PODIUM"/>
      <sheetName val="RAB ELEKTRIKAL 1A "/>
      <sheetName val="RAB MEKANIKAL 1A"/>
      <sheetName val="REKAP RAB"/>
      <sheetName val="RAB DIESEL GENSET 1A"/>
      <sheetName val="Harga Dasar"/>
      <sheetName val="4-Basic Price"/>
      <sheetName val="divI"/>
      <sheetName val="divII"/>
      <sheetName val="HS Bhn&amp;Upah"/>
      <sheetName val="Beton"/>
      <sheetName val="Aspal (2)"/>
      <sheetName val="Relok-PJU"/>
      <sheetName val="Analisa 2"/>
      <sheetName val="pel  rut bahu jln mat"/>
      <sheetName val="LUMPSUM"/>
      <sheetName val="CATATAN HARGA (Int)"/>
      <sheetName val="Cover Daft 2"/>
      <sheetName val="DAFTAR NO.1"/>
      <sheetName val="DAF 2"/>
      <sheetName val="DAF-3"/>
      <sheetName val="SAP"/>
      <sheetName val="Panel,feeder,elek"/>
      <sheetName val="LIST"/>
      <sheetName val="304_06"/>
      <sheetName val="An_ åÍ_x000a_B_x0000__x0000__x0000_"/>
      <sheetName val="DATA"/>
      <sheetName val="UPAH"/>
      <sheetName val="DAF_3"/>
      <sheetName val="An_ åÍ_x000a_B???"/>
      <sheetName val="VAC-1"/>
      <sheetName val="Grand summary"/>
      <sheetName val="CE ars"/>
      <sheetName val="Anal. Pancang"/>
      <sheetName val="Cirya"/>
      <sheetName val="An_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refreshError="1"/>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alisa"/>
      <sheetName val="anls.beton"/>
      <sheetName val="upah"/>
      <sheetName val="harga"/>
      <sheetName val="Kuantitas &amp; Harga"/>
      <sheetName val="Peralatan"/>
      <sheetName val="4-Basic Price"/>
      <sheetName val="D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KH"/>
      <sheetName val="ANALISA"/>
      <sheetName val="PERALATAN"/>
      <sheetName val="HARGA UPAH"/>
      <sheetName val="DATA PEELENGKAPAN"/>
      <sheetName val="DATA PERSONIL"/>
      <sheetName val="KURVA S"/>
      <sheetName val="Sheet1"/>
      <sheetName val="H-BHN"/>
      <sheetName val="A-BANTU"/>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ERAT TUL."/>
      <sheetName val="note"/>
      <sheetName val="rekap"/>
      <sheetName val="sloof"/>
      <sheetName val="klm strktr"/>
      <sheetName val="blk lntng"/>
      <sheetName val="blk pnjng"/>
      <sheetName val="blk anak"/>
      <sheetName val="plat"/>
      <sheetName val="anlstul"/>
      <sheetName val="Tangga"/>
      <sheetName val="PRECAST"/>
      <sheetName val="klm_strktr"/>
      <sheetName val="blk_lntng"/>
      <sheetName val="blk_pnjng"/>
      <sheetName val="blk_anak"/>
      <sheetName val="BERAT_TUL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
      <sheetName val="JADWAL"/>
      <sheetName val="RAB 1"/>
      <sheetName val="RAB 2"/>
      <sheetName val="Saluran"/>
      <sheetName val="Analisa"/>
      <sheetName val="Harga Bahan &amp; Upah"/>
    </sheetNames>
    <sheetDataSet>
      <sheetData sheetId="0" refreshError="1"/>
      <sheetData sheetId="1" refreshError="1"/>
      <sheetData sheetId="2" refreshError="1"/>
      <sheetData sheetId="3" refreshError="1">
        <row r="2">
          <cell r="B2" t="str">
            <v>RENCANA ANGGARAN DAN BIAYA</v>
          </cell>
          <cell r="K2" t="str">
            <v>DAFTAR KUANTITAS DAN BIAYA</v>
          </cell>
        </row>
        <row r="4">
          <cell r="B4" t="str">
            <v>NAMA PEKERJAAN :</v>
          </cell>
          <cell r="D4" t="str">
            <v>BANTEK PERSAMPAHAN DAN DRAINASE KOTA PROBOLINGGO</v>
          </cell>
          <cell r="K4" t="str">
            <v>Nomor Paket</v>
          </cell>
          <cell r="M4" t="str">
            <v>: PBL.KSA-1</v>
          </cell>
        </row>
        <row r="5">
          <cell r="B5" t="str">
            <v>NAMA KEGIATAN    :</v>
          </cell>
          <cell r="D5" t="str">
            <v>Pembuatan Kolam Fakultatif</v>
          </cell>
          <cell r="K5" t="str">
            <v>Nama Pekerjaan</v>
          </cell>
          <cell r="M5" t="str">
            <v>: Peningkatan Kinerja TPA Sampah</v>
          </cell>
        </row>
        <row r="6">
          <cell r="B6" t="str">
            <v>L O K A S I  :</v>
          </cell>
          <cell r="D6" t="str">
            <v>KOTA PROBOLINGGO</v>
          </cell>
          <cell r="K6" t="str">
            <v>Satuan Kerja</v>
          </cell>
          <cell r="M6" t="str">
            <v>: Pengembangan Kinerja Pengelolaan Penyehatan Lingkungan Permukiman Jawa Timur</v>
          </cell>
        </row>
        <row r="7">
          <cell r="B7" t="str">
            <v>T A H U N  :</v>
          </cell>
          <cell r="D7">
            <v>2007</v>
          </cell>
          <cell r="K7" t="str">
            <v>Lokasi</v>
          </cell>
          <cell r="M7" t="str">
            <v>: Kota Probolinggo</v>
          </cell>
        </row>
        <row r="8">
          <cell r="K8" t="str">
            <v>Tahun</v>
          </cell>
          <cell r="M8" t="str">
            <v>: 2008</v>
          </cell>
        </row>
        <row r="12">
          <cell r="B12" t="str">
            <v>No.</v>
          </cell>
          <cell r="C12" t="str">
            <v xml:space="preserve">U r a ioa n </v>
          </cell>
          <cell r="E12" t="str">
            <v>Volume</v>
          </cell>
          <cell r="F12" t="str">
            <v>Satuan</v>
          </cell>
          <cell r="G12" t="str">
            <v>Harga Satuan</v>
          </cell>
          <cell r="H12" t="str">
            <v>Jumlah Harga</v>
          </cell>
          <cell r="K12" t="str">
            <v>No.</v>
          </cell>
          <cell r="L12" t="str">
            <v xml:space="preserve">U r a i a n </v>
          </cell>
          <cell r="N12" t="str">
            <v>Volume</v>
          </cell>
          <cell r="O12" t="str">
            <v>Satuan</v>
          </cell>
          <cell r="P12" t="str">
            <v>Harga Satuan</v>
          </cell>
          <cell r="Q12" t="str">
            <v>Jumlah Harga</v>
          </cell>
        </row>
        <row r="14">
          <cell r="L14" t="str">
            <v>Pekerjaan Pemasangan Perlengkapan IPLTL</v>
          </cell>
        </row>
        <row r="16">
          <cell r="K16" t="str">
            <v>1.</v>
          </cell>
          <cell r="L16" t="str">
            <v>Pekerjaanan Instalasi Listrik</v>
          </cell>
        </row>
        <row r="17">
          <cell r="B17" t="str">
            <v>1.</v>
          </cell>
          <cell r="C17" t="str">
            <v>Pembuatan dan Pembongkaran kistdam</v>
          </cell>
          <cell r="L17" t="str">
            <v>Penambahan Daya Listrik PLN</v>
          </cell>
          <cell r="N17">
            <v>15000</v>
          </cell>
          <cell r="O17" t="str">
            <v>VA</v>
          </cell>
          <cell r="P17">
            <v>439</v>
          </cell>
          <cell r="Q17">
            <v>6585000</v>
          </cell>
        </row>
        <row r="18">
          <cell r="C18" t="str">
            <v>Pembuatan dan pembongkaran Kisdam</v>
          </cell>
          <cell r="E18">
            <v>140</v>
          </cell>
          <cell r="F18" t="str">
            <v>m2</v>
          </cell>
          <cell r="G18">
            <v>96970</v>
          </cell>
          <cell r="H18">
            <v>13575800</v>
          </cell>
          <cell r="L18" t="str">
            <v>Pemasangan Kabel Twisted 2 x 16 mm</v>
          </cell>
          <cell r="N18">
            <v>230</v>
          </cell>
          <cell r="O18" t="str">
            <v>mtr</v>
          </cell>
          <cell r="P18">
            <v>14775</v>
          </cell>
          <cell r="Q18">
            <v>3398250</v>
          </cell>
        </row>
        <row r="19">
          <cell r="C19" t="str">
            <v>Pengeringan</v>
          </cell>
          <cell r="E19">
            <v>1</v>
          </cell>
          <cell r="F19" t="str">
            <v>Ls</v>
          </cell>
          <cell r="G19">
            <v>37243.5</v>
          </cell>
          <cell r="H19">
            <v>37243.5</v>
          </cell>
          <cell r="L19" t="str">
            <v>Pengadaan panel + 3 phase 15000 VA</v>
          </cell>
          <cell r="N19">
            <v>1</v>
          </cell>
          <cell r="O19" t="str">
            <v>bh</v>
          </cell>
          <cell r="P19">
            <v>7500000</v>
          </cell>
          <cell r="Q19">
            <v>7500000</v>
          </cell>
        </row>
        <row r="21">
          <cell r="B21" t="str">
            <v>2.</v>
          </cell>
          <cell r="C21" t="str">
            <v>Pekerjaan Tanah</v>
          </cell>
          <cell r="K21" t="str">
            <v>2.</v>
          </cell>
          <cell r="L21" t="str">
            <v>Pekerjaan M &amp; E</v>
          </cell>
        </row>
        <row r="22">
          <cell r="C22" t="str">
            <v>Galian Tanah</v>
          </cell>
          <cell r="E22">
            <v>506.86</v>
          </cell>
          <cell r="F22" t="str">
            <v>m3</v>
          </cell>
          <cell r="G22">
            <v>20153</v>
          </cell>
          <cell r="H22">
            <v>10214749.58</v>
          </cell>
          <cell r="L22" t="str">
            <v>Pengadaan dan pemasangan pompa lumpur</v>
          </cell>
        </row>
        <row r="23">
          <cell r="C23" t="str">
            <v>Galian tanah dibuang keluar lokasi</v>
          </cell>
          <cell r="E23">
            <v>506.86</v>
          </cell>
          <cell r="F23" t="str">
            <v>m3</v>
          </cell>
          <cell r="G23">
            <v>9970</v>
          </cell>
          <cell r="H23">
            <v>5053394.2</v>
          </cell>
          <cell r="L23" t="str">
            <v>portable Q 10 l/det H 10 m</v>
          </cell>
          <cell r="N23">
            <v>1</v>
          </cell>
          <cell r="O23" t="str">
            <v>unit</v>
          </cell>
          <cell r="P23">
            <v>75000000</v>
          </cell>
          <cell r="Q23">
            <v>75000000</v>
          </cell>
        </row>
        <row r="24">
          <cell r="C24" t="str">
            <v>Urugan Tanah Kembali dipadatkan</v>
          </cell>
          <cell r="E24">
            <v>144.80000000000001</v>
          </cell>
          <cell r="F24" t="str">
            <v>m3</v>
          </cell>
          <cell r="G24">
            <v>25912</v>
          </cell>
          <cell r="H24">
            <v>3752057.6</v>
          </cell>
          <cell r="L24" t="str">
            <v xml:space="preserve">Panel listrik pompa lengkap kabel </v>
          </cell>
        </row>
        <row r="25">
          <cell r="C25" t="str">
            <v>Urugan Tanah dipadatkan</v>
          </cell>
          <cell r="E25">
            <v>15.84</v>
          </cell>
          <cell r="F25" t="str">
            <v>m3</v>
          </cell>
          <cell r="G25">
            <v>61650</v>
          </cell>
          <cell r="H25">
            <v>976536</v>
          </cell>
          <cell r="L25" t="str">
            <v>4 x 16 mm2 = 100 m</v>
          </cell>
          <cell r="N25">
            <v>1</v>
          </cell>
          <cell r="O25" t="str">
            <v>unit</v>
          </cell>
          <cell r="P25">
            <v>15000000</v>
          </cell>
          <cell r="Q25">
            <v>15000000</v>
          </cell>
        </row>
        <row r="27">
          <cell r="B27" t="str">
            <v>3.</v>
          </cell>
          <cell r="C27" t="str">
            <v>Pekerjaan Beton</v>
          </cell>
          <cell r="K27">
            <v>3</v>
          </cell>
          <cell r="L27" t="str">
            <v>Perpipaan</v>
          </cell>
        </row>
        <row r="28">
          <cell r="C28" t="str">
            <v>Beton bertulang K-225 Plat pondasi tebal =</v>
          </cell>
          <cell r="E28">
            <v>17</v>
          </cell>
          <cell r="F28" t="str">
            <v>m3</v>
          </cell>
          <cell r="G28">
            <v>2060905.78</v>
          </cell>
          <cell r="H28">
            <v>35035398.259999998</v>
          </cell>
          <cell r="L28" t="str">
            <v>Pipa PVC dia 4" (S12,5)</v>
          </cell>
          <cell r="N28">
            <v>30</v>
          </cell>
          <cell r="O28" t="str">
            <v>mtr</v>
          </cell>
          <cell r="P28">
            <v>84630.5</v>
          </cell>
          <cell r="Q28">
            <v>2538915</v>
          </cell>
        </row>
        <row r="29">
          <cell r="C29" t="str">
            <v>20 cm pembesian 150 kg/m3</v>
          </cell>
          <cell r="L29" t="str">
            <v>Gate valve dia 4"</v>
          </cell>
          <cell r="N29">
            <v>4</v>
          </cell>
          <cell r="O29" t="str">
            <v>buah</v>
          </cell>
          <cell r="P29">
            <v>2500000</v>
          </cell>
          <cell r="Q29">
            <v>10000000</v>
          </cell>
        </row>
        <row r="30">
          <cell r="C30" t="str">
            <v>Beton bertulang K-225 Balok pondasi 35x45</v>
          </cell>
          <cell r="E30">
            <v>6.81</v>
          </cell>
          <cell r="F30" t="str">
            <v>m3</v>
          </cell>
          <cell r="G30">
            <v>2894619.5300000003</v>
          </cell>
          <cell r="H30">
            <v>19712358.999299999</v>
          </cell>
          <cell r="L30" t="str">
            <v>Elbow PVC dia 4" x 90</v>
          </cell>
          <cell r="N30">
            <v>4</v>
          </cell>
          <cell r="O30" t="str">
            <v>buah</v>
          </cell>
          <cell r="P30">
            <v>500000</v>
          </cell>
          <cell r="Q30">
            <v>2000000</v>
          </cell>
        </row>
        <row r="31">
          <cell r="C31" t="str">
            <v>pembesian 259 kg/m3</v>
          </cell>
          <cell r="L31" t="str">
            <v>Flexible pipa dia 4"</v>
          </cell>
          <cell r="N31">
            <v>100</v>
          </cell>
          <cell r="O31" t="str">
            <v>mtr</v>
          </cell>
          <cell r="P31">
            <v>50000</v>
          </cell>
          <cell r="Q31">
            <v>5000000</v>
          </cell>
        </row>
        <row r="32">
          <cell r="C32" t="str">
            <v>Beton bertulang K-225 Dinding tebal = 15 cm</v>
          </cell>
          <cell r="E32">
            <v>18.89</v>
          </cell>
          <cell r="F32" t="str">
            <v>m3</v>
          </cell>
          <cell r="G32">
            <v>3402707.0300000003</v>
          </cell>
          <cell r="H32">
            <v>64277135.796700008</v>
          </cell>
          <cell r="L32" t="str">
            <v>Reducer PVC dia 200 x 100</v>
          </cell>
          <cell r="N32">
            <v>2</v>
          </cell>
          <cell r="O32" t="str">
            <v>buah</v>
          </cell>
          <cell r="P32">
            <v>400000</v>
          </cell>
          <cell r="Q32">
            <v>800000</v>
          </cell>
        </row>
        <row r="33">
          <cell r="C33" t="str">
            <v>pembesian 169 kg/m3</v>
          </cell>
          <cell r="L33" t="str">
            <v>Tee PVC dia 200 x 100</v>
          </cell>
          <cell r="N33">
            <v>1</v>
          </cell>
          <cell r="O33" t="str">
            <v>buah</v>
          </cell>
          <cell r="P33">
            <v>600000</v>
          </cell>
          <cell r="Q33">
            <v>600000</v>
          </cell>
        </row>
        <row r="34">
          <cell r="C34" t="str">
            <v>Beton bertulang K-225 Bak outlet</v>
          </cell>
          <cell r="E34">
            <v>1.7</v>
          </cell>
          <cell r="F34" t="str">
            <v>m3</v>
          </cell>
          <cell r="G34">
            <v>3173244.5300000003</v>
          </cell>
          <cell r="H34">
            <v>5394515.7010000004</v>
          </cell>
          <cell r="L34" t="str">
            <v>Tee PVC dia 100 x 100</v>
          </cell>
          <cell r="N34">
            <v>2</v>
          </cell>
          <cell r="O34" t="str">
            <v>buah</v>
          </cell>
          <cell r="P34">
            <v>250000</v>
          </cell>
          <cell r="Q34">
            <v>500000</v>
          </cell>
        </row>
        <row r="35">
          <cell r="C35" t="str">
            <v>pembesian 139 kg/m3</v>
          </cell>
          <cell r="L35" t="str">
            <v>Flange Socket PVC dia 100</v>
          </cell>
          <cell r="N35">
            <v>8</v>
          </cell>
          <cell r="O35" t="str">
            <v>buah</v>
          </cell>
          <cell r="P35">
            <v>100000</v>
          </cell>
          <cell r="Q35">
            <v>800000</v>
          </cell>
        </row>
        <row r="36">
          <cell r="C36" t="str">
            <v>Beton Tumbuk 1Pc:3 Ps:5 Kr utk lantai kerja</v>
          </cell>
          <cell r="E36">
            <v>7.92</v>
          </cell>
          <cell r="F36" t="str">
            <v>m3</v>
          </cell>
          <cell r="G36">
            <v>474402.58399999997</v>
          </cell>
          <cell r="H36">
            <v>3757268.4652799997</v>
          </cell>
        </row>
        <row r="37">
          <cell r="K37">
            <v>4</v>
          </cell>
          <cell r="L37" t="str">
            <v xml:space="preserve">Pompa air hujan </v>
          </cell>
        </row>
        <row r="38">
          <cell r="B38" t="str">
            <v>4.</v>
          </cell>
          <cell r="C38" t="str">
            <v>Pekerjaan Pondasi</v>
          </cell>
          <cell r="L38" t="str">
            <v>Pompa air hujan portable couple enggine</v>
          </cell>
          <cell r="N38">
            <v>1</v>
          </cell>
          <cell r="O38" t="str">
            <v>unit</v>
          </cell>
          <cell r="P38">
            <v>25000000</v>
          </cell>
          <cell r="Q38">
            <v>25000000</v>
          </cell>
        </row>
        <row r="39">
          <cell r="C39" t="str">
            <v>Urugan sirtu perbaikan tanah dasar</v>
          </cell>
          <cell r="E39">
            <v>477.64275000000004</v>
          </cell>
          <cell r="F39" t="str">
            <v>m3</v>
          </cell>
          <cell r="G39" t="e">
            <v>#REF!</v>
          </cell>
          <cell r="H39" t="e">
            <v>#REF!</v>
          </cell>
          <cell r="L39" t="str">
            <v>lengkap dgn baseframe kapasitas 5 l/dt H = 10 m</v>
          </cell>
        </row>
        <row r="40">
          <cell r="C40" t="str">
            <v>Gedeg guling</v>
          </cell>
          <cell r="E40">
            <v>91.69</v>
          </cell>
          <cell r="F40" t="str">
            <v>m2</v>
          </cell>
          <cell r="G40" t="e">
            <v>#REF!</v>
          </cell>
          <cell r="H40" t="e">
            <v>#REF!</v>
          </cell>
        </row>
        <row r="41">
          <cell r="C41" t="str">
            <v>Trucuk kayu gelam dia 75 mm panjang 4 m</v>
          </cell>
          <cell r="E41">
            <v>0</v>
          </cell>
          <cell r="F41" t="str">
            <v>btg</v>
          </cell>
          <cell r="G41" t="e">
            <v>#REF!</v>
          </cell>
          <cell r="H41" t="e">
            <v>#REF!</v>
          </cell>
          <cell r="K41">
            <v>5</v>
          </cell>
          <cell r="L41" t="str">
            <v>Dudukan Pompa &amp; Derek 1,5 Ton</v>
          </cell>
          <cell r="N41">
            <v>1</v>
          </cell>
          <cell r="O41" t="str">
            <v>Unit</v>
          </cell>
          <cell r="P41">
            <v>5000000</v>
          </cell>
          <cell r="Q41">
            <v>5000000</v>
          </cell>
        </row>
        <row r="42">
          <cell r="C42" t="str">
            <v xml:space="preserve">Pemancangan tiang 25x25 panjang  5.5 m </v>
          </cell>
          <cell r="E42">
            <v>44</v>
          </cell>
          <cell r="F42" t="str">
            <v>ttk</v>
          </cell>
          <cell r="G42">
            <v>66089.743589743593</v>
          </cell>
          <cell r="H42">
            <v>2907948.717948718</v>
          </cell>
        </row>
        <row r="43">
          <cell r="C43" t="str">
            <v>Pembelian tiang pancang K 500 uk 0.25x0.25 panjang 6.5 m sebanyak 40 biji</v>
          </cell>
          <cell r="E43">
            <v>286</v>
          </cell>
          <cell r="F43" t="str">
            <v>m!</v>
          </cell>
          <cell r="G43" t="e">
            <v>#REF!</v>
          </cell>
          <cell r="H43" t="e">
            <v>#REF!</v>
          </cell>
        </row>
        <row r="46">
          <cell r="B46" t="str">
            <v>5.</v>
          </cell>
          <cell r="C46" t="str">
            <v>Pekerjaan  Lain2</v>
          </cell>
        </row>
        <row r="47">
          <cell r="C47" t="str">
            <v>Pemasangan pagar pengaman:</v>
          </cell>
        </row>
        <row r="48">
          <cell r="C48" t="str">
            <v xml:space="preserve"> - Beton struktur K. 225</v>
          </cell>
          <cell r="E48">
            <v>0.56808899999999996</v>
          </cell>
          <cell r="F48" t="str">
            <v>m2</v>
          </cell>
          <cell r="G48" t="e">
            <v>#REF!</v>
          </cell>
          <cell r="H48" t="e">
            <v>#REF!</v>
          </cell>
        </row>
        <row r="49">
          <cell r="C49" t="str">
            <v xml:space="preserve"> - Pipa Galvanish Medium diam. 2.5 "</v>
          </cell>
          <cell r="E49">
            <v>167.7</v>
          </cell>
          <cell r="F49" t="str">
            <v>m2</v>
          </cell>
          <cell r="G49" t="e">
            <v>#REF!</v>
          </cell>
          <cell r="H49" t="e">
            <v>#REF!</v>
          </cell>
        </row>
        <row r="54">
          <cell r="G54" t="str">
            <v>JUMLAH</v>
          </cell>
          <cell r="H54" t="e">
            <v>#REF!</v>
          </cell>
          <cell r="P54" t="str">
            <v>JUMLAH</v>
          </cell>
          <cell r="Q54">
            <v>159722165</v>
          </cell>
        </row>
        <row r="57">
          <cell r="B57" t="str">
            <v>RENCANA ANGGARAN DAN BIAYA</v>
          </cell>
        </row>
        <row r="59">
          <cell r="B59" t="str">
            <v>NAMA PEKERJAAN :</v>
          </cell>
          <cell r="D59" t="str">
            <v>BANTEK PERSAMPAHAN DAN DRAINASE KOTA PROBOLINGGO</v>
          </cell>
        </row>
        <row r="60">
          <cell r="B60" t="str">
            <v>NAMA KEGIATAN    :</v>
          </cell>
          <cell r="D60" t="str">
            <v>Pembuatan Kolam Maturasi dan Indikator</v>
          </cell>
        </row>
        <row r="61">
          <cell r="B61" t="str">
            <v>L O K A S I  :</v>
          </cell>
          <cell r="D61" t="str">
            <v>KOTA PROBOLINGGO</v>
          </cell>
        </row>
        <row r="62">
          <cell r="B62" t="str">
            <v>T A H U N  :</v>
          </cell>
          <cell r="D62">
            <v>2007</v>
          </cell>
        </row>
        <row r="67">
          <cell r="B67" t="str">
            <v>No.</v>
          </cell>
          <cell r="C67" t="str">
            <v xml:space="preserve">U r a ioa n </v>
          </cell>
          <cell r="E67" t="str">
            <v>Volume</v>
          </cell>
          <cell r="F67" t="str">
            <v>Satuan</v>
          </cell>
          <cell r="G67" t="str">
            <v>Harga Satuan</v>
          </cell>
          <cell r="H67" t="str">
            <v>Jumlah Harga</v>
          </cell>
        </row>
        <row r="71">
          <cell r="B71" t="str">
            <v>1.</v>
          </cell>
          <cell r="C71" t="str">
            <v>Pembuatan dan Pembongkaran kistdam</v>
          </cell>
        </row>
        <row r="72">
          <cell r="C72" t="str">
            <v>Pembuatan dan pembongkaran Kisdam</v>
          </cell>
          <cell r="E72">
            <v>35</v>
          </cell>
          <cell r="F72" t="str">
            <v>m2</v>
          </cell>
          <cell r="G72">
            <v>96970</v>
          </cell>
          <cell r="H72">
            <v>3393950</v>
          </cell>
        </row>
        <row r="73">
          <cell r="C73" t="str">
            <v>Pengeringan</v>
          </cell>
          <cell r="E73">
            <v>1</v>
          </cell>
          <cell r="F73" t="str">
            <v>Ls</v>
          </cell>
          <cell r="G73">
            <v>37243.5</v>
          </cell>
          <cell r="H73">
            <v>37243.5</v>
          </cell>
        </row>
        <row r="75">
          <cell r="B75" t="str">
            <v>2.</v>
          </cell>
          <cell r="C75" t="str">
            <v>Pekerjaan tanah</v>
          </cell>
        </row>
        <row r="76">
          <cell r="C76" t="str">
            <v>Galian Tanah</v>
          </cell>
          <cell r="E76">
            <v>391.30785000000003</v>
          </cell>
          <cell r="F76" t="str">
            <v>m3</v>
          </cell>
          <cell r="G76">
            <v>20153</v>
          </cell>
          <cell r="H76">
            <v>7886027.1010500006</v>
          </cell>
        </row>
        <row r="77">
          <cell r="C77" t="str">
            <v>Galian tanah dibuang keluar lokasi</v>
          </cell>
          <cell r="E77">
            <v>391.30785000000003</v>
          </cell>
          <cell r="F77" t="str">
            <v>m3</v>
          </cell>
          <cell r="G77">
            <v>9970</v>
          </cell>
          <cell r="H77">
            <v>3901339.2645000005</v>
          </cell>
        </row>
        <row r="78">
          <cell r="C78" t="str">
            <v>Urugan Tanah Kembali dipadatkan</v>
          </cell>
          <cell r="E78">
            <v>91.6</v>
          </cell>
          <cell r="F78" t="str">
            <v>m3</v>
          </cell>
          <cell r="G78">
            <v>25912</v>
          </cell>
          <cell r="H78">
            <v>2373539.1999999997</v>
          </cell>
        </row>
        <row r="79">
          <cell r="C79" t="str">
            <v>Urugan Pasir</v>
          </cell>
          <cell r="E79">
            <v>4.9800000000000004</v>
          </cell>
          <cell r="F79" t="str">
            <v>m3</v>
          </cell>
          <cell r="G79">
            <v>61650</v>
          </cell>
          <cell r="H79">
            <v>307017</v>
          </cell>
        </row>
        <row r="81">
          <cell r="B81" t="str">
            <v>3.</v>
          </cell>
          <cell r="C81" t="str">
            <v>Pekerjaan Beton</v>
          </cell>
        </row>
        <row r="82">
          <cell r="C82" t="str">
            <v>Beton bertulang K-225 Plat pondasi tebal =</v>
          </cell>
          <cell r="E82">
            <v>6.2</v>
          </cell>
          <cell r="F82" t="str">
            <v>m3</v>
          </cell>
          <cell r="G82">
            <v>2060905.78</v>
          </cell>
          <cell r="H82">
            <v>12777615.836000001</v>
          </cell>
        </row>
        <row r="83">
          <cell r="C83" t="str">
            <v>20 cm pembesian 150 kg/m3</v>
          </cell>
        </row>
        <row r="84">
          <cell r="C84" t="str">
            <v>Beton bertulang K-225 Balok pondasi 30x45</v>
          </cell>
          <cell r="E84">
            <v>2.4900000000000002</v>
          </cell>
          <cell r="F84" t="str">
            <v>m3</v>
          </cell>
          <cell r="G84">
            <v>2848727.0300000003</v>
          </cell>
          <cell r="H84">
            <v>7093330.3047000011</v>
          </cell>
        </row>
        <row r="85">
          <cell r="C85" t="str">
            <v>pembesian 253 kg/m3</v>
          </cell>
        </row>
        <row r="86">
          <cell r="C86" t="str">
            <v>Beton bertulang K-225 Dinding tebal = 15 cm</v>
          </cell>
          <cell r="E86">
            <v>10.88</v>
          </cell>
          <cell r="F86" t="str">
            <v>m3</v>
          </cell>
          <cell r="G86">
            <v>3402707.0300000003</v>
          </cell>
          <cell r="H86">
            <v>37021452.486400008</v>
          </cell>
        </row>
        <row r="87">
          <cell r="C87" t="str">
            <v>pembesian 169 kg/m3</v>
          </cell>
        </row>
        <row r="88">
          <cell r="C88" t="str">
            <v>Beton bertulang K-225 Bak outlet</v>
          </cell>
          <cell r="E88">
            <v>1.77</v>
          </cell>
          <cell r="F88" t="str">
            <v>m3</v>
          </cell>
          <cell r="G88">
            <v>3173244.5300000003</v>
          </cell>
          <cell r="H88">
            <v>5616642.8181000007</v>
          </cell>
        </row>
        <row r="89">
          <cell r="C89" t="str">
            <v>pembesian 139 kg/m3</v>
          </cell>
        </row>
        <row r="90">
          <cell r="C90" t="str">
            <v xml:space="preserve">Beton Tumbuk lantai kerja </v>
          </cell>
          <cell r="E90">
            <v>2.4900000000000002</v>
          </cell>
          <cell r="F90" t="str">
            <v>m3</v>
          </cell>
          <cell r="G90">
            <v>474402.58399999997</v>
          </cell>
          <cell r="H90">
            <v>1181262.4341599999</v>
          </cell>
        </row>
        <row r="92">
          <cell r="B92" t="str">
            <v>4.</v>
          </cell>
          <cell r="C92" t="str">
            <v>Pekerjaan Pondasi</v>
          </cell>
        </row>
        <row r="93">
          <cell r="C93" t="str">
            <v>Urugan sirtu perbaikan tanah dasar</v>
          </cell>
          <cell r="E93">
            <v>299.70785000000001</v>
          </cell>
          <cell r="F93" t="str">
            <v>m3</v>
          </cell>
          <cell r="G93" t="e">
            <v>#REF!</v>
          </cell>
          <cell r="H93" t="e">
            <v>#REF!</v>
          </cell>
        </row>
        <row r="94">
          <cell r="C94" t="str">
            <v>Gedeg guling</v>
          </cell>
          <cell r="E94">
            <v>42.94</v>
          </cell>
          <cell r="F94" t="str">
            <v>m2</v>
          </cell>
          <cell r="G94" t="e">
            <v>#REF!</v>
          </cell>
          <cell r="H94" t="e">
            <v>#REF!</v>
          </cell>
        </row>
        <row r="95">
          <cell r="C95" t="str">
            <v>Trucuk kayu gelam dia 75 mm panjang 4 m</v>
          </cell>
          <cell r="E95">
            <v>0</v>
          </cell>
          <cell r="F95" t="str">
            <v>btg</v>
          </cell>
          <cell r="G95" t="e">
            <v>#REF!</v>
          </cell>
          <cell r="H95" t="e">
            <v>#REF!</v>
          </cell>
        </row>
        <row r="96">
          <cell r="C96" t="str">
            <v>Pemancangan tiang 25x25 panjang  6.5 m</v>
          </cell>
          <cell r="E96">
            <v>24</v>
          </cell>
          <cell r="F96" t="str">
            <v>ttk</v>
          </cell>
          <cell r="G96">
            <v>66089.743589743593</v>
          </cell>
          <cell r="H96">
            <v>1586153.8461538462</v>
          </cell>
        </row>
        <row r="97">
          <cell r="C97" t="str">
            <v>Pembelian tiang pancang K 500 uk .25 x .25 panjang 6,5 m sebanyak 24 biji</v>
          </cell>
          <cell r="E97">
            <v>156</v>
          </cell>
          <cell r="F97" t="str">
            <v>m!</v>
          </cell>
          <cell r="G97" t="e">
            <v>#REF!</v>
          </cell>
          <cell r="H97" t="e">
            <v>#REF!</v>
          </cell>
        </row>
        <row r="100">
          <cell r="B100" t="str">
            <v>5.</v>
          </cell>
          <cell r="C100" t="str">
            <v>Pekerjaan  Lain2</v>
          </cell>
        </row>
        <row r="107">
          <cell r="G107" t="str">
            <v>JUMLAH</v>
          </cell>
          <cell r="H107" t="e">
            <v>#REF!</v>
          </cell>
        </row>
        <row r="110">
          <cell r="B110" t="str">
            <v>RENCANA ANGGARAN DAN BIAYA</v>
          </cell>
        </row>
        <row r="112">
          <cell r="B112" t="str">
            <v>NAMA PEKERJAAN :</v>
          </cell>
          <cell r="D112" t="str">
            <v>BANTEK PERSAMPAHAN DAN DRAINASE KOTA PROBOLINGGO</v>
          </cell>
        </row>
        <row r="113">
          <cell r="B113" t="str">
            <v>NAMA KEGIATAN    :</v>
          </cell>
          <cell r="D113" t="str">
            <v>Pembuatan Bak Sludge Drying Bed</v>
          </cell>
        </row>
        <row r="114">
          <cell r="B114" t="str">
            <v>L O K A S I  :</v>
          </cell>
          <cell r="D114" t="str">
            <v>KOTA PROBOLINGGO</v>
          </cell>
        </row>
        <row r="115">
          <cell r="B115" t="str">
            <v>T A H U N  :</v>
          </cell>
          <cell r="D115">
            <v>2007</v>
          </cell>
        </row>
        <row r="118">
          <cell r="B118" t="str">
            <v>No.</v>
          </cell>
          <cell r="C118" t="str">
            <v xml:space="preserve">U r a ioa n </v>
          </cell>
          <cell r="E118" t="str">
            <v>Volume</v>
          </cell>
          <cell r="F118" t="str">
            <v>Satuan</v>
          </cell>
          <cell r="G118" t="str">
            <v>Harga Satuan</v>
          </cell>
          <cell r="H118" t="str">
            <v>Jumlah Harga</v>
          </cell>
        </row>
        <row r="121">
          <cell r="B121" t="str">
            <v>1.</v>
          </cell>
          <cell r="C121" t="str">
            <v>Pembuatan dan Pembongkaran kistdam</v>
          </cell>
        </row>
        <row r="122">
          <cell r="C122" t="str">
            <v>Pembuatan dan pembongkaran Kisdam</v>
          </cell>
          <cell r="E122">
            <v>35</v>
          </cell>
          <cell r="F122" t="str">
            <v>m2</v>
          </cell>
          <cell r="G122">
            <v>96970</v>
          </cell>
          <cell r="H122">
            <v>3393950</v>
          </cell>
        </row>
        <row r="123">
          <cell r="C123" t="str">
            <v>Pengeringan</v>
          </cell>
          <cell r="E123">
            <v>1</v>
          </cell>
          <cell r="F123" t="str">
            <v>Ls</v>
          </cell>
          <cell r="G123">
            <v>37243.5</v>
          </cell>
          <cell r="H123">
            <v>37243.5</v>
          </cell>
        </row>
        <row r="125">
          <cell r="B125" t="str">
            <v>2.</v>
          </cell>
          <cell r="C125" t="str">
            <v>Pekerjaan tanah</v>
          </cell>
        </row>
        <row r="126">
          <cell r="C126" t="str">
            <v>Galian Tanah</v>
          </cell>
          <cell r="E126">
            <v>769.08480000000009</v>
          </cell>
          <cell r="F126" t="str">
            <v>m3</v>
          </cell>
          <cell r="G126">
            <v>20153</v>
          </cell>
          <cell r="H126">
            <v>15499365.974400003</v>
          </cell>
        </row>
        <row r="127">
          <cell r="C127" t="str">
            <v>Galian tanah dibuang keluar lokasi</v>
          </cell>
          <cell r="E127">
            <v>677.48480000000006</v>
          </cell>
          <cell r="F127" t="str">
            <v>m3</v>
          </cell>
          <cell r="G127">
            <v>9970</v>
          </cell>
          <cell r="H127">
            <v>6754523.4560000002</v>
          </cell>
        </row>
        <row r="128">
          <cell r="C128" t="str">
            <v>Urugan Tanah Kembali dipadatkan</v>
          </cell>
          <cell r="E128">
            <v>91.6</v>
          </cell>
          <cell r="F128" t="str">
            <v>m3</v>
          </cell>
          <cell r="G128">
            <v>25912</v>
          </cell>
          <cell r="H128">
            <v>2373539.1999999997</v>
          </cell>
        </row>
        <row r="130">
          <cell r="C130" t="str">
            <v>Urugan Pasir</v>
          </cell>
          <cell r="E130">
            <v>10.62</v>
          </cell>
          <cell r="F130" t="str">
            <v>m3</v>
          </cell>
          <cell r="G130">
            <v>61650</v>
          </cell>
          <cell r="H130">
            <v>654723</v>
          </cell>
        </row>
        <row r="131">
          <cell r="C131" t="str">
            <v xml:space="preserve">Urugan sirtu tebal rata2= 40 cm </v>
          </cell>
          <cell r="E131">
            <v>39.049999999999997</v>
          </cell>
          <cell r="F131" t="str">
            <v>m3</v>
          </cell>
          <cell r="G131">
            <v>65800</v>
          </cell>
          <cell r="H131">
            <v>2569490</v>
          </cell>
        </row>
        <row r="132">
          <cell r="C132" t="str">
            <v>Media pasir filter</v>
          </cell>
          <cell r="E132">
            <v>20</v>
          </cell>
          <cell r="F132" t="str">
            <v>m3</v>
          </cell>
          <cell r="G132">
            <v>80000</v>
          </cell>
          <cell r="H132">
            <v>1600000</v>
          </cell>
        </row>
        <row r="133">
          <cell r="C133" t="str">
            <v>Media kerikil filter</v>
          </cell>
          <cell r="E133">
            <v>30</v>
          </cell>
          <cell r="F133" t="str">
            <v>m3</v>
          </cell>
          <cell r="G133">
            <v>100000</v>
          </cell>
          <cell r="H133">
            <v>3000000</v>
          </cell>
        </row>
        <row r="135">
          <cell r="B135" t="str">
            <v>3.</v>
          </cell>
          <cell r="C135" t="str">
            <v>Pekerjaan Beton</v>
          </cell>
        </row>
        <row r="136">
          <cell r="C136" t="str">
            <v>Beton K-225 Plat tbl =20 cm, besi 150 kg/m3</v>
          </cell>
          <cell r="E136">
            <v>22.62</v>
          </cell>
          <cell r="F136" t="str">
            <v>m3</v>
          </cell>
          <cell r="G136">
            <v>2060905.78</v>
          </cell>
          <cell r="H136">
            <v>46617688.743600003</v>
          </cell>
        </row>
        <row r="137">
          <cell r="C137" t="str">
            <v>Beton K-225 Balok 30x45, besi 249 kg/m3</v>
          </cell>
          <cell r="E137">
            <v>4.6399999999999997</v>
          </cell>
          <cell r="F137" t="str">
            <v>m3</v>
          </cell>
          <cell r="G137">
            <v>2818132.0300000003</v>
          </cell>
          <cell r="H137">
            <v>13076132.619200001</v>
          </cell>
        </row>
        <row r="138">
          <cell r="C138" t="str">
            <v>Beton K-225 dinding t=15 cm,besi 139 kg/m3</v>
          </cell>
          <cell r="E138">
            <v>15.67</v>
          </cell>
          <cell r="F138" t="str">
            <v>m3</v>
          </cell>
          <cell r="G138">
            <v>3173244.5300000003</v>
          </cell>
          <cell r="H138">
            <v>49724741.785100006</v>
          </cell>
        </row>
        <row r="139">
          <cell r="C139" t="str">
            <v>Rabat beton K 175 pengatur elevasi tebal 5 cm</v>
          </cell>
          <cell r="E139">
            <v>4.82</v>
          </cell>
          <cell r="F139" t="str">
            <v>m3</v>
          </cell>
          <cell r="G139">
            <v>474402.58399999997</v>
          </cell>
          <cell r="H139">
            <v>2286620.4548800001</v>
          </cell>
        </row>
        <row r="140">
          <cell r="C140" t="str">
            <v xml:space="preserve">Beton Tumbuk lantai kerja </v>
          </cell>
          <cell r="E140">
            <v>5.31</v>
          </cell>
          <cell r="F140" t="str">
            <v>m3</v>
          </cell>
          <cell r="G140">
            <v>474402.58399999997</v>
          </cell>
          <cell r="H140">
            <v>2519077.7210399997</v>
          </cell>
        </row>
        <row r="142">
          <cell r="B142" t="str">
            <v>4.</v>
          </cell>
          <cell r="C142" t="str">
            <v>Pekerjaan Pondasi</v>
          </cell>
        </row>
        <row r="143">
          <cell r="C143" t="str">
            <v>Urugan sirtu perbaikan tanah dasar</v>
          </cell>
          <cell r="E143">
            <v>677.48480000000006</v>
          </cell>
          <cell r="F143" t="str">
            <v>m3</v>
          </cell>
          <cell r="G143" t="e">
            <v>#REF!</v>
          </cell>
          <cell r="H143" t="e">
            <v>#REF!</v>
          </cell>
        </row>
        <row r="144">
          <cell r="C144" t="str">
            <v>Gedeg guling</v>
          </cell>
          <cell r="E144">
            <v>104.04</v>
          </cell>
          <cell r="F144" t="str">
            <v>m2</v>
          </cell>
          <cell r="G144" t="e">
            <v>#REF!</v>
          </cell>
          <cell r="H144" t="e">
            <v>#REF!</v>
          </cell>
        </row>
        <row r="145">
          <cell r="C145" t="str">
            <v>Trucuk kayu gelam dia 75 mm panjang 4 m</v>
          </cell>
          <cell r="E145">
            <v>0</v>
          </cell>
          <cell r="F145" t="str">
            <v>btg</v>
          </cell>
          <cell r="G145" t="e">
            <v>#REF!</v>
          </cell>
          <cell r="H145" t="e">
            <v>#REF!</v>
          </cell>
        </row>
        <row r="146">
          <cell r="C146" t="str">
            <v>Pemancangan tiang 25x25 panjang  7.0 m</v>
          </cell>
          <cell r="E146">
            <v>32</v>
          </cell>
          <cell r="F146" t="str">
            <v>ttk</v>
          </cell>
          <cell r="G146">
            <v>66089.743589743593</v>
          </cell>
          <cell r="H146">
            <v>2114871.794871795</v>
          </cell>
        </row>
        <row r="147">
          <cell r="C147" t="str">
            <v>Pembelian tiang pancang K 500 uk .25 x .25 panjang 7,0 m sebanyak 32 biji</v>
          </cell>
          <cell r="E147">
            <v>224</v>
          </cell>
          <cell r="F147" t="str">
            <v>m!</v>
          </cell>
          <cell r="G147" t="e">
            <v>#REF!</v>
          </cell>
          <cell r="H147" t="e">
            <v>#REF!</v>
          </cell>
        </row>
        <row r="150">
          <cell r="B150" t="str">
            <v>5.</v>
          </cell>
          <cell r="C150" t="str">
            <v>Pekerjaan  Lain2</v>
          </cell>
        </row>
        <row r="151">
          <cell r="C151" t="str">
            <v>Pemasangan pagar pengaman kolam:</v>
          </cell>
        </row>
        <row r="152">
          <cell r="C152" t="str">
            <v xml:space="preserve"> - Beton struktur K. 225</v>
          </cell>
          <cell r="E152">
            <v>0.37825199999999998</v>
          </cell>
          <cell r="F152" t="str">
            <v>m3</v>
          </cell>
          <cell r="G152" t="e">
            <v>#REF!</v>
          </cell>
          <cell r="H152" t="e">
            <v>#REF!</v>
          </cell>
        </row>
        <row r="153">
          <cell r="C153" t="str">
            <v xml:space="preserve"> - Pipa Galvanish Medium diam. 2.5 "</v>
          </cell>
          <cell r="E153">
            <v>123.60000000000001</v>
          </cell>
          <cell r="F153" t="str">
            <v>m!</v>
          </cell>
          <cell r="G153" t="e">
            <v>#REF!</v>
          </cell>
          <cell r="H153" t="e">
            <v>#REF!</v>
          </cell>
        </row>
        <row r="154">
          <cell r="C154" t="str">
            <v>Pemasangan jalan pengoperasian klep ( jpk )</v>
          </cell>
          <cell r="E154">
            <v>10</v>
          </cell>
          <cell r="F154" t="str">
            <v>m!</v>
          </cell>
          <cell r="G154">
            <v>373327.81199999998</v>
          </cell>
          <cell r="H154">
            <v>3733278.1199999996</v>
          </cell>
        </row>
        <row r="155">
          <cell r="C155" t="str">
            <v>Pemasangan pagar pengaman ( jpk )</v>
          </cell>
          <cell r="E155">
            <v>40</v>
          </cell>
          <cell r="F155" t="str">
            <v>m!</v>
          </cell>
          <cell r="G155">
            <v>30545.002799999998</v>
          </cell>
          <cell r="H155">
            <v>1221800.112</v>
          </cell>
        </row>
        <row r="156">
          <cell r="C156" t="str">
            <v>Pengecatan Pagar Pengaman ( jpk )</v>
          </cell>
          <cell r="E156">
            <v>11.200000000000001</v>
          </cell>
          <cell r="F156" t="str">
            <v>m2</v>
          </cell>
          <cell r="G156">
            <v>19251.25</v>
          </cell>
          <cell r="H156">
            <v>215614.00000000003</v>
          </cell>
        </row>
        <row r="157">
          <cell r="C157" t="str">
            <v>Pengadaan dan pemasangan Klep</v>
          </cell>
          <cell r="E157">
            <v>4</v>
          </cell>
          <cell r="F157" t="str">
            <v>bh</v>
          </cell>
          <cell r="G157">
            <v>2900000</v>
          </cell>
          <cell r="H157">
            <v>11600000</v>
          </cell>
        </row>
        <row r="158">
          <cell r="C158" t="str">
            <v>Pompa Portable Q= 100 lt/mnt, h= 10 m</v>
          </cell>
          <cell r="E158">
            <v>1</v>
          </cell>
          <cell r="F158" t="str">
            <v>bh</v>
          </cell>
          <cell r="G158">
            <v>10901000</v>
          </cell>
          <cell r="H158">
            <v>10901000</v>
          </cell>
        </row>
        <row r="160">
          <cell r="G160" t="str">
            <v>JUMLAH</v>
          </cell>
          <cell r="H160" t="e">
            <v>#REF!</v>
          </cell>
        </row>
      </sheetData>
      <sheetData sheetId="4" refreshError="1"/>
      <sheetData sheetId="5" refreshError="1"/>
      <sheetData sheetId="6" refreshError="1">
        <row r="20">
          <cell r="I20">
            <v>35000</v>
          </cell>
        </row>
        <row r="22">
          <cell r="I22">
            <v>35000</v>
          </cell>
        </row>
        <row r="25">
          <cell r="I25">
            <v>35000</v>
          </cell>
        </row>
        <row r="31">
          <cell r="D31">
            <v>60000</v>
          </cell>
        </row>
        <row r="32">
          <cell r="D32">
            <v>45000</v>
          </cell>
        </row>
        <row r="35">
          <cell r="D35">
            <v>41800</v>
          </cell>
        </row>
        <row r="40">
          <cell r="D40">
            <v>20000</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
      <sheetName val="rel 2"/>
      <sheetName val="rab"/>
      <sheetName val="an"/>
      <sheetName val="hrg sat"/>
      <sheetName val="hrg sat1"/>
      <sheetName val="DAF-1"/>
      <sheetName val="HB "/>
    </sheetNames>
    <sheetDataSet>
      <sheetData sheetId="0"/>
      <sheetData sheetId="1"/>
      <sheetData sheetId="2"/>
      <sheetData sheetId="3"/>
      <sheetData sheetId="4"/>
      <sheetData sheetId="5" refreshError="1">
        <row r="8">
          <cell r="L8">
            <v>35000</v>
          </cell>
        </row>
        <row r="9">
          <cell r="L9">
            <v>30000</v>
          </cell>
        </row>
        <row r="10">
          <cell r="L10">
            <v>30000</v>
          </cell>
        </row>
        <row r="11">
          <cell r="L11">
            <v>30000</v>
          </cell>
        </row>
        <row r="12">
          <cell r="L12">
            <v>28750</v>
          </cell>
        </row>
        <row r="13">
          <cell r="L13">
            <v>35000</v>
          </cell>
        </row>
        <row r="14">
          <cell r="L14">
            <v>30000</v>
          </cell>
        </row>
        <row r="15">
          <cell r="L15">
            <v>30000</v>
          </cell>
        </row>
        <row r="16">
          <cell r="L16">
            <v>25000</v>
          </cell>
        </row>
        <row r="17">
          <cell r="L17">
            <v>25000</v>
          </cell>
        </row>
        <row r="18">
          <cell r="L18">
            <v>25000</v>
          </cell>
        </row>
        <row r="19">
          <cell r="L19">
            <v>30000</v>
          </cell>
        </row>
        <row r="20">
          <cell r="L20">
            <v>25000</v>
          </cell>
        </row>
        <row r="21">
          <cell r="L21">
            <v>25000</v>
          </cell>
        </row>
        <row r="22">
          <cell r="L22">
            <v>25000</v>
          </cell>
        </row>
        <row r="23">
          <cell r="L23">
            <v>25000</v>
          </cell>
        </row>
        <row r="24">
          <cell r="L24">
            <v>20000</v>
          </cell>
        </row>
        <row r="25">
          <cell r="L25">
            <v>22500</v>
          </cell>
        </row>
        <row r="30">
          <cell r="L30">
            <v>40000</v>
          </cell>
        </row>
        <row r="31">
          <cell r="L31">
            <v>165000</v>
          </cell>
        </row>
        <row r="32">
          <cell r="L32">
            <v>45000</v>
          </cell>
        </row>
        <row r="33">
          <cell r="L33">
            <v>96250</v>
          </cell>
        </row>
        <row r="34">
          <cell r="L34">
            <v>60500</v>
          </cell>
        </row>
        <row r="35">
          <cell r="L35">
            <v>25000</v>
          </cell>
        </row>
        <row r="36">
          <cell r="L36">
            <v>70000</v>
          </cell>
        </row>
        <row r="37">
          <cell r="L37">
            <v>70000</v>
          </cell>
        </row>
        <row r="38">
          <cell r="L38">
            <v>60500</v>
          </cell>
        </row>
        <row r="39">
          <cell r="L39">
            <v>300</v>
          </cell>
        </row>
        <row r="40">
          <cell r="L40">
            <v>5000</v>
          </cell>
        </row>
        <row r="41">
          <cell r="L41">
            <v>800</v>
          </cell>
        </row>
        <row r="42">
          <cell r="L42">
            <v>1705</v>
          </cell>
        </row>
        <row r="43">
          <cell r="L43">
            <v>24750</v>
          </cell>
        </row>
        <row r="44">
          <cell r="L44">
            <v>3600</v>
          </cell>
        </row>
        <row r="45">
          <cell r="L45">
            <v>0</v>
          </cell>
        </row>
        <row r="46">
          <cell r="L46">
            <v>0</v>
          </cell>
        </row>
        <row r="47">
          <cell r="L47">
            <v>0</v>
          </cell>
        </row>
        <row r="48">
          <cell r="L48">
            <v>3680</v>
          </cell>
        </row>
        <row r="49">
          <cell r="L49">
            <v>1250</v>
          </cell>
        </row>
        <row r="50">
          <cell r="L50">
            <v>3250</v>
          </cell>
        </row>
        <row r="51">
          <cell r="L51">
            <v>7200</v>
          </cell>
        </row>
        <row r="52">
          <cell r="L52">
            <v>10200</v>
          </cell>
        </row>
        <row r="53">
          <cell r="L53">
            <v>41400</v>
          </cell>
        </row>
        <row r="57">
          <cell r="L57">
            <v>46200</v>
          </cell>
        </row>
        <row r="58">
          <cell r="L58">
            <v>30250</v>
          </cell>
        </row>
        <row r="59">
          <cell r="L59">
            <v>11220</v>
          </cell>
        </row>
        <row r="60">
          <cell r="L60">
            <v>3000</v>
          </cell>
        </row>
        <row r="61">
          <cell r="L61">
            <v>33000</v>
          </cell>
        </row>
        <row r="62">
          <cell r="L62">
            <v>50600</v>
          </cell>
        </row>
        <row r="63">
          <cell r="L63">
            <v>66000</v>
          </cell>
        </row>
        <row r="64">
          <cell r="L64">
            <v>55000</v>
          </cell>
        </row>
        <row r="65">
          <cell r="L65">
            <v>47000</v>
          </cell>
        </row>
        <row r="66">
          <cell r="L66">
            <v>67000</v>
          </cell>
        </row>
        <row r="68">
          <cell r="L68">
            <v>4000</v>
          </cell>
        </row>
        <row r="69">
          <cell r="L69">
            <v>63000</v>
          </cell>
        </row>
        <row r="70">
          <cell r="L70">
            <v>9000000</v>
          </cell>
        </row>
        <row r="71">
          <cell r="L71">
            <v>2750000</v>
          </cell>
        </row>
        <row r="72">
          <cell r="L72">
            <v>3300000</v>
          </cell>
        </row>
        <row r="73">
          <cell r="L73">
            <v>2220000</v>
          </cell>
        </row>
        <row r="74">
          <cell r="L74">
            <v>1500000</v>
          </cell>
        </row>
        <row r="75">
          <cell r="L75">
            <v>935000</v>
          </cell>
        </row>
        <row r="76">
          <cell r="L76">
            <v>9000</v>
          </cell>
        </row>
        <row r="77">
          <cell r="L77">
            <v>9600</v>
          </cell>
        </row>
        <row r="78">
          <cell r="L78">
            <v>9000</v>
          </cell>
        </row>
        <row r="79">
          <cell r="L79">
            <v>4500</v>
          </cell>
        </row>
        <row r="80">
          <cell r="L80">
            <v>27600</v>
          </cell>
        </row>
        <row r="81">
          <cell r="L81">
            <v>11400</v>
          </cell>
        </row>
        <row r="82">
          <cell r="L82">
            <v>32000</v>
          </cell>
        </row>
        <row r="83">
          <cell r="L83">
            <v>10200</v>
          </cell>
        </row>
        <row r="84">
          <cell r="L84">
            <v>12000</v>
          </cell>
        </row>
        <row r="85">
          <cell r="L85">
            <v>5200</v>
          </cell>
        </row>
        <row r="86">
          <cell r="L86">
            <v>6750</v>
          </cell>
        </row>
        <row r="87">
          <cell r="L87">
            <v>42000</v>
          </cell>
        </row>
        <row r="88">
          <cell r="L88">
            <v>54000</v>
          </cell>
        </row>
        <row r="89">
          <cell r="L89">
            <v>24000</v>
          </cell>
        </row>
        <row r="90">
          <cell r="L90">
            <v>5500</v>
          </cell>
        </row>
        <row r="91">
          <cell r="L91">
            <v>5400</v>
          </cell>
        </row>
        <row r="92">
          <cell r="L92">
            <v>7200</v>
          </cell>
        </row>
        <row r="93">
          <cell r="L93">
            <v>1500000</v>
          </cell>
        </row>
        <row r="94">
          <cell r="L94">
            <v>1800</v>
          </cell>
        </row>
        <row r="95">
          <cell r="L95">
            <v>16000</v>
          </cell>
        </row>
        <row r="96">
          <cell r="L96">
            <v>6300</v>
          </cell>
        </row>
        <row r="97">
          <cell r="L97">
            <v>32400</v>
          </cell>
        </row>
        <row r="98">
          <cell r="L98">
            <v>16350</v>
          </cell>
        </row>
        <row r="99">
          <cell r="L99">
            <v>25000</v>
          </cell>
        </row>
        <row r="100">
          <cell r="L100">
            <v>94100</v>
          </cell>
        </row>
        <row r="101">
          <cell r="L101">
            <v>21000</v>
          </cell>
        </row>
        <row r="102">
          <cell r="L102">
            <v>84000</v>
          </cell>
        </row>
        <row r="103">
          <cell r="L103">
            <v>102000</v>
          </cell>
        </row>
        <row r="104">
          <cell r="L104">
            <v>64800</v>
          </cell>
        </row>
        <row r="105">
          <cell r="L105">
            <v>266400</v>
          </cell>
        </row>
      </sheetData>
      <sheetData sheetId="6" refreshError="1"/>
      <sheetData sheetId="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
      <sheetName val="ANALISA"/>
      <sheetName val="REKAP"/>
      <sheetName val="BANGUNAN UTAMA"/>
      <sheetName val="INSTALASI ME "/>
      <sheetName val="KANTOR"/>
      <sheetName val="MUSHOLLA"/>
      <sheetName val="POS JAGA"/>
      <sheetName val="KM&amp;WC musolla"/>
      <sheetName val="KM&amp;WC 2bh"/>
      <sheetName val="KM&amp;WC 3 bh"/>
      <sheetName val="PAGAR DEPAN"/>
      <sheetName val="PAGAR SAMP &amp; BEL"/>
      <sheetName val="HALAMAN"/>
      <sheetName val="DEPO SAMPAH"/>
      <sheetName val="REKAP (2)"/>
      <sheetName val="LOS LESEHAN"/>
      <sheetName val="KIOS SAMPING"/>
      <sheetName val="INSTALASI ME KIOS"/>
      <sheetName val="RAB"/>
      <sheetName val="ANBOW-2008"/>
      <sheetName val="rekap-ans"/>
      <sheetName val="Sheet1"/>
      <sheetName val="DAF-5"/>
      <sheetName val="Harga-RAB"/>
      <sheetName val="alat"/>
      <sheetName val="HB_"/>
      <sheetName val="BANGUNAN_UTAMA"/>
      <sheetName val="INSTALASI_ME_"/>
      <sheetName val="POS_JAGA"/>
      <sheetName val="KM&amp;WC_musolla"/>
      <sheetName val="KM&amp;WC_2bh"/>
      <sheetName val="KM&amp;WC_3_bh"/>
      <sheetName val="PAGAR_DEPAN"/>
      <sheetName val="PAGAR_SAMP_&amp;_BEL"/>
      <sheetName val="DEPO_SAMPAH"/>
      <sheetName val="REKAP_(2)"/>
      <sheetName val="LOS_LESEHAN"/>
      <sheetName val="KIOS_SAMPING"/>
      <sheetName val="INSTALASI_ME_KIOS"/>
      <sheetName val="ANA-HRG"/>
      <sheetName val="Anal"/>
      <sheetName val="Fak"/>
      <sheetName val="Rek-Tot"/>
      <sheetName val="DAF-1"/>
      <sheetName val="NEG02"/>
      <sheetName val="harga satuan"/>
      <sheetName val="bacap analisa"/>
      <sheetName val="kop"/>
      <sheetName val="Sheet6"/>
      <sheetName val="Sheet7"/>
      <sheetName val="Sheet8"/>
      <sheetName val="Sheet9"/>
      <sheetName val="Sheet10"/>
      <sheetName val="Sheet11"/>
      <sheetName val="Sheet12"/>
      <sheetName val="Sheet13"/>
      <sheetName val="Sheet14"/>
      <sheetName val="Sheet15"/>
      <sheetName val="Sheet16"/>
      <sheetName val="BAG_2"/>
      <sheetName val="BAG-2"/>
      <sheetName val="Alat R"/>
      <sheetName val="Analisa  BOW"/>
      <sheetName val="Basic"/>
      <sheetName val="boq"/>
      <sheetName val="DivVII"/>
      <sheetName val="bahan "/>
      <sheetName val="Harga Bahan &amp; Upah "/>
      <sheetName val="Rincian"/>
      <sheetName val="HB"/>
      <sheetName val="harsat"/>
      <sheetName val="Vol Sipil &amp; Ars"/>
      <sheetName val="Grand total"/>
      <sheetName val="Currency Rate"/>
      <sheetName val="LAL - PASAR PAGI "/>
      <sheetName val="anl"/>
      <sheetName val="CH"/>
      <sheetName val="lab bahasa"/>
      <sheetName val="HARGA ALAT"/>
      <sheetName val="rumus"/>
      <sheetName val="cover"/>
      <sheetName val="analt"/>
      <sheetName val="rab - persiapan &amp; lantai-1"/>
      <sheetName val="PERSIAPAN"/>
      <sheetName val="Hrg Sat"/>
      <sheetName val="Harsat Upah"/>
      <sheetName val="DAFTAR BESI KANAL C SIKU"/>
      <sheetName val="A2"/>
      <sheetName val="PIPA"/>
      <sheetName val="HARGA RATA"/>
      <sheetName val="rab lt 2 bo"/>
      <sheetName val="Analisa Baku ME "/>
      <sheetName val="Rekap Prelim"/>
      <sheetName val="Analisa Baku STR ARS"/>
      <sheetName val="ANTEK-AGGA"/>
      <sheetName val="BURDA"/>
      <sheetName val="ANTEK-GAL"/>
      <sheetName val="HRS-ATB"/>
      <sheetName val="ANTEK-PRIME"/>
      <sheetName val="ANTEK-TIMB"/>
      <sheetName val="BD-LS"/>
      <sheetName val="BIA-LUMPSUM"/>
      <sheetName val="CRUSER"/>
      <sheetName val="KEBALAT"/>
      <sheetName val="Harga Satuan Dasar"/>
      <sheetName val="Biaya alat"/>
      <sheetName val="HARGA"/>
      <sheetName val="bahan dan upah"/>
      <sheetName val="Bab 6 -3(5)"/>
      <sheetName val="2.3(2) Gor"/>
      <sheetName val="8.4.2 Rambu"/>
      <sheetName val="Daf.Harga"/>
      <sheetName val="Analis"/>
      <sheetName val="SEX"/>
      <sheetName val="Analis Kusen 1 ESKALASI"/>
      <sheetName val="H.Satuan"/>
      <sheetName val="K"/>
      <sheetName val="STR"/>
      <sheetName val="ANALISA-A"/>
      <sheetName val="SAT"/>
      <sheetName val="ahs"/>
      <sheetName val="metode"/>
      <sheetName val="NS GD.UTAMA"/>
      <sheetName val="HSPek"/>
      <sheetName val="HSAlat"/>
      <sheetName val="HS-SKGub"/>
      <sheetName val="HSPek 6xx-7xx"/>
      <sheetName val="A"/>
      <sheetName val="4-Basic Price"/>
      <sheetName val="upah"/>
      <sheetName val="112-885"/>
      <sheetName val="Anl.+"/>
      <sheetName val="k-300"/>
      <sheetName val="3-DIV4"/>
      <sheetName val="bahan"/>
      <sheetName val="daf-3(OK)"/>
      <sheetName val="daf-7(OK)"/>
      <sheetName val="dftr harga"/>
      <sheetName val="DIV.1"/>
      <sheetName val="REKAP_Akap"/>
      <sheetName val="subkon"/>
      <sheetName val="umum"/>
      <sheetName val="SCH"/>
      <sheetName val=" REKAP_TOTAL"/>
      <sheetName val="Time"/>
      <sheetName val="MOBIL"/>
      <sheetName val="BUCK_UP_STD_STR_MENARA"/>
      <sheetName val="BUCK UP ATAP GEDUNG (2)"/>
      <sheetName val="BUCK UP_ARS_STD_MENARA"/>
      <sheetName val="BUCK_UP_STR_NON STD MENARA"/>
      <sheetName val="HARGA SAT"/>
      <sheetName val="AO-UMUM"/>
      <sheetName val="tul"/>
      <sheetName val="S_DAY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total"/>
      <sheetName val="service"/>
      <sheetName val="bale"/>
      <sheetName val="spa"/>
      <sheetName val="towel"/>
      <sheetName val="atap"/>
      <sheetName val="pres-suite"/>
      <sheetName val="suite"/>
      <sheetName val="villa"/>
      <sheetName val="ANALISA SNI'08"/>
      <sheetName val="Lantai 1 ME"/>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Entry data."/>
      <sheetName val="2.Urugan"/>
      <sheetName val="3.Anl Talud"/>
      <sheetName val="4.RAB Talud"/>
      <sheetName val="5.Swadaya Talud"/>
      <sheetName val="rab gor"/>
      <sheetName val="6.Rekap Rab"/>
      <sheetName val="7.Gambar"/>
      <sheetName val="8.Gambar (2)"/>
      <sheetName val="9.Gambar (3)"/>
      <sheetName val="10.Gambar "/>
    </sheetNames>
    <sheetDataSet>
      <sheetData sheetId="0">
        <row r="15">
          <cell r="F15">
            <v>70000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SPH"/>
      <sheetName val="Rekap "/>
      <sheetName val="RAB"/>
      <sheetName val="BASIC"/>
      <sheetName val="ANALIS"/>
      <sheetName val="ANAL lump sum"/>
      <sheetName val="TS"/>
      <sheetName val="RAP"/>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uruf"/>
      <sheetName val="SPH"/>
      <sheetName val="Rekap Lama"/>
      <sheetName val="RAB lama"/>
      <sheetName val="REKAP"/>
      <sheetName val="RAB "/>
      <sheetName val="Harga Satuan Dasar"/>
      <sheetName val="analisa"/>
      <sheetName val="Time Schdl"/>
      <sheetName val="An. kgtn"/>
      <sheetName val="CHART"/>
      <sheetName val="Peralatan"/>
      <sheetName val="Metode Paving"/>
    </sheetNames>
    <sheetDataSet>
      <sheetData sheetId="0"/>
      <sheetData sheetId="1"/>
      <sheetData sheetId="2"/>
      <sheetData sheetId="3"/>
      <sheetData sheetId="4"/>
      <sheetData sheetId="5">
        <row r="36">
          <cell r="F36" t="str">
            <v>CV. MEGA UTAMA</v>
          </cell>
        </row>
        <row r="42">
          <cell r="F42" t="str">
            <v>NURHAYATI</v>
          </cell>
        </row>
      </sheetData>
      <sheetData sheetId="6"/>
      <sheetData sheetId="7"/>
      <sheetData sheetId="8"/>
      <sheetData sheetId="9"/>
      <sheetData sheetId="10"/>
      <sheetData sheetId="11"/>
      <sheetData sheetId="12"/>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BARU)"/>
      <sheetName val="SMK Rekayasa100jt"/>
      <sheetName val="SMK Rekayasa"/>
      <sheetName val="SMK Rekayasa100jtsumuran"/>
      <sheetName val="ANALISA BANGLI"/>
    </sheetNames>
    <sheetDataSet>
      <sheetData sheetId="0" refreshError="1">
        <row r="224">
          <cell r="G224">
            <v>2300</v>
          </cell>
        </row>
        <row r="233">
          <cell r="G233">
            <v>22685</v>
          </cell>
        </row>
        <row r="240">
          <cell r="G240">
            <v>17250</v>
          </cell>
        </row>
        <row r="248">
          <cell r="G248">
            <v>5750</v>
          </cell>
        </row>
        <row r="253">
          <cell r="G253">
            <v>53750</v>
          </cell>
        </row>
        <row r="258">
          <cell r="G258">
            <v>77750</v>
          </cell>
        </row>
        <row r="265">
          <cell r="G265">
            <v>132500</v>
          </cell>
        </row>
        <row r="274">
          <cell r="G274">
            <v>329558.5</v>
          </cell>
        </row>
        <row r="293">
          <cell r="G293">
            <v>728582.5</v>
          </cell>
        </row>
        <row r="302">
          <cell r="G302">
            <v>578265</v>
          </cell>
        </row>
        <row r="303">
          <cell r="G303">
            <v>593865</v>
          </cell>
        </row>
        <row r="311">
          <cell r="G311">
            <v>19814</v>
          </cell>
        </row>
        <row r="312">
          <cell r="G312">
            <v>21259</v>
          </cell>
        </row>
        <row r="336">
          <cell r="G336">
            <v>10487.5</v>
          </cell>
        </row>
        <row r="337">
          <cell r="G337">
            <v>11247.5</v>
          </cell>
        </row>
        <row r="379">
          <cell r="G379">
            <v>672000</v>
          </cell>
        </row>
        <row r="382">
          <cell r="G382">
            <v>1578012</v>
          </cell>
        </row>
        <row r="383">
          <cell r="G383">
            <v>1669640</v>
          </cell>
        </row>
        <row r="385">
          <cell r="G385">
            <v>1898710</v>
          </cell>
        </row>
        <row r="386">
          <cell r="G386">
            <v>2013245</v>
          </cell>
        </row>
        <row r="387">
          <cell r="G387">
            <v>2127780</v>
          </cell>
        </row>
        <row r="388">
          <cell r="G388">
            <v>2356850</v>
          </cell>
        </row>
        <row r="389">
          <cell r="G389">
            <v>2471385</v>
          </cell>
        </row>
        <row r="393">
          <cell r="G393">
            <v>1333640</v>
          </cell>
        </row>
        <row r="394">
          <cell r="G394">
            <v>1425268</v>
          </cell>
        </row>
        <row r="395">
          <cell r="G395">
            <v>1562710</v>
          </cell>
        </row>
        <row r="396">
          <cell r="G396">
            <v>1677245</v>
          </cell>
        </row>
        <row r="397">
          <cell r="G397">
            <v>1791780</v>
          </cell>
        </row>
        <row r="412">
          <cell r="G412">
            <v>25975</v>
          </cell>
        </row>
        <row r="440">
          <cell r="G440">
            <v>17647.279411764706</v>
          </cell>
        </row>
        <row r="441">
          <cell r="G441">
            <v>44492.5</v>
          </cell>
        </row>
        <row r="483">
          <cell r="G483">
            <v>109515</v>
          </cell>
        </row>
        <row r="491">
          <cell r="G491">
            <v>183710</v>
          </cell>
        </row>
        <row r="500">
          <cell r="G500">
            <v>7148500.0000000009</v>
          </cell>
        </row>
        <row r="509">
          <cell r="G509">
            <v>244400</v>
          </cell>
        </row>
        <row r="518">
          <cell r="G518">
            <v>98300</v>
          </cell>
        </row>
        <row r="526">
          <cell r="G526">
            <v>337975</v>
          </cell>
        </row>
        <row r="537">
          <cell r="G537">
            <v>211673.5</v>
          </cell>
        </row>
        <row r="557">
          <cell r="G557">
            <v>197632</v>
          </cell>
        </row>
        <row r="568">
          <cell r="G568">
            <v>62280</v>
          </cell>
        </row>
        <row r="582">
          <cell r="G582">
            <v>13657.666666666666</v>
          </cell>
        </row>
        <row r="598">
          <cell r="G598">
            <v>1900</v>
          </cell>
        </row>
        <row r="609">
          <cell r="G609">
            <v>29740</v>
          </cell>
        </row>
        <row r="654">
          <cell r="G654">
            <v>56650</v>
          </cell>
        </row>
        <row r="666">
          <cell r="G666">
            <v>18443.8</v>
          </cell>
        </row>
        <row r="688">
          <cell r="G688">
            <v>10484</v>
          </cell>
        </row>
        <row r="722">
          <cell r="G722">
            <v>287140</v>
          </cell>
        </row>
        <row r="739">
          <cell r="G739">
            <v>1150</v>
          </cell>
        </row>
        <row r="747">
          <cell r="G747">
            <v>1150</v>
          </cell>
        </row>
        <row r="755">
          <cell r="G755">
            <v>61333.333333333328</v>
          </cell>
        </row>
        <row r="759">
          <cell r="G759">
            <v>15410.000000000002</v>
          </cell>
        </row>
        <row r="771">
          <cell r="G771">
            <v>1260</v>
          </cell>
        </row>
        <row r="779">
          <cell r="G779">
            <v>1150</v>
          </cell>
        </row>
        <row r="791">
          <cell r="G791">
            <v>8211</v>
          </cell>
        </row>
      </sheetData>
      <sheetData sheetId="1" refreshError="1"/>
      <sheetData sheetId="2" refreshError="1"/>
      <sheetData sheetId="3" refreshError="1"/>
      <sheetData sheetId="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S"/>
      <sheetName val="Rutin (2)"/>
      <sheetName val="Pekerjaan Utama"/>
      <sheetName val="Rekap Biaya"/>
      <sheetName val="Kuantitas &amp; Harga"/>
      <sheetName val="Rutin"/>
      <sheetName val="Analisa"/>
      <sheetName val="div-8"/>
      <sheetName val="div-7"/>
      <sheetName val="div-5"/>
      <sheetName val="div-3"/>
      <sheetName val="div-2"/>
      <sheetName val="Mobilisasi"/>
      <sheetName val="Aggr"/>
      <sheetName val="Quarry"/>
      <sheetName val="alat"/>
      <sheetName val="Basic Price"/>
      <sheetName val="Informasi"/>
    </sheetNames>
    <sheetDataSet>
      <sheetData sheetId="0" refreshError="1"/>
      <sheetData sheetId="1" refreshError="1"/>
      <sheetData sheetId="2"/>
      <sheetData sheetId="3"/>
      <sheetData sheetId="4">
        <row r="134">
          <cell r="D134" t="str">
            <v>DIVISI  6.  PERKERASAN  ASPAL</v>
          </cell>
        </row>
        <row r="136">
          <cell r="B136" t="str">
            <v>6.1 (1)</v>
          </cell>
          <cell r="D136" t="str">
            <v>Lapis Resap Pengikat</v>
          </cell>
          <cell r="E136" t="str">
            <v>Liter</v>
          </cell>
        </row>
        <row r="137">
          <cell r="B137" t="str">
            <v>6.1 (2)</v>
          </cell>
          <cell r="D137" t="str">
            <v>Lapis Perekat</v>
          </cell>
          <cell r="E137" t="str">
            <v>Liter</v>
          </cell>
        </row>
        <row r="139">
          <cell r="B139" t="str">
            <v>6.2 (1)</v>
          </cell>
          <cell r="D139" t="str">
            <v>Agregat Penutup BURTU</v>
          </cell>
          <cell r="E139" t="str">
            <v>M2</v>
          </cell>
        </row>
        <row r="140">
          <cell r="B140" t="str">
            <v>6.2 (2)</v>
          </cell>
          <cell r="D140" t="str">
            <v>Agregat Penutup BURDA</v>
          </cell>
          <cell r="E140" t="str">
            <v>M2</v>
          </cell>
        </row>
        <row r="141">
          <cell r="B141" t="str">
            <v>6.2 (3)</v>
          </cell>
          <cell r="D141" t="str">
            <v>Bahan Aspal untuk Pekerjaan Laburan</v>
          </cell>
          <cell r="E141" t="str">
            <v>Liter</v>
          </cell>
        </row>
        <row r="144">
          <cell r="B144" t="str">
            <v>6.3 (1)</v>
          </cell>
          <cell r="D144" t="str">
            <v>Latasir (SS) Kelas A</v>
          </cell>
          <cell r="E144" t="str">
            <v>M2</v>
          </cell>
        </row>
        <row r="145">
          <cell r="B145" t="str">
            <v>6.3 (2)</v>
          </cell>
          <cell r="D145" t="str">
            <v>Latasir (SS) Kelas B</v>
          </cell>
          <cell r="E145" t="str">
            <v>M2</v>
          </cell>
        </row>
        <row r="146">
          <cell r="B146" t="str">
            <v>6.3 (3)</v>
          </cell>
          <cell r="D146" t="str">
            <v>Lataston (HRS)</v>
          </cell>
          <cell r="E146" t="str">
            <v>M2</v>
          </cell>
        </row>
        <row r="147">
          <cell r="B147" t="str">
            <v>6.3 (4)</v>
          </cell>
          <cell r="D147" t="str">
            <v>Asphalt Treated Base (ATB)</v>
          </cell>
          <cell r="E147" t="str">
            <v>M3</v>
          </cell>
        </row>
        <row r="148">
          <cell r="B148" t="str">
            <v>6.3 (5)</v>
          </cell>
          <cell r="D148" t="str">
            <v>Lapis Aus Aspal Beton (AC-WC)</v>
          </cell>
          <cell r="E148" t="str">
            <v>M2</v>
          </cell>
        </row>
        <row r="149">
          <cell r="B149" t="str">
            <v>6.3 (6)</v>
          </cell>
          <cell r="D149" t="str">
            <v>Lapis Aus Aspal Beton (AC-BC)</v>
          </cell>
          <cell r="E149" t="str">
            <v>M3</v>
          </cell>
        </row>
        <row r="151">
          <cell r="B151" t="str">
            <v>6.4 (1)</v>
          </cell>
          <cell r="D151" t="str">
            <v>Lasbutag</v>
          </cell>
          <cell r="E151" t="str">
            <v>M2</v>
          </cell>
        </row>
        <row r="152">
          <cell r="B152" t="str">
            <v>6.4 (2)</v>
          </cell>
          <cell r="D152" t="str">
            <v>Latasbusir Kelas A</v>
          </cell>
          <cell r="E152" t="str">
            <v>M2</v>
          </cell>
        </row>
        <row r="153">
          <cell r="B153" t="str">
            <v>6.4 (3)</v>
          </cell>
          <cell r="D153" t="str">
            <v>Latasbusir Kelas B</v>
          </cell>
          <cell r="E153" t="str">
            <v>M2</v>
          </cell>
        </row>
        <row r="154">
          <cell r="B154" t="str">
            <v>6.4 (4)</v>
          </cell>
          <cell r="D154" t="str">
            <v>Bitumen Asbuton</v>
          </cell>
          <cell r="E154" t="str">
            <v>Ton</v>
          </cell>
        </row>
        <row r="155">
          <cell r="B155" t="str">
            <v>6.4 (5)</v>
          </cell>
          <cell r="D155" t="str">
            <v>Bitumen Bahan Peremaja</v>
          </cell>
          <cell r="E155" t="str">
            <v>Ton</v>
          </cell>
        </row>
        <row r="156">
          <cell r="B156" t="str">
            <v>6.4 (6)</v>
          </cell>
          <cell r="D156" t="str">
            <v>Bahan Anti-Stripping</v>
          </cell>
          <cell r="E156" t="str">
            <v>Liter</v>
          </cell>
        </row>
        <row r="158">
          <cell r="B158" t="str">
            <v>6.5 (1)</v>
          </cell>
          <cell r="D158" t="str">
            <v xml:space="preserve">Aspal Campuran Dingin </v>
          </cell>
          <cell r="E158" t="str">
            <v>M3</v>
          </cell>
        </row>
        <row r="160">
          <cell r="B160" t="str">
            <v>6.6</v>
          </cell>
          <cell r="D160" t="str">
            <v>Lapis Penetrasi Macadam Perata (Levelling)</v>
          </cell>
          <cell r="E160" t="str">
            <v>M3</v>
          </cell>
        </row>
        <row r="175">
          <cell r="C175" t="str">
            <v>Jumlah Harga Pekerjaan DIVISI 6  (masuk pada Rekapitulasi Perkiraan Harga Pekerjaan)</v>
          </cell>
          <cell r="H17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 RSUD . TABANAN BALI"/>
      <sheetName val="LAL - PASAR PAGI "/>
      <sheetName val="HRG BHN"/>
      <sheetName val="Str D"/>
      <sheetName val="LAL _ PASAR PAGI "/>
      <sheetName val="daf-3(OK)"/>
      <sheetName val="daf-7(OK)"/>
    </sheetNames>
    <sheetDataSet>
      <sheetData sheetId="0"/>
      <sheetData sheetId="1" refreshError="1"/>
      <sheetData sheetId="2" refreshError="1"/>
      <sheetData sheetId="3" refreshError="1"/>
      <sheetData sheetId="4"/>
      <sheetData sheetId="5" refreshError="1"/>
      <sheetData sheetId="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T VOL BAJA"/>
      <sheetName val="HB "/>
      <sheetName val="ANALISA"/>
      <sheetName val="REKAP"/>
      <sheetName val="BANGUNAN UTAMA1"/>
      <sheetName val="INSTALASI ME 2"/>
      <sheetName val="KANTOR"/>
      <sheetName val="MUSHOLLA"/>
      <sheetName val="POS JAGA"/>
      <sheetName val="KM&amp;WC musolla"/>
      <sheetName val="KM&amp;WC 3 bh"/>
      <sheetName val="PAGAR DEPAN"/>
      <sheetName val="PAGAR SAMP &amp; BEL"/>
      <sheetName val="HALAMAN"/>
      <sheetName val="DEPO SAMPAH"/>
      <sheetName val="REKAP (2)"/>
      <sheetName val="INSTALASI ME KIOS"/>
      <sheetName val="LOS LESEHAN"/>
      <sheetName val="KIOS SAMPING"/>
      <sheetName val="RAB"/>
      <sheetName val="BAHAN"/>
      <sheetName val="hrg-sat.pek"/>
      <sheetName val="nama PT."/>
      <sheetName val="HIT_VOL_BAJA"/>
      <sheetName val="HB_"/>
      <sheetName val="BANGUNAN_UTAMA1"/>
      <sheetName val="INSTALASI_ME_2"/>
      <sheetName val="POS_JAGA"/>
      <sheetName val="KM&amp;WC_musolla"/>
      <sheetName val="KM&amp;WC_3_bh"/>
      <sheetName val="PAGAR_DEPAN"/>
      <sheetName val="PAGAR_SAMP_&amp;_BEL"/>
      <sheetName val="DEPO_SAMPAH"/>
      <sheetName val="REKAP_(2)"/>
      <sheetName val="INSTALASI_ME_KIOS"/>
      <sheetName val="LOS_LESEHAN"/>
      <sheetName val="KIOS_SAMPING"/>
      <sheetName val="daf_3_OK_"/>
      <sheetName val="daf_7_OK_"/>
      <sheetName val="EE-SNI"/>
      <sheetName val="AN-SNI"/>
      <sheetName val="S3B11"/>
      <sheetName val="RENPEN"/>
      <sheetName val="Beban Box culvert"/>
      <sheetName val="Upah&amp;Bahan"/>
      <sheetName val="HARSAT"/>
      <sheetName val="ANBOW-2008"/>
      <sheetName val="rekap-ans"/>
      <sheetName val="Vol  bekist dan Stiger trestel"/>
      <sheetName val="harga lama"/>
      <sheetName val="H.Satuan"/>
      <sheetName val="Bahan+Upah"/>
      <sheetName val="daftar harga"/>
      <sheetName val="bahan dan upah"/>
      <sheetName val="Bab 6 -3(5)"/>
      <sheetName val="2.3(2) Gor"/>
      <sheetName val="8.4.2 Rambu"/>
      <sheetName val="RAB GROSIR '02 (ALTERNATIF 10) "/>
      <sheetName val="analisa_gedung"/>
      <sheetName val="Lab E (FKU)"/>
      <sheetName val="SAT"/>
      <sheetName val="Anal"/>
      <sheetName val="REK"/>
      <sheetName val="upah_borong"/>
      <sheetName val="satuan_pek"/>
      <sheetName val="Plumbing &amp; Fire"/>
      <sheetName val="HB"/>
      <sheetName val="ARAB"/>
      <sheetName val="DAF.ALAT"/>
      <sheetName val="Sheet3"/>
      <sheetName val="H S D"/>
      <sheetName val="AHS"/>
      <sheetName val="daf-3(OK)"/>
      <sheetName val="daf-7(OK)"/>
      <sheetName val="Harga Sat."/>
      <sheetName val="Bill of Qty MEP"/>
      <sheetName val="SELISIH HARGA"/>
      <sheetName val="COVER BA (2)"/>
      <sheetName val="Mob"/>
      <sheetName val="BA CCO"/>
      <sheetName val="Bangunan Utama"/>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asic"/>
      <sheetName val="anls"/>
      <sheetName val="total"/>
      <sheetName val="Bau"/>
      <sheetName val="Analisa-S"/>
      <sheetName val="HRG BHN"/>
      <sheetName val="hardas"/>
      <sheetName val="BQ-E20-02(Rp)"/>
      <sheetName val="STRUKTUR-1"/>
      <sheetName val="FINISHING"/>
      <sheetName val="AGG A"/>
      <sheetName val="AGG B"/>
      <sheetName val="DAFTAR BAHAN"/>
      <sheetName val="ATBL"/>
      <sheetName val="DAFTAR ALAT"/>
      <sheetName val="DAFTAR UPAH"/>
      <sheetName val="MARKA"/>
      <sheetName val="PAS. BATU"/>
      <sheetName val="PRIME COAT"/>
      <sheetName val="URUKAN"/>
      <sheetName val="EVAL"/>
      <sheetName val="analt"/>
      <sheetName val="DHS"/>
      <sheetName val="info"/>
      <sheetName val="an-aspal"/>
      <sheetName val="an_alat"/>
      <sheetName val="Harga Satuan"/>
      <sheetName val="BOQ"/>
      <sheetName val="5-ALAT(1)"/>
      <sheetName val="4-Basic Price"/>
      <sheetName val="CORAT"/>
      <sheetName val="IPA1"/>
      <sheetName val="alat"/>
      <sheetName val="boq (2)"/>
      <sheetName val="DAF-1"/>
      <sheetName val="Biaya"/>
      <sheetName val="Pemindahan Penduduk "/>
      <sheetName val="COST"/>
      <sheetName val="HSATUAN"/>
      <sheetName val="326BQSTC"/>
      <sheetName val="D2.2"/>
      <sheetName val="Anal_ Pancang"/>
      <sheetName val="D7"/>
      <sheetName val="Hrg.Sat"/>
      <sheetName val="upah bahan"/>
      <sheetName val="DBREal"/>
      <sheetName val="Bill No 6 Koord &amp; Attendance"/>
      <sheetName val="REKAP  (3)"/>
      <sheetName val="Cover"/>
      <sheetName val="List Plant"/>
      <sheetName val="B.U ARC"/>
      <sheetName val="B.U STR"/>
      <sheetName val="Pek. Atap"/>
      <sheetName val="Pek. Besi &amp; Alumunium"/>
      <sheetName val="Pek. Beton"/>
      <sheetName val="Pek. Dinding"/>
      <sheetName val="Pek Keramik"/>
      <sheetName val="Pek. Kunci &amp; Kaca"/>
      <sheetName val="Pek. Kusen"/>
      <sheetName val="Pek. Landscape"/>
      <sheetName val="Pek. Cat"/>
      <sheetName val="Pek. Persiapan"/>
      <sheetName val="Pek. Plafond"/>
      <sheetName val="Pek. Plesteran"/>
      <sheetName val="Pek. Pondasi"/>
      <sheetName val="Pek. Sanitasi"/>
      <sheetName val="Pek. Tanah"/>
      <sheetName val="Rek-Analisa"/>
      <sheetName val="Harga Bahan"/>
      <sheetName val="BasicPrice"/>
      <sheetName val="Anal. Pancang"/>
      <sheetName val="penawaran elianto"/>
      <sheetName val="MARSHALL ATB_L"/>
      <sheetName val="H Satuan Dasar"/>
      <sheetName val="rab lt 2 bo"/>
      <sheetName val="Beban"/>
      <sheetName val="LAL - PASAR PAGI "/>
      <sheetName val="harga material"/>
      <sheetName val="7.9"/>
      <sheetName val="AnMobilisasi"/>
      <sheetName val="Basic P"/>
      <sheetName val="LAP. MINGG"/>
      <sheetName val="har.sat.S"/>
      <sheetName val="AN.SEDANG"/>
      <sheetName val="D.K H"/>
      <sheetName val="Harga Bahan &amp; Upah"/>
      <sheetName val="har.sat.B"/>
      <sheetName val="RAB ME"/>
      <sheetName val="Bahan&amp;Upah"/>
      <sheetName val="UTILITAS"/>
      <sheetName val="HDS"/>
      <sheetName val="OH"/>
      <sheetName val="Satuan"/>
      <sheetName val="Bill-19"/>
      <sheetName val="sum-bill22"/>
      <sheetName val="An Arsitektur"/>
      <sheetName val="An Struktur"/>
    </sheetNames>
    <sheetDataSet>
      <sheetData sheetId="0" refreshError="1"/>
      <sheetData sheetId="1" refreshError="1">
        <row r="9">
          <cell r="F9">
            <v>27500</v>
          </cell>
        </row>
        <row r="10">
          <cell r="F10">
            <v>30000</v>
          </cell>
        </row>
        <row r="29">
          <cell r="F29">
            <v>5250000</v>
          </cell>
        </row>
        <row r="52">
          <cell r="F52">
            <v>45000</v>
          </cell>
        </row>
        <row r="119">
          <cell r="F119">
            <v>20000</v>
          </cell>
        </row>
        <row r="160">
          <cell r="F160">
            <v>300000</v>
          </cell>
        </row>
        <row r="172">
          <cell r="F172">
            <v>9600</v>
          </cell>
        </row>
        <row r="175">
          <cell r="F175">
            <v>8000</v>
          </cell>
        </row>
        <row r="176">
          <cell r="F176">
            <v>3250</v>
          </cell>
        </row>
        <row r="184">
          <cell r="F184">
            <v>100000</v>
          </cell>
        </row>
        <row r="199">
          <cell r="F199">
            <v>27500</v>
          </cell>
        </row>
        <row r="200">
          <cell r="F200">
            <v>27500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KP 2.5 M"/>
      <sheetName val="SUBRKP ARS"/>
      <sheetName val="rab ARS"/>
      <sheetName val="SUB REKAP ME"/>
      <sheetName val="rab ME"/>
      <sheetName val="analisa"/>
      <sheetName val="bahan "/>
      <sheetName val="Sheet1"/>
      <sheetName val="LENTUR"/>
      <sheetName val="GESER+TORSI"/>
      <sheetName val="BEGISTING"/>
      <sheetName val="VOL"/>
      <sheetName val="rab STR"/>
      <sheetName val="hit RAB STR-ARS"/>
      <sheetName val="cover"/>
      <sheetName val="TOTAL  KESELURUHAN"/>
      <sheetName val="REKAP1"/>
      <sheetName val="SUB RKP1"/>
      <sheetName val="Gedung1"/>
      <sheetName val="BAHAN"/>
      <sheetName val="Harga P"/>
      <sheetName val="Analisa P"/>
      <sheetName val="RAB"/>
      <sheetName val="Rekap"/>
      <sheetName val="S RKP msj"/>
      <sheetName val="RAB msj"/>
      <sheetName val="S RKP wdl"/>
      <sheetName val="RAB wdl"/>
      <sheetName val="LMPIR"/>
      <sheetName val="terbilang (2)"/>
      <sheetName val="terbilang"/>
      <sheetName val="REKAP TOTAL T.MATERIAL"/>
      <sheetName val="REKAB FINISHING"/>
      <sheetName val="REKAP RAB FINISHINGperlantai"/>
      <sheetName val="Harga Sanitasi"/>
      <sheetName val="Analisa Harga Satuan"/>
      <sheetName val="Sheet3"/>
      <sheetName val="SAmpul"/>
      <sheetName val="SPH"/>
      <sheetName val="Jadwal"/>
      <sheetName val="REKAP TOTAL TAHAP 1"/>
      <sheetName val="Persiapan"/>
      <sheetName val="REKAP TAHAP 1 FINISHING"/>
      <sheetName val="TAHAP 1 FINISHING"/>
      <sheetName val="Analisa RAB Beton"/>
      <sheetName val="Daftar Harga"/>
      <sheetName val="HB "/>
      <sheetName val="BQ-E20-02(Rp)"/>
      <sheetName val="HB"/>
      <sheetName val="daf-3(OK)"/>
      <sheetName val="daf-7(OK)"/>
    </sheetNames>
    <sheetDataSet>
      <sheetData sheetId="0" refreshError="1"/>
      <sheetData sheetId="1" refreshError="1"/>
      <sheetData sheetId="2" refreshError="1"/>
      <sheetData sheetId="3" refreshError="1"/>
      <sheetData sheetId="4" refreshError="1"/>
      <sheetData sheetId="5" refreshError="1"/>
      <sheetData sheetId="6" refreshError="1">
        <row r="157">
          <cell r="B157" t="str">
            <v>Mandor</v>
          </cell>
        </row>
        <row r="158">
          <cell r="B158" t="str">
            <v>Kepala tukang</v>
          </cell>
        </row>
        <row r="160">
          <cell r="B160" t="str">
            <v>Tukang kayu</v>
          </cell>
        </row>
        <row r="162">
          <cell r="B162" t="str">
            <v>Tukang cat</v>
          </cell>
        </row>
        <row r="167">
          <cell r="B167" t="str">
            <v>Pekerja</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m1b"/>
      <sheetName val="Lam1a"/>
      <sheetName val="Lam1-10"/>
      <sheetName val="Lam1-9"/>
      <sheetName val="Lam1-8"/>
      <sheetName val="Lam1-7"/>
      <sheetName val="Lam1-3"/>
      <sheetName val="Lam1-2"/>
      <sheetName val="TC"/>
      <sheetName val="PC"/>
      <sheetName val="LPB-bh"/>
      <sheetName val="LPA-bh"/>
      <sheetName val="Mortar"/>
      <sheetName val="LAMP-20"/>
      <sheetName val="Alat-Jam"/>
      <sheetName val="Lam2-2"/>
      <sheetName val="Lam1-1"/>
      <sheetName val="Lam1-6"/>
      <sheetName val="Lam1-45"/>
      <sheetName val="HRS"/>
      <sheetName val="P-BATU"/>
      <sheetName val="Marka"/>
      <sheetName val="LPB"/>
      <sheetName val="ATB"/>
      <sheetName val="LPA"/>
      <sheetName val="KONF-PLANT"/>
      <sheetName val="SCED"/>
      <sheetName val="REKAP"/>
      <sheetName val="DAF-KUAN"/>
      <sheetName val="RUTIN"/>
      <sheetName val="LAM-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n-pns"/>
    </sheetNames>
    <sheetDataSet>
      <sheetData sheetId="0"/>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AB2"/>
      <sheetName val="RAB2 (2)"/>
      <sheetName val="R"/>
      <sheetName val="S_DAYA"/>
      <sheetName val="AHS"/>
      <sheetName val="Terbilang"/>
      <sheetName val="Hitungan"/>
    </sheetNames>
    <sheetDataSet>
      <sheetData sheetId="0" refreshError="1"/>
      <sheetData sheetId="1" refreshError="1"/>
      <sheetData sheetId="2" refreshError="1"/>
      <sheetData sheetId="3" refreshError="1"/>
      <sheetData sheetId="4" refreshError="1">
        <row r="39">
          <cell r="C39" t="str">
            <v>BAHAN</v>
          </cell>
        </row>
        <row r="41">
          <cell r="C41" t="str">
            <v>Portland Cement</v>
          </cell>
          <cell r="D41" t="str">
            <v>kg</v>
          </cell>
          <cell r="E41">
            <v>533</v>
          </cell>
        </row>
        <row r="42">
          <cell r="C42" t="str">
            <v>Coarse Aggregate</v>
          </cell>
          <cell r="D42" t="str">
            <v>m3</v>
          </cell>
          <cell r="E42">
            <v>135281</v>
          </cell>
        </row>
        <row r="43">
          <cell r="C43" t="str">
            <v>Fine Aggregate</v>
          </cell>
          <cell r="D43" t="str">
            <v>m3</v>
          </cell>
          <cell r="E43">
            <v>113390</v>
          </cell>
        </row>
        <row r="44">
          <cell r="C44" t="str">
            <v>Batu kali</v>
          </cell>
          <cell r="D44" t="str">
            <v>m3</v>
          </cell>
          <cell r="E44">
            <v>127764</v>
          </cell>
        </row>
        <row r="45">
          <cell r="C45" t="str">
            <v>Pasir Beton</v>
          </cell>
          <cell r="D45" t="str">
            <v>m3</v>
          </cell>
          <cell r="E45">
            <v>156510</v>
          </cell>
        </row>
        <row r="46">
          <cell r="C46" t="str">
            <v>Pasir Urug</v>
          </cell>
          <cell r="D46" t="str">
            <v>m3</v>
          </cell>
          <cell r="E46">
            <v>42588</v>
          </cell>
        </row>
        <row r="47">
          <cell r="C47" t="str">
            <v>Sirtu</v>
          </cell>
          <cell r="D47" t="str">
            <v>m3</v>
          </cell>
          <cell r="E47">
            <v>85176</v>
          </cell>
        </row>
        <row r="48">
          <cell r="C48" t="str">
            <v>Tanah Urug</v>
          </cell>
          <cell r="D48" t="str">
            <v>m3</v>
          </cell>
          <cell r="E48">
            <v>8518</v>
          </cell>
        </row>
        <row r="49">
          <cell r="C49" t="str">
            <v>Air</v>
          </cell>
          <cell r="D49" t="str">
            <v>m3</v>
          </cell>
          <cell r="E49">
            <v>6000</v>
          </cell>
        </row>
        <row r="50">
          <cell r="C50" t="str">
            <v>Besi Beton BJTD-40</v>
          </cell>
          <cell r="D50" t="str">
            <v>kg</v>
          </cell>
          <cell r="E50">
            <v>5324</v>
          </cell>
        </row>
        <row r="51">
          <cell r="C51" t="str">
            <v>Multipleks</v>
          </cell>
          <cell r="D51" t="str">
            <v>lbr</v>
          </cell>
          <cell r="E51">
            <v>70000</v>
          </cell>
        </row>
        <row r="52">
          <cell r="C52" t="str">
            <v>Papan Bekisting</v>
          </cell>
          <cell r="D52" t="str">
            <v>m3</v>
          </cell>
          <cell r="E52">
            <v>679279</v>
          </cell>
        </row>
        <row r="53">
          <cell r="C53" t="str">
            <v>Balok Pengaku</v>
          </cell>
          <cell r="D53" t="str">
            <v>m3</v>
          </cell>
          <cell r="E53">
            <v>692055</v>
          </cell>
        </row>
        <row r="54">
          <cell r="C54" t="str">
            <v>Paku</v>
          </cell>
          <cell r="D54" t="str">
            <v>kg</v>
          </cell>
          <cell r="E54">
            <v>16500</v>
          </cell>
        </row>
        <row r="55">
          <cell r="C55" t="str">
            <v>Kawat Beton</v>
          </cell>
          <cell r="D55" t="str">
            <v>kg</v>
          </cell>
          <cell r="E55">
            <v>9580</v>
          </cell>
        </row>
        <row r="56">
          <cell r="C56" t="str">
            <v>Oxygen</v>
          </cell>
          <cell r="D56" t="str">
            <v>kg</v>
          </cell>
          <cell r="E56">
            <v>18635</v>
          </cell>
        </row>
        <row r="57">
          <cell r="C57" t="str">
            <v>Acetylen</v>
          </cell>
          <cell r="D57" t="str">
            <v>kg</v>
          </cell>
          <cell r="E57">
            <v>31940</v>
          </cell>
        </row>
        <row r="58">
          <cell r="C58" t="str">
            <v>Cat Warna</v>
          </cell>
          <cell r="D58" t="str">
            <v>kg</v>
          </cell>
          <cell r="E58">
            <v>23425</v>
          </cell>
        </row>
        <row r="59">
          <cell r="C59" t="str">
            <v>Thinner</v>
          </cell>
          <cell r="D59" t="str">
            <v>kg</v>
          </cell>
          <cell r="E59">
            <v>11750</v>
          </cell>
        </row>
        <row r="60">
          <cell r="C60" t="str">
            <v>Coaltar Epoxy</v>
          </cell>
          <cell r="D60" t="str">
            <v>kg</v>
          </cell>
          <cell r="E60">
            <v>100000</v>
          </cell>
        </row>
        <row r="61">
          <cell r="C61" t="str">
            <v>Steel Expantion Joint</v>
          </cell>
          <cell r="D61" t="str">
            <v>m'</v>
          </cell>
          <cell r="E61">
            <v>2800000</v>
          </cell>
        </row>
        <row r="62">
          <cell r="C62" t="str">
            <v>Rubber Expantion Joint 25 mm</v>
          </cell>
          <cell r="D62" t="str">
            <v>m'</v>
          </cell>
          <cell r="E62">
            <v>2100000</v>
          </cell>
        </row>
        <row r="63">
          <cell r="C63" t="str">
            <v>Bearing pad main span</v>
          </cell>
          <cell r="D63" t="str">
            <v>bh</v>
          </cell>
          <cell r="E63">
            <v>475000</v>
          </cell>
        </row>
        <row r="64">
          <cell r="C64" t="str">
            <v>Lateral Stop</v>
          </cell>
          <cell r="D64" t="str">
            <v>bh</v>
          </cell>
          <cell r="E64">
            <v>450000</v>
          </cell>
        </row>
        <row r="65">
          <cell r="C65" t="str">
            <v>Kawat Las</v>
          </cell>
          <cell r="D65" t="str">
            <v>kg</v>
          </cell>
          <cell r="E65">
            <v>29280</v>
          </cell>
        </row>
        <row r="66">
          <cell r="C66" t="str">
            <v>Kawat Las mutu tinggi</v>
          </cell>
          <cell r="D66" t="str">
            <v>kg</v>
          </cell>
          <cell r="E66">
            <v>42500</v>
          </cell>
        </row>
        <row r="67">
          <cell r="C67" t="str">
            <v>PC Strand</v>
          </cell>
          <cell r="D67" t="str">
            <v>m'</v>
          </cell>
          <cell r="E67">
            <v>35000</v>
          </cell>
        </row>
        <row r="68">
          <cell r="C68" t="str">
            <v>Wire Rope</v>
          </cell>
          <cell r="D68" t="str">
            <v>m'</v>
          </cell>
          <cell r="E68">
            <v>25000</v>
          </cell>
        </row>
        <row r="69">
          <cell r="C69" t="str">
            <v>Plat Baja 3 mm</v>
          </cell>
          <cell r="D69" t="str">
            <v>kg</v>
          </cell>
          <cell r="E69">
            <v>7000</v>
          </cell>
        </row>
        <row r="70">
          <cell r="C70" t="str">
            <v>Plat Baja</v>
          </cell>
          <cell r="D70" t="str">
            <v>kg</v>
          </cell>
          <cell r="E70">
            <v>7000</v>
          </cell>
        </row>
        <row r="71">
          <cell r="C71" t="str">
            <v xml:space="preserve">Baja Profil </v>
          </cell>
          <cell r="D71" t="str">
            <v>kg</v>
          </cell>
          <cell r="E71">
            <v>6925</v>
          </cell>
        </row>
        <row r="72">
          <cell r="C72" t="str">
            <v>Pipa Baja dia. 600 mm, t=12 mm</v>
          </cell>
          <cell r="D72" t="str">
            <v>kg</v>
          </cell>
          <cell r="E72">
            <v>5600</v>
          </cell>
        </row>
        <row r="73">
          <cell r="C73" t="str">
            <v>Pipa Baja dia. 1000 mm, t=14 mm</v>
          </cell>
          <cell r="D73" t="str">
            <v>kg</v>
          </cell>
          <cell r="E73">
            <v>5600</v>
          </cell>
        </row>
        <row r="74">
          <cell r="C74" t="str">
            <v>Pipa Baja dia. 1000 mm, t=16 mm</v>
          </cell>
          <cell r="D74" t="str">
            <v>kg</v>
          </cell>
          <cell r="E74">
            <v>5600</v>
          </cell>
        </row>
        <row r="75">
          <cell r="C75" t="str">
            <v>Baja struktural SM 520 YB</v>
          </cell>
          <cell r="D75" t="str">
            <v>kg</v>
          </cell>
          <cell r="E75">
            <v>9500</v>
          </cell>
        </row>
        <row r="76">
          <cell r="C76" t="str">
            <v>Baja struktural SS 400</v>
          </cell>
          <cell r="D76" t="str">
            <v>kg</v>
          </cell>
          <cell r="E76">
            <v>9500</v>
          </cell>
        </row>
        <row r="77">
          <cell r="C77" t="str">
            <v>Pipa Baja</v>
          </cell>
          <cell r="D77" t="str">
            <v>kg</v>
          </cell>
          <cell r="E77">
            <v>5500</v>
          </cell>
        </row>
        <row r="78">
          <cell r="C78" t="str">
            <v>Non Srinkage Cement</v>
          </cell>
          <cell r="D78" t="str">
            <v>kg</v>
          </cell>
          <cell r="E78">
            <v>25000</v>
          </cell>
        </row>
        <row r="79">
          <cell r="C79" t="str">
            <v>Rambu-rambu Lalu Lintas</v>
          </cell>
          <cell r="D79" t="str">
            <v>bh</v>
          </cell>
          <cell r="E79">
            <v>416500</v>
          </cell>
        </row>
        <row r="80">
          <cell r="C80" t="str">
            <v>Aspal</v>
          </cell>
          <cell r="D80" t="str">
            <v>Kg</v>
          </cell>
          <cell r="E80">
            <v>4500</v>
          </cell>
        </row>
        <row r="81">
          <cell r="C81" t="str">
            <v>Kerosene</v>
          </cell>
          <cell r="D81" t="str">
            <v>ltr</v>
          </cell>
          <cell r="E81">
            <v>1000</v>
          </cell>
        </row>
        <row r="82">
          <cell r="C82" t="str">
            <v>Filler</v>
          </cell>
          <cell r="D82" t="str">
            <v>Kg</v>
          </cell>
          <cell r="E82">
            <v>1000</v>
          </cell>
        </row>
        <row r="95">
          <cell r="C95" t="str">
            <v>PERALATAN</v>
          </cell>
        </row>
        <row r="97">
          <cell r="C97" t="str">
            <v>Vibro Compactor</v>
          </cell>
          <cell r="D97" t="str">
            <v>jam</v>
          </cell>
          <cell r="E97">
            <v>165000</v>
          </cell>
        </row>
        <row r="98">
          <cell r="C98" t="str">
            <v>Dump Truck</v>
          </cell>
          <cell r="D98" t="str">
            <v>jam</v>
          </cell>
          <cell r="E98">
            <v>100000</v>
          </cell>
        </row>
        <row r="99">
          <cell r="C99" t="str">
            <v>Cargo Truck</v>
          </cell>
          <cell r="D99" t="str">
            <v>jam</v>
          </cell>
          <cell r="E99">
            <v>60000</v>
          </cell>
        </row>
        <row r="100">
          <cell r="C100" t="str">
            <v>Water Tank Truck</v>
          </cell>
          <cell r="D100" t="str">
            <v>jam</v>
          </cell>
          <cell r="E100">
            <v>55000</v>
          </cell>
        </row>
        <row r="101">
          <cell r="C101" t="str">
            <v>Bulldozer</v>
          </cell>
          <cell r="D101" t="str">
            <v>jam</v>
          </cell>
          <cell r="E101">
            <v>150000</v>
          </cell>
        </row>
        <row r="102">
          <cell r="C102" t="str">
            <v>Motor Grader</v>
          </cell>
          <cell r="D102" t="str">
            <v>jam</v>
          </cell>
          <cell r="E102">
            <v>150000</v>
          </cell>
        </row>
        <row r="103">
          <cell r="C103" t="str">
            <v>Excavator PC-200</v>
          </cell>
          <cell r="D103" t="str">
            <v>jam</v>
          </cell>
          <cell r="E103">
            <v>160000</v>
          </cell>
        </row>
        <row r="104">
          <cell r="C104" t="str">
            <v>Wheel Loader</v>
          </cell>
          <cell r="D104" t="str">
            <v>jam</v>
          </cell>
          <cell r="E104">
            <v>140000</v>
          </cell>
        </row>
        <row r="105">
          <cell r="C105" t="str">
            <v>Crawler Crane 150 ton</v>
          </cell>
          <cell r="D105" t="str">
            <v>jam</v>
          </cell>
          <cell r="E105">
            <v>420000</v>
          </cell>
        </row>
        <row r="106">
          <cell r="C106" t="str">
            <v>Crawler Crane 45 ton</v>
          </cell>
          <cell r="D106" t="str">
            <v>jam</v>
          </cell>
          <cell r="E106">
            <v>320000</v>
          </cell>
        </row>
        <row r="107">
          <cell r="C107" t="str">
            <v>Crawler Crane 25 ton</v>
          </cell>
          <cell r="D107" t="str">
            <v>jam</v>
          </cell>
          <cell r="E107">
            <v>200000</v>
          </cell>
        </row>
        <row r="108">
          <cell r="C108" t="str">
            <v>Crane Pancang</v>
          </cell>
          <cell r="D108" t="str">
            <v>jam</v>
          </cell>
          <cell r="E108">
            <v>225000</v>
          </cell>
        </row>
        <row r="109">
          <cell r="C109" t="str">
            <v>Diesel Hammer K-45</v>
          </cell>
          <cell r="D109" t="str">
            <v>jam</v>
          </cell>
          <cell r="E109">
            <v>139000</v>
          </cell>
        </row>
        <row r="110">
          <cell r="C110" t="str">
            <v>Diesel Hammer K-60</v>
          </cell>
          <cell r="D110" t="str">
            <v>jam</v>
          </cell>
          <cell r="E110">
            <v>250000</v>
          </cell>
        </row>
        <row r="111">
          <cell r="C111" t="str">
            <v>Vibrating Hammer</v>
          </cell>
          <cell r="D111" t="str">
            <v>jam</v>
          </cell>
          <cell r="E111">
            <v>200000</v>
          </cell>
        </row>
        <row r="112">
          <cell r="C112" t="str">
            <v>Ponton Kerja</v>
          </cell>
          <cell r="D112" t="str">
            <v>jam</v>
          </cell>
          <cell r="E112">
            <v>160000</v>
          </cell>
        </row>
        <row r="113">
          <cell r="C113" t="str">
            <v>Ponton Material</v>
          </cell>
          <cell r="D113" t="str">
            <v>jam</v>
          </cell>
          <cell r="E113">
            <v>225000</v>
          </cell>
        </row>
        <row r="114">
          <cell r="C114" t="str">
            <v>Ponton Pancang</v>
          </cell>
          <cell r="D114" t="str">
            <v>jam</v>
          </cell>
          <cell r="E114">
            <v>175000</v>
          </cell>
        </row>
        <row r="115">
          <cell r="C115" t="str">
            <v>Tug Boat</v>
          </cell>
          <cell r="D115" t="str">
            <v>jam</v>
          </cell>
          <cell r="E115">
            <v>200000</v>
          </cell>
        </row>
        <row r="116">
          <cell r="C116" t="str">
            <v>Speed Boat</v>
          </cell>
          <cell r="D116" t="str">
            <v>jam</v>
          </cell>
          <cell r="E116">
            <v>75000</v>
          </cell>
        </row>
        <row r="117">
          <cell r="C117" t="str">
            <v>Compressor</v>
          </cell>
          <cell r="D117" t="str">
            <v>jam</v>
          </cell>
          <cell r="E117">
            <v>75000</v>
          </cell>
        </row>
        <row r="118">
          <cell r="C118" t="str">
            <v>Trafo Las</v>
          </cell>
          <cell r="D118" t="str">
            <v>jam</v>
          </cell>
          <cell r="E118">
            <v>8000</v>
          </cell>
        </row>
        <row r="119">
          <cell r="C119" t="str">
            <v>Nald Vibrator</v>
          </cell>
          <cell r="D119" t="str">
            <v>jam</v>
          </cell>
          <cell r="E119">
            <v>17500</v>
          </cell>
        </row>
        <row r="120">
          <cell r="C120" t="str">
            <v>Concrete Pump</v>
          </cell>
          <cell r="D120" t="str">
            <v>jam</v>
          </cell>
          <cell r="E120">
            <v>150000</v>
          </cell>
        </row>
        <row r="121">
          <cell r="C121" t="str">
            <v>Concrete Mixer</v>
          </cell>
          <cell r="D121" t="str">
            <v>jam</v>
          </cell>
          <cell r="E121">
            <v>36200</v>
          </cell>
        </row>
        <row r="122">
          <cell r="C122" t="str">
            <v>Batching Plant</v>
          </cell>
          <cell r="D122" t="str">
            <v>jam</v>
          </cell>
          <cell r="E122">
            <v>175000</v>
          </cell>
        </row>
        <row r="123">
          <cell r="C123" t="str">
            <v xml:space="preserve">Genset </v>
          </cell>
          <cell r="D123" t="str">
            <v>jam</v>
          </cell>
          <cell r="E123">
            <v>65000</v>
          </cell>
        </row>
        <row r="124">
          <cell r="C124" t="str">
            <v>Water Pump</v>
          </cell>
          <cell r="D124" t="str">
            <v>jam</v>
          </cell>
          <cell r="E124">
            <v>10000</v>
          </cell>
        </row>
        <row r="125">
          <cell r="C125" t="str">
            <v>Water Jet Pump</v>
          </cell>
          <cell r="D125" t="str">
            <v>jam</v>
          </cell>
          <cell r="E125">
            <v>30000</v>
          </cell>
        </row>
        <row r="126">
          <cell r="C126" t="str">
            <v>Waste Water Pump</v>
          </cell>
          <cell r="D126" t="str">
            <v>jam</v>
          </cell>
          <cell r="E126">
            <v>25000</v>
          </cell>
        </row>
        <row r="127">
          <cell r="C127" t="str">
            <v>Stamper</v>
          </cell>
          <cell r="D127" t="str">
            <v>jam</v>
          </cell>
          <cell r="E127">
            <v>16000</v>
          </cell>
        </row>
        <row r="128">
          <cell r="C128" t="str">
            <v>Chain Saw</v>
          </cell>
          <cell r="D128" t="str">
            <v>jam</v>
          </cell>
          <cell r="E128">
            <v>17500</v>
          </cell>
        </row>
        <row r="129">
          <cell r="C129" t="str">
            <v>Bar Bender</v>
          </cell>
          <cell r="D129" t="str">
            <v>jam</v>
          </cell>
          <cell r="E129">
            <v>4500</v>
          </cell>
        </row>
        <row r="130">
          <cell r="C130" t="str">
            <v>Bar Cutter</v>
          </cell>
          <cell r="D130" t="str">
            <v>jam</v>
          </cell>
          <cell r="E130">
            <v>4500</v>
          </cell>
        </row>
        <row r="131">
          <cell r="C131" t="str">
            <v>Landing Ship Tank</v>
          </cell>
          <cell r="D131" t="str">
            <v>jam</v>
          </cell>
          <cell r="E131">
            <v>225000</v>
          </cell>
        </row>
        <row r="132">
          <cell r="C132" t="str">
            <v>Power Pack</v>
          </cell>
          <cell r="D132" t="str">
            <v>jam</v>
          </cell>
          <cell r="E132">
            <v>45000</v>
          </cell>
        </row>
        <row r="133">
          <cell r="C133" t="str">
            <v>Hydraulic Jack 150 ton</v>
          </cell>
          <cell r="D133" t="str">
            <v>jam</v>
          </cell>
          <cell r="E133">
            <v>35000</v>
          </cell>
        </row>
        <row r="134">
          <cell r="C134" t="str">
            <v>Alat Test Ultrasonic</v>
          </cell>
          <cell r="D134" t="str">
            <v>jam</v>
          </cell>
          <cell r="E134">
            <v>22500</v>
          </cell>
        </row>
        <row r="135">
          <cell r="C135" t="str">
            <v>Truck Mixer</v>
          </cell>
          <cell r="D135" t="str">
            <v>jam</v>
          </cell>
          <cell r="E135">
            <v>100000</v>
          </cell>
        </row>
        <row r="136">
          <cell r="C136" t="str">
            <v>Asphalt Sprayer</v>
          </cell>
          <cell r="D136" t="str">
            <v>jam</v>
          </cell>
          <cell r="E136">
            <v>50000</v>
          </cell>
        </row>
        <row r="137">
          <cell r="C137" t="str">
            <v>AMP</v>
          </cell>
          <cell r="D137" t="str">
            <v>jam</v>
          </cell>
          <cell r="E137">
            <v>900000</v>
          </cell>
        </row>
        <row r="138">
          <cell r="C138" t="str">
            <v>Asphalt Finisher</v>
          </cell>
          <cell r="D138" t="str">
            <v>jam</v>
          </cell>
          <cell r="E138">
            <v>300000</v>
          </cell>
        </row>
        <row r="139">
          <cell r="C139" t="str">
            <v>Tandem Roller</v>
          </cell>
          <cell r="D139" t="str">
            <v>jam</v>
          </cell>
          <cell r="E139">
            <v>125000</v>
          </cell>
        </row>
        <row r="140">
          <cell r="C140" t="str">
            <v>P. Tyre Roller</v>
          </cell>
          <cell r="D140" t="str">
            <v>jam</v>
          </cell>
          <cell r="E140">
            <v>150000</v>
          </cell>
        </row>
        <row r="141">
          <cell r="D141" t="str">
            <v>jam</v>
          </cell>
        </row>
      </sheetData>
      <sheetData sheetId="5" refreshError="1"/>
      <sheetData sheetId="6" refreshError="1"/>
      <sheetData sheetId="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ARGA"/>
      <sheetName val="ANALISA"/>
      <sheetName val="METODE"/>
      <sheetName val="DHJS-PEK"/>
      <sheetName val="REKAP"/>
      <sheetName val="SCEDUL"/>
      <sheetName val="SKEMA"/>
      <sheetName val="MINAT"/>
      <sheetName val="S-PENA"/>
    </sheetNames>
    <sheetDataSet>
      <sheetData sheetId="0" refreshError="1">
        <row r="16">
          <cell r="G16">
            <v>30000</v>
          </cell>
        </row>
        <row r="17">
          <cell r="G17">
            <v>25000</v>
          </cell>
        </row>
        <row r="18">
          <cell r="G18">
            <v>22500</v>
          </cell>
        </row>
        <row r="19">
          <cell r="G19">
            <v>20000</v>
          </cell>
        </row>
        <row r="23">
          <cell r="G23">
            <v>32000</v>
          </cell>
        </row>
        <row r="24">
          <cell r="G24">
            <v>27000</v>
          </cell>
        </row>
        <row r="25">
          <cell r="G25">
            <v>23500</v>
          </cell>
        </row>
        <row r="26">
          <cell r="G26">
            <v>57500</v>
          </cell>
        </row>
        <row r="27">
          <cell r="G27">
            <v>50000</v>
          </cell>
        </row>
        <row r="29">
          <cell r="G29">
            <v>500000</v>
          </cell>
        </row>
        <row r="32">
          <cell r="G32">
            <v>500</v>
          </cell>
        </row>
        <row r="33">
          <cell r="G33">
            <v>3275</v>
          </cell>
        </row>
        <row r="34">
          <cell r="G34">
            <v>10000</v>
          </cell>
        </row>
        <row r="35">
          <cell r="G35">
            <v>8500</v>
          </cell>
        </row>
      </sheetData>
      <sheetData sheetId="1"/>
      <sheetData sheetId="2"/>
      <sheetData sheetId="3"/>
      <sheetData sheetId="4"/>
      <sheetData sheetId="5"/>
      <sheetData sheetId="6"/>
      <sheetData sheetId="7"/>
      <sheetData sheetId="8"/>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 shedule"/>
      <sheetName val="SCHEDULE TENAGA"/>
      <sheetName val="REKAP RAB"/>
      <sheetName val="RAB"/>
      <sheetName val="PEMAKAIAN ALAT &amp; TK"/>
      <sheetName val="ANALISA HARGA SAT."/>
      <sheetName val="CAPACITY"/>
      <sheetName val="PRICE"/>
    </sheetNames>
    <sheetDataSet>
      <sheetData sheetId="0"/>
      <sheetData sheetId="1">
        <row r="39">
          <cell r="F39">
            <v>6</v>
          </cell>
        </row>
      </sheetData>
      <sheetData sheetId="2"/>
      <sheetData sheetId="3"/>
      <sheetData sheetId="4"/>
      <sheetData sheetId="5">
        <row r="13">
          <cell r="J13">
            <v>2E-3</v>
          </cell>
        </row>
        <row r="14">
          <cell r="J14">
            <v>2E-3</v>
          </cell>
        </row>
        <row r="15">
          <cell r="J15">
            <v>0.01</v>
          </cell>
        </row>
        <row r="18">
          <cell r="J18">
            <v>2E-3</v>
          </cell>
        </row>
        <row r="23">
          <cell r="J23">
            <v>1.4E-2</v>
          </cell>
        </row>
        <row r="24">
          <cell r="J24">
            <v>1.085</v>
          </cell>
        </row>
        <row r="29">
          <cell r="J29">
            <v>7.0000000000000001E-3</v>
          </cell>
        </row>
        <row r="30">
          <cell r="J30">
            <v>0.22600000000000001</v>
          </cell>
        </row>
        <row r="31">
          <cell r="J31">
            <v>7.3999999999999996E-2</v>
          </cell>
        </row>
        <row r="32">
          <cell r="J32">
            <v>7.5999999999999998E-2</v>
          </cell>
        </row>
        <row r="37">
          <cell r="J37">
            <v>7.0000000000000001E-3</v>
          </cell>
        </row>
        <row r="38">
          <cell r="J38">
            <v>0.22600000000000001</v>
          </cell>
        </row>
        <row r="39">
          <cell r="J39">
            <v>0.08</v>
          </cell>
        </row>
        <row r="40">
          <cell r="J40">
            <v>7.5999999999999998E-2</v>
          </cell>
        </row>
        <row r="45">
          <cell r="J45">
            <v>2.4E-2</v>
          </cell>
        </row>
        <row r="46">
          <cell r="J46">
            <v>1.4</v>
          </cell>
        </row>
        <row r="51">
          <cell r="J51">
            <v>0.01</v>
          </cell>
        </row>
        <row r="52">
          <cell r="J52">
            <v>0.33</v>
          </cell>
        </row>
        <row r="57">
          <cell r="J57">
            <v>0.02</v>
          </cell>
        </row>
        <row r="58">
          <cell r="J58">
            <v>0.66</v>
          </cell>
        </row>
        <row r="78">
          <cell r="J78">
            <v>0.25</v>
          </cell>
        </row>
        <row r="79">
          <cell r="J79">
            <v>0.25</v>
          </cell>
        </row>
        <row r="105">
          <cell r="J105">
            <v>8.0000000000000002E-3</v>
          </cell>
        </row>
        <row r="106">
          <cell r="J106">
            <v>0.05</v>
          </cell>
        </row>
        <row r="111">
          <cell r="J111">
            <v>2E-3</v>
          </cell>
        </row>
        <row r="112">
          <cell r="J112">
            <v>0.05</v>
          </cell>
        </row>
        <row r="113">
          <cell r="J113">
            <v>0.02</v>
          </cell>
        </row>
        <row r="118">
          <cell r="J118">
            <v>1.2999999999999999E-2</v>
          </cell>
        </row>
        <row r="119">
          <cell r="J119">
            <v>0.25</v>
          </cell>
        </row>
      </sheetData>
      <sheetData sheetId="6">
        <row r="31">
          <cell r="J31">
            <v>568.28571428571433</v>
          </cell>
        </row>
        <row r="48">
          <cell r="J48">
            <v>136.60589285714286</v>
          </cell>
        </row>
        <row r="68">
          <cell r="J68">
            <v>373.29732142857148</v>
          </cell>
        </row>
        <row r="92">
          <cell r="J92">
            <v>394.77178571428573</v>
          </cell>
        </row>
        <row r="116">
          <cell r="J116">
            <v>55.193928571428572</v>
          </cell>
        </row>
        <row r="135">
          <cell r="J135">
            <v>90.617499999999993</v>
          </cell>
        </row>
        <row r="152">
          <cell r="J152">
            <v>300.35575</v>
          </cell>
        </row>
      </sheetData>
      <sheetData sheetId="7"/>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SPH"/>
      <sheetName val="Rekap "/>
      <sheetName val="RAB"/>
      <sheetName val="BASIC"/>
      <sheetName val="ANALIS"/>
      <sheetName val="ANAL lump sum"/>
      <sheetName val="TS"/>
      <sheetName val="RAP"/>
    </sheetNames>
    <sheetDataSet>
      <sheetData sheetId="0"/>
      <sheetData sheetId="1"/>
      <sheetData sheetId="2"/>
      <sheetData sheetId="3"/>
      <sheetData sheetId="4">
        <row r="18">
          <cell r="F18">
            <v>43650</v>
          </cell>
        </row>
        <row r="28">
          <cell r="F28">
            <v>27500</v>
          </cell>
        </row>
        <row r="29">
          <cell r="F29">
            <v>24250</v>
          </cell>
        </row>
        <row r="30">
          <cell r="F30">
            <v>22250</v>
          </cell>
        </row>
        <row r="36">
          <cell r="F36">
            <v>23375</v>
          </cell>
        </row>
        <row r="37">
          <cell r="F37">
            <v>48500</v>
          </cell>
        </row>
        <row r="38">
          <cell r="F38">
            <v>29100</v>
          </cell>
        </row>
        <row r="49">
          <cell r="F49">
            <v>650000</v>
          </cell>
        </row>
        <row r="50">
          <cell r="F50">
            <v>150000</v>
          </cell>
        </row>
        <row r="51">
          <cell r="F51">
            <v>45000</v>
          </cell>
        </row>
        <row r="58">
          <cell r="F58">
            <v>32850</v>
          </cell>
        </row>
        <row r="59">
          <cell r="F59">
            <v>46900</v>
          </cell>
        </row>
        <row r="66">
          <cell r="F66">
            <v>55000</v>
          </cell>
        </row>
        <row r="67">
          <cell r="F67">
            <v>12145</v>
          </cell>
        </row>
        <row r="68">
          <cell r="F68">
            <v>52500</v>
          </cell>
        </row>
        <row r="102">
          <cell r="F102">
            <v>47500</v>
          </cell>
        </row>
        <row r="104">
          <cell r="F104">
            <v>75000</v>
          </cell>
        </row>
        <row r="105">
          <cell r="F105">
            <v>90000</v>
          </cell>
        </row>
        <row r="106">
          <cell r="F106">
            <v>85000</v>
          </cell>
        </row>
        <row r="107">
          <cell r="F107">
            <v>85000</v>
          </cell>
        </row>
        <row r="133">
          <cell r="F133">
            <v>500</v>
          </cell>
        </row>
        <row r="138">
          <cell r="F138">
            <v>45000</v>
          </cell>
        </row>
        <row r="139">
          <cell r="F139">
            <v>515</v>
          </cell>
        </row>
        <row r="140">
          <cell r="F140">
            <v>605</v>
          </cell>
        </row>
        <row r="147">
          <cell r="F147">
            <v>33500</v>
          </cell>
        </row>
      </sheetData>
      <sheetData sheetId="5"/>
      <sheetData sheetId="6"/>
      <sheetData sheetId="7"/>
      <sheetData sheetId="8"/>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
      <sheetName val="ANALISA"/>
      <sheetName val="REKAP"/>
      <sheetName val="BANGUNAN UTAMA"/>
      <sheetName val="INSTALASI ME "/>
      <sheetName val="KANTOR"/>
      <sheetName val="MUSHOLLA"/>
      <sheetName val="POS JAGA"/>
      <sheetName val="KM&amp;WC musolla"/>
      <sheetName val="KM&amp;WC 2bh"/>
      <sheetName val="KM&amp;WC 3 bh"/>
      <sheetName val="PAGAR DEPAN"/>
      <sheetName val="PAGAR SAMP &amp; BEL"/>
      <sheetName val="HALAMAN"/>
      <sheetName val="DEPO SAMPAH"/>
      <sheetName val="REKAP (2)"/>
      <sheetName val="LOS LESEHAN"/>
      <sheetName val="KIOS SAMPING"/>
      <sheetName val="INSTALASI ME KIOS"/>
      <sheetName val="Bill-2"/>
      <sheetName val="Analisa Gabungan"/>
      <sheetName val="Sub"/>
      <sheetName val="Upah"/>
      <sheetName val="boq"/>
      <sheetName val="Harga Satuan"/>
      <sheetName val="HB"/>
      <sheetName val="BASIC"/>
      <sheetName val="Harga Dasar"/>
      <sheetName val="Mob _ demob"/>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han"/>
      <sheetName val="analisa"/>
      <sheetName val="Rekap Analisa"/>
      <sheetName val="rekap"/>
      <sheetName val="weekly"/>
      <sheetName val="elec det"/>
      <sheetName val="locker"/>
      <sheetName val="office"/>
      <sheetName val="penunjang"/>
      <sheetName val="ground"/>
      <sheetName val="plastic mould"/>
      <sheetName val="non expl"/>
      <sheetName val="delay prod"/>
      <sheetName val="plain det"/>
      <sheetName val="ddnp pent"/>
      <sheetName val="raw ddnp"/>
      <sheetName val="product test"/>
      <sheetName val="boiler"/>
    </sheetNames>
    <sheetDataSet>
      <sheetData sheetId="0" refreshError="1"/>
      <sheetData sheetId="1">
        <row r="682">
          <cell r="F682">
            <v>2598700</v>
          </cell>
        </row>
        <row r="687">
          <cell r="F687">
            <v>2123575</v>
          </cell>
        </row>
        <row r="693">
          <cell r="F693">
            <v>3993450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harsat"/>
      <sheetName val="rekap"/>
      <sheetName val="rekap (2)"/>
      <sheetName val="rab"/>
      <sheetName val="volume"/>
      <sheetName val="Sheet1"/>
      <sheetName val="Sheet2"/>
      <sheetName val="Sheet3"/>
      <sheetName val="bahan"/>
      <sheetName val="RANGE BAHAN"/>
      <sheetName val="HB "/>
      <sheetName val="Harga "/>
      <sheetName val="Sat Upah"/>
    </sheetNames>
    <sheetDataSet>
      <sheetData sheetId="0" refreshError="1">
        <row r="158">
          <cell r="D158" t="str">
            <v>hr. Pekerja/ Buruh Tak Trampil</v>
          </cell>
        </row>
        <row r="476">
          <cell r="D476" t="str">
            <v>hr. Pekerja Terampil</v>
          </cell>
        </row>
      </sheetData>
      <sheetData sheetId="1" refreshError="1">
        <row r="8">
          <cell r="G8">
            <v>11220</v>
          </cell>
        </row>
        <row r="9">
          <cell r="G9">
            <v>30000</v>
          </cell>
        </row>
        <row r="11">
          <cell r="G11">
            <v>1705</v>
          </cell>
        </row>
        <row r="12">
          <cell r="G12">
            <v>4950</v>
          </cell>
        </row>
        <row r="18">
          <cell r="G18">
            <v>2750000</v>
          </cell>
        </row>
        <row r="20">
          <cell r="G20">
            <v>2220000</v>
          </cell>
        </row>
        <row r="26">
          <cell r="G26">
            <v>300</v>
          </cell>
        </row>
        <row r="29">
          <cell r="G29">
            <v>70000</v>
          </cell>
        </row>
        <row r="31">
          <cell r="G31">
            <v>60500</v>
          </cell>
        </row>
        <row r="32">
          <cell r="G32">
            <v>3680</v>
          </cell>
        </row>
        <row r="33">
          <cell r="G33">
            <v>24750</v>
          </cell>
        </row>
        <row r="114">
          <cell r="G114">
            <v>35000</v>
          </cell>
        </row>
        <row r="115">
          <cell r="G115">
            <v>30000</v>
          </cell>
        </row>
        <row r="116">
          <cell r="G116">
            <v>35000</v>
          </cell>
        </row>
        <row r="117">
          <cell r="G117">
            <v>30000</v>
          </cell>
        </row>
        <row r="118">
          <cell r="G118">
            <v>30000</v>
          </cell>
        </row>
        <row r="119">
          <cell r="G119">
            <v>30000</v>
          </cell>
        </row>
        <row r="120">
          <cell r="G120">
            <v>30000</v>
          </cell>
        </row>
        <row r="122">
          <cell r="G122">
            <v>25000</v>
          </cell>
        </row>
        <row r="123">
          <cell r="G123">
            <v>30000</v>
          </cell>
        </row>
        <row r="124">
          <cell r="G124">
            <v>25000</v>
          </cell>
        </row>
        <row r="125">
          <cell r="G125">
            <v>25000</v>
          </cell>
        </row>
        <row r="127">
          <cell r="G127">
            <v>25000</v>
          </cell>
        </row>
        <row r="128">
          <cell r="G128">
            <v>25000</v>
          </cell>
        </row>
        <row r="129">
          <cell r="G129">
            <v>22500</v>
          </cell>
        </row>
        <row r="130">
          <cell r="G130">
            <v>20000</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S"/>
      <sheetName val="Pekerjaan Utama"/>
      <sheetName val="Rekap Biaya"/>
      <sheetName val="Kuantitas &amp; Harga"/>
      <sheetName val="Rutin"/>
      <sheetName val="Analisa"/>
      <sheetName val="div-8"/>
      <sheetName val="div-7"/>
      <sheetName val="Div-6"/>
      <sheetName val="div-5"/>
      <sheetName val="div-4)"/>
      <sheetName val="div-3"/>
      <sheetName val="div-2"/>
      <sheetName val="Mobilisasi"/>
      <sheetName val="Aggr"/>
      <sheetName val="Quarry"/>
      <sheetName val="alat"/>
      <sheetName val="Basic Price"/>
      <sheetName val="Informa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3">
          <cell r="G13" t="str">
            <v>Ah</v>
          </cell>
          <cell r="H13">
            <v>40</v>
          </cell>
          <cell r="I13" t="str">
            <v>%</v>
          </cell>
        </row>
        <row r="14">
          <cell r="G14" t="str">
            <v>Ak</v>
          </cell>
          <cell r="H14">
            <v>60</v>
          </cell>
          <cell r="I14" t="str">
            <v>%</v>
          </cell>
        </row>
        <row r="15">
          <cell r="G15" t="str">
            <v>HSAh</v>
          </cell>
          <cell r="H15">
            <v>135307.67092099538</v>
          </cell>
          <cell r="I15" t="str">
            <v>Rp./M3</v>
          </cell>
        </row>
        <row r="16">
          <cell r="G16" t="str">
            <v>HSAk</v>
          </cell>
          <cell r="H16">
            <v>133812.65787755378</v>
          </cell>
          <cell r="I16" t="str">
            <v>Rp./M3</v>
          </cell>
        </row>
        <row r="17">
          <cell r="G17" t="str">
            <v>Rp1</v>
          </cell>
          <cell r="H17">
            <v>120703.09460566843</v>
          </cell>
          <cell r="I17" t="str">
            <v>Rp./Jam</v>
          </cell>
        </row>
        <row r="18">
          <cell r="G18" t="str">
            <v>Fa1</v>
          </cell>
          <cell r="H18">
            <v>0.8</v>
          </cell>
          <cell r="I18" t="str">
            <v>-</v>
          </cell>
        </row>
        <row r="19">
          <cell r="G19" t="str">
            <v>Cp2</v>
          </cell>
          <cell r="H19">
            <v>1.5</v>
          </cell>
          <cell r="I19" t="str">
            <v>M3</v>
          </cell>
        </row>
      </sheetData>
      <sheetData sheetId="15" refreshError="1"/>
      <sheetData sheetId="16" refreshError="1">
        <row r="15">
          <cell r="AW15">
            <v>138269.41467687697</v>
          </cell>
        </row>
        <row r="20">
          <cell r="AW20">
            <v>158331.25649778178</v>
          </cell>
        </row>
        <row r="22">
          <cell r="AW22">
            <v>120703.09460566843</v>
          </cell>
        </row>
        <row r="25">
          <cell r="AW25">
            <v>123395.151900308</v>
          </cell>
        </row>
        <row r="26">
          <cell r="AW26">
            <v>129082.19354838712</v>
          </cell>
        </row>
        <row r="30">
          <cell r="AW30">
            <v>139311.80570233689</v>
          </cell>
        </row>
      </sheetData>
      <sheetData sheetId="17" refreshError="1">
        <row r="8">
          <cell r="F8">
            <v>5000</v>
          </cell>
        </row>
        <row r="12">
          <cell r="F12">
            <v>6500</v>
          </cell>
        </row>
        <row r="48">
          <cell r="F48">
            <v>133812.65787755378</v>
          </cell>
        </row>
        <row r="50">
          <cell r="F50">
            <v>135307.67092099538</v>
          </cell>
        </row>
      </sheetData>
      <sheetData sheetId="1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S"/>
      <sheetName val="Pekerjaan Utama"/>
      <sheetName val="Rekap Biaya"/>
      <sheetName val="Kuantitas &amp; Harga"/>
      <sheetName val="Rutin"/>
      <sheetName val="Analisa"/>
      <sheetName val="div-8"/>
      <sheetName val="div-7"/>
      <sheetName val="Div-6"/>
      <sheetName val="div-5"/>
      <sheetName val="div-4)"/>
      <sheetName val="div-3"/>
      <sheetName val="div-2"/>
      <sheetName val="Mobilisasi"/>
      <sheetName val="Aggr"/>
      <sheetName val="Quarry"/>
      <sheetName val="alat"/>
      <sheetName val="Basic Price"/>
      <sheetName val="Informasi"/>
    </sheetNames>
    <sheetDataSet>
      <sheetData sheetId="0"/>
      <sheetData sheetId="1"/>
      <sheetData sheetId="2"/>
      <sheetData sheetId="3"/>
      <sheetData sheetId="4"/>
      <sheetData sheetId="5" refreshError="1">
        <row r="51">
          <cell r="U51">
            <v>213203.21</v>
          </cell>
        </row>
      </sheetData>
      <sheetData sheetId="6" refreshError="1">
        <row r="1">
          <cell r="A1" t="str">
            <v>ITEM PEMBAYARAN NO.</v>
          </cell>
          <cell r="D1" t="str">
            <v>:  8.1 (1)</v>
          </cell>
          <cell r="J1" t="str">
            <v>Analisa EI-811</v>
          </cell>
          <cell r="T1" t="str">
            <v>Analisa EI-811</v>
          </cell>
        </row>
        <row r="2">
          <cell r="A2" t="str">
            <v>JENIS PEKERJAAN</v>
          </cell>
          <cell r="D2" t="str">
            <v>:  Pondasi Agregat Kls. A Untuk Pek. Minor</v>
          </cell>
        </row>
        <row r="3">
          <cell r="A3" t="str">
            <v>SATUAN PEMBAYARAN</v>
          </cell>
          <cell r="D3" t="str">
            <v>:  M3</v>
          </cell>
          <cell r="H3" t="str">
            <v xml:space="preserve">         URAIAN ANALISA HARGA SATUAN</v>
          </cell>
        </row>
        <row r="4">
          <cell r="L4" t="str">
            <v>ANALISA HARGA SATUAN MATA PEMBAYARAN UTAMA</v>
          </cell>
        </row>
        <row r="5">
          <cell r="L5" t="str">
            <v xml:space="preserve">                                                                                                            </v>
          </cell>
        </row>
        <row r="6">
          <cell r="A6" t="str">
            <v>No.</v>
          </cell>
          <cell r="C6" t="str">
            <v>U R A I A N</v>
          </cell>
          <cell r="G6" t="str">
            <v>KODE</v>
          </cell>
          <cell r="H6" t="str">
            <v>KOEF.</v>
          </cell>
          <cell r="I6" t="str">
            <v>SATUAN</v>
          </cell>
          <cell r="J6" t="str">
            <v>KETERANGAN</v>
          </cell>
        </row>
        <row r="9">
          <cell r="A9" t="str">
            <v>I.</v>
          </cell>
          <cell r="C9" t="str">
            <v>ASUMSI</v>
          </cell>
          <cell r="L9" t="str">
            <v>NAMA PESERTA LELANG</v>
          </cell>
          <cell r="O9" t="str">
            <v>:  CV. CAHAYA</v>
          </cell>
        </row>
        <row r="10">
          <cell r="A10">
            <v>1</v>
          </cell>
          <cell r="C10" t="str">
            <v>Menggunakan alat berat (cara mekanik)</v>
          </cell>
          <cell r="L10" t="str">
            <v>ITEM PEMBAYARAN NO.</v>
          </cell>
          <cell r="O10" t="str">
            <v>:  8.1 (1)</v>
          </cell>
        </row>
        <row r="11">
          <cell r="A11">
            <v>2</v>
          </cell>
          <cell r="C11" t="str">
            <v>Lokasi pekerjaan : setempat2 di sepanjang jalan</v>
          </cell>
          <cell r="L11" t="str">
            <v>JENIS PEKERJAAN</v>
          </cell>
          <cell r="O11" t="str">
            <v>:  Pondasi Agregat Kls. A Untuk Pek. Minor</v>
          </cell>
        </row>
        <row r="12">
          <cell r="A12">
            <v>3</v>
          </cell>
          <cell r="C12" t="str">
            <v>Kondisi existing jalan : sedang</v>
          </cell>
          <cell r="L12" t="str">
            <v>SATUAN PEMBAYARAN</v>
          </cell>
          <cell r="O12" t="str">
            <v>:  M3</v>
          </cell>
        </row>
        <row r="13">
          <cell r="A13">
            <v>4</v>
          </cell>
          <cell r="C13" t="str">
            <v>Jarak rata-rata Base Camp ke lokasi pekerjaan</v>
          </cell>
          <cell r="G13" t="str">
            <v>L</v>
          </cell>
          <cell r="H13">
            <v>11.5</v>
          </cell>
          <cell r="I13" t="str">
            <v>KM</v>
          </cell>
          <cell r="L13" t="str">
            <v xml:space="preserve">PERKIRAAN KUANTITAS </v>
          </cell>
          <cell r="O13" t="str">
            <v>:</v>
          </cell>
        </row>
        <row r="14">
          <cell r="A14">
            <v>5</v>
          </cell>
          <cell r="C14" t="str">
            <v>Tebal lapis agregat padat</v>
          </cell>
          <cell r="G14" t="str">
            <v>t</v>
          </cell>
          <cell r="H14">
            <v>0.15</v>
          </cell>
          <cell r="I14" t="str">
            <v>M</v>
          </cell>
          <cell r="L14" t="str">
            <v>PRODUKSI HARIAN/JAM</v>
          </cell>
          <cell r="O14" t="str">
            <v>:</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60</v>
          </cell>
          <cell r="I17" t="str">
            <v>%</v>
          </cell>
          <cell r="J17" t="str">
            <v xml:space="preserve"> Gradasi harus</v>
          </cell>
          <cell r="Q17" t="str">
            <v>PERKIRAAN</v>
          </cell>
          <cell r="R17" t="str">
            <v>HARGA</v>
          </cell>
          <cell r="S17" t="str">
            <v>JUMLAH</v>
          </cell>
        </row>
        <row r="18">
          <cell r="D18" t="str">
            <v>- Agregat Halus</v>
          </cell>
          <cell r="G18" t="str">
            <v>Ah</v>
          </cell>
          <cell r="H18">
            <v>40</v>
          </cell>
          <cell r="I18" t="str">
            <v>%</v>
          </cell>
          <cell r="J18" t="str">
            <v xml:space="preserve"> 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 xml:space="preserve">Wheel Loader mencampur &amp; memuat Agregat ke </v>
          </cell>
        </row>
        <row r="21">
          <cell r="C21" t="str">
            <v>dalam Dump Truck di Base Camp</v>
          </cell>
        </row>
        <row r="22">
          <cell r="A22">
            <v>2</v>
          </cell>
          <cell r="C22" t="str">
            <v>Dump Truck mengangkut Agregat ke lokasi</v>
          </cell>
          <cell r="L22" t="str">
            <v>A.</v>
          </cell>
          <cell r="N22" t="str">
            <v>TENAGA</v>
          </cell>
        </row>
        <row r="23">
          <cell r="C23" t="str">
            <v>pekerjaan dan dihampar secara manual</v>
          </cell>
        </row>
        <row r="24">
          <cell r="A24">
            <v>3</v>
          </cell>
          <cell r="C24" t="str">
            <v>Hamparan Agregat dibasahi dengan Water Tank</v>
          </cell>
          <cell r="L24" t="str">
            <v>1.</v>
          </cell>
          <cell r="N24" t="str">
            <v>Pekerja Biasa</v>
          </cell>
          <cell r="O24" t="str">
            <v>(L01)</v>
          </cell>
          <cell r="P24" t="str">
            <v>jam</v>
          </cell>
          <cell r="Q24">
            <v>0.25929999999999997</v>
          </cell>
          <cell r="R24">
            <v>5000</v>
          </cell>
          <cell r="U24">
            <v>1296.5</v>
          </cell>
        </row>
        <row r="25">
          <cell r="C25" t="str">
            <v>Truck sebelum dipadatkan dengan Pedestrian Roller</v>
          </cell>
          <cell r="L25" t="str">
            <v>2.</v>
          </cell>
          <cell r="N25" t="str">
            <v>Mandor</v>
          </cell>
          <cell r="O25" t="str">
            <v>(L03)</v>
          </cell>
          <cell r="P25" t="str">
            <v>jam</v>
          </cell>
          <cell r="Q25">
            <v>3.6999999999999998E-2</v>
          </cell>
          <cell r="R25">
            <v>6500</v>
          </cell>
          <cell r="U25">
            <v>240.5</v>
          </cell>
        </row>
        <row r="26">
          <cell r="A26">
            <v>4</v>
          </cell>
          <cell r="C26" t="str">
            <v>Sekelompok pekerja membuat galian lubang/patching,</v>
          </cell>
        </row>
        <row r="27">
          <cell r="C27" t="str">
            <v>merapikan tepi hamparan dan level permukaan</v>
          </cell>
        </row>
        <row r="28">
          <cell r="C28" t="str">
            <v>dengan menggunakan Alat Bantu</v>
          </cell>
          <cell r="Q28" t="str">
            <v xml:space="preserve">JUMLAH HARGA TENAGA   </v>
          </cell>
          <cell r="U28">
            <v>1537</v>
          </cell>
        </row>
        <row r="30">
          <cell r="A30" t="str">
            <v>III.</v>
          </cell>
          <cell r="C30" t="str">
            <v>PEMAKAIAN BAHAN, ALAT DAN TENAGA</v>
          </cell>
          <cell r="L30" t="str">
            <v>B.</v>
          </cell>
          <cell r="N30" t="str">
            <v>BAHAN</v>
          </cell>
        </row>
        <row r="32">
          <cell r="A32" t="str">
            <v xml:space="preserve">   1.</v>
          </cell>
          <cell r="C32" t="str">
            <v>BAHAN</v>
          </cell>
          <cell r="L32" t="str">
            <v>1.</v>
          </cell>
          <cell r="N32" t="str">
            <v xml:space="preserve">Agregat Kasar  </v>
          </cell>
          <cell r="O32" t="str">
            <v>(M03)</v>
          </cell>
          <cell r="P32" t="str">
            <v>M3</v>
          </cell>
          <cell r="Q32">
            <v>0.72</v>
          </cell>
          <cell r="R32">
            <v>133812.65787755378</v>
          </cell>
          <cell r="U32">
            <v>96345.11</v>
          </cell>
        </row>
        <row r="33">
          <cell r="C33" t="str">
            <v>- Agregat Kasar</v>
          </cell>
          <cell r="D33" t="str">
            <v>=  Ak x 1 M3 x Fk</v>
          </cell>
          <cell r="G33" t="str">
            <v>M03</v>
          </cell>
          <cell r="H33">
            <v>0.72</v>
          </cell>
          <cell r="I33" t="str">
            <v>M3</v>
          </cell>
          <cell r="L33" t="str">
            <v>2.</v>
          </cell>
          <cell r="N33" t="str">
            <v xml:space="preserve">Agregat Halus  </v>
          </cell>
          <cell r="O33" t="str">
            <v>(M04)</v>
          </cell>
          <cell r="P33" t="str">
            <v>M3</v>
          </cell>
          <cell r="Q33">
            <v>0.48</v>
          </cell>
          <cell r="R33">
            <v>135307.67092099538</v>
          </cell>
          <cell r="U33">
            <v>64947.68</v>
          </cell>
        </row>
        <row r="34">
          <cell r="C34" t="str">
            <v>- Agregat Halus</v>
          </cell>
          <cell r="D34" t="str">
            <v>=  Ah x 1 M3 x Fk</v>
          </cell>
          <cell r="G34" t="str">
            <v>M04</v>
          </cell>
          <cell r="H34">
            <v>0.48</v>
          </cell>
          <cell r="I34" t="str">
            <v>M3</v>
          </cell>
        </row>
        <row r="36">
          <cell r="A36" t="str">
            <v xml:space="preserve">   2.</v>
          </cell>
          <cell r="C36" t="str">
            <v>ALAT</v>
          </cell>
        </row>
        <row r="37">
          <cell r="A37" t="str">
            <v xml:space="preserve">   2.a.</v>
          </cell>
          <cell r="C37" t="str">
            <v>WHEEL LOADER</v>
          </cell>
          <cell r="G37" t="str">
            <v>(E15)</v>
          </cell>
        </row>
        <row r="38">
          <cell r="C38" t="str">
            <v>Kapasitas bucket</v>
          </cell>
          <cell r="G38" t="str">
            <v>V</v>
          </cell>
          <cell r="H38">
            <v>1.5</v>
          </cell>
          <cell r="I38" t="str">
            <v>M3</v>
          </cell>
          <cell r="Q38" t="str">
            <v xml:space="preserve">JUMLAH HARGA BAHAN   </v>
          </cell>
          <cell r="U38">
            <v>161292.79</v>
          </cell>
        </row>
        <row r="39">
          <cell r="C39" t="str">
            <v>Faktor bucket</v>
          </cell>
          <cell r="G39" t="str">
            <v>Fb</v>
          </cell>
          <cell r="H39">
            <v>0.9</v>
          </cell>
          <cell r="I39" t="str">
            <v>-</v>
          </cell>
        </row>
        <row r="40">
          <cell r="C40" t="str">
            <v>Faktor Efisiensi alat</v>
          </cell>
          <cell r="G40" t="str">
            <v>Fa</v>
          </cell>
          <cell r="H40">
            <v>0.8</v>
          </cell>
          <cell r="I40" t="str">
            <v>-</v>
          </cell>
          <cell r="L40" t="str">
            <v>C.</v>
          </cell>
          <cell r="N40" t="str">
            <v>PERALATAN</v>
          </cell>
        </row>
        <row r="41">
          <cell r="C41" t="str">
            <v>Waktu Siklus :</v>
          </cell>
          <cell r="G41" t="str">
            <v>Ts1</v>
          </cell>
        </row>
        <row r="42">
          <cell r="C42" t="str">
            <v>- Mencampur</v>
          </cell>
          <cell r="G42" t="str">
            <v>T1</v>
          </cell>
          <cell r="H42">
            <v>1</v>
          </cell>
          <cell r="I42" t="str">
            <v>menit</v>
          </cell>
          <cell r="L42" t="str">
            <v>1.</v>
          </cell>
          <cell r="N42" t="str">
            <v>Wheel Loader</v>
          </cell>
          <cell r="O42" t="str">
            <v>(E15)</v>
          </cell>
          <cell r="P42" t="str">
            <v>jam</v>
          </cell>
          <cell r="Q42">
            <v>3.6999999999999998E-2</v>
          </cell>
          <cell r="R42">
            <v>120703.09460566843</v>
          </cell>
          <cell r="U42">
            <v>4466.01</v>
          </cell>
        </row>
        <row r="43">
          <cell r="C43" t="str">
            <v>- Memuat dan lain-lain</v>
          </cell>
          <cell r="G43" t="str">
            <v>T2</v>
          </cell>
          <cell r="H43">
            <v>1</v>
          </cell>
          <cell r="I43" t="str">
            <v>menit</v>
          </cell>
          <cell r="L43" t="str">
            <v>2.</v>
          </cell>
          <cell r="N43" t="str">
            <v>Dump Truck</v>
          </cell>
          <cell r="O43" t="str">
            <v>(E09)</v>
          </cell>
          <cell r="P43" t="str">
            <v>jam</v>
          </cell>
          <cell r="Q43">
            <v>0.1862</v>
          </cell>
          <cell r="R43">
            <v>138269.41467687697</v>
          </cell>
          <cell r="U43">
            <v>25745.77</v>
          </cell>
        </row>
        <row r="44">
          <cell r="G44" t="str">
            <v>Ts1</v>
          </cell>
          <cell r="H44">
            <v>2</v>
          </cell>
          <cell r="I44" t="str">
            <v>menit</v>
          </cell>
          <cell r="L44" t="str">
            <v>3.</v>
          </cell>
          <cell r="N44" t="str">
            <v xml:space="preserve">Pedestrian Roller </v>
          </cell>
          <cell r="O44" t="str">
            <v>(E24)</v>
          </cell>
          <cell r="P44" t="str">
            <v>jam</v>
          </cell>
          <cell r="Q44">
            <v>6.1499999999999999E-2</v>
          </cell>
          <cell r="R44">
            <v>24925.369815668204</v>
          </cell>
          <cell r="U44">
            <v>1532.91</v>
          </cell>
        </row>
        <row r="45">
          <cell r="L45" t="str">
            <v>4.</v>
          </cell>
          <cell r="N45" t="str">
            <v>Water Tanker</v>
          </cell>
          <cell r="O45" t="str">
            <v>(E23)</v>
          </cell>
          <cell r="P45" t="str">
            <v>jam</v>
          </cell>
          <cell r="Q45">
            <v>1.09E-2</v>
          </cell>
          <cell r="R45">
            <v>139311.80570233689</v>
          </cell>
          <cell r="U45">
            <v>1518.5</v>
          </cell>
        </row>
        <row r="46">
          <cell r="C46" t="str">
            <v>Kap. Prod. / jam =</v>
          </cell>
          <cell r="D46" t="str">
            <v>V x Fb x Fa x 60</v>
          </cell>
          <cell r="G46" t="str">
            <v>Q1</v>
          </cell>
          <cell r="H46">
            <v>27.000000000000007</v>
          </cell>
          <cell r="I46" t="str">
            <v>M3</v>
          </cell>
          <cell r="L46" t="str">
            <v>5.</v>
          </cell>
          <cell r="N46" t="str">
            <v>Alat Bantu</v>
          </cell>
          <cell r="P46" t="str">
            <v>Ls</v>
          </cell>
          <cell r="Q46">
            <v>1</v>
          </cell>
          <cell r="R46">
            <v>250</v>
          </cell>
          <cell r="U46">
            <v>250</v>
          </cell>
        </row>
        <row r="47">
          <cell r="D47" t="str">
            <v>Fk x Ts1</v>
          </cell>
        </row>
        <row r="48">
          <cell r="C48" t="str">
            <v>Koefisien Alat / M3</v>
          </cell>
          <cell r="D48" t="str">
            <v xml:space="preserve"> =  1  :  Q1</v>
          </cell>
          <cell r="G48" t="str">
            <v>(E15)</v>
          </cell>
          <cell r="H48">
            <v>3.6999999999999998E-2</v>
          </cell>
          <cell r="I48" t="str">
            <v>jam</v>
          </cell>
        </row>
        <row r="49">
          <cell r="Q49" t="str">
            <v xml:space="preserve">JUMLAH HARGA PERALATAN   </v>
          </cell>
          <cell r="U49">
            <v>33513.19</v>
          </cell>
        </row>
        <row r="50">
          <cell r="A50" t="str">
            <v xml:space="preserve">   2.b.</v>
          </cell>
          <cell r="C50" t="str">
            <v>DUMP TRUCK</v>
          </cell>
          <cell r="G50" t="str">
            <v>(E09)</v>
          </cell>
        </row>
        <row r="51">
          <cell r="C51" t="str">
            <v>Kapasitas bak</v>
          </cell>
          <cell r="G51" t="str">
            <v>V</v>
          </cell>
          <cell r="H51">
            <v>6</v>
          </cell>
          <cell r="I51" t="str">
            <v>M3</v>
          </cell>
          <cell r="L51" t="str">
            <v>D.</v>
          </cell>
          <cell r="N51" t="str">
            <v>JUMLAH HARGA TENAGA, BAHAN DAN PERALATAN  ( A + B + C )</v>
          </cell>
          <cell r="U51">
            <v>196342.98</v>
          </cell>
        </row>
        <row r="52">
          <cell r="C52" t="str">
            <v>Faktor Efisiensi alat</v>
          </cell>
          <cell r="G52" t="str">
            <v>Fa</v>
          </cell>
          <cell r="H52">
            <v>0.8</v>
          </cell>
          <cell r="I52" t="str">
            <v>-</v>
          </cell>
          <cell r="L52" t="str">
            <v>E.</v>
          </cell>
          <cell r="N52" t="str">
            <v>OVERHEAD &amp; PROFIT</v>
          </cell>
          <cell r="P52">
            <v>10</v>
          </cell>
          <cell r="Q52" t="str">
            <v>%  x  D</v>
          </cell>
          <cell r="U52">
            <v>19634.298000000003</v>
          </cell>
        </row>
        <row r="53">
          <cell r="C53" t="str">
            <v>Kecepatan rata-rata bermuatan</v>
          </cell>
          <cell r="G53" t="str">
            <v>v1</v>
          </cell>
          <cell r="H53">
            <v>50</v>
          </cell>
          <cell r="I53" t="str">
            <v>KM/jam</v>
          </cell>
          <cell r="L53" t="str">
            <v>F.</v>
          </cell>
          <cell r="N53" t="str">
            <v>HARGA SATUAN PEKERJAAN  ( D + E )</v>
          </cell>
          <cell r="U53">
            <v>215977.28</v>
          </cell>
        </row>
        <row r="54">
          <cell r="C54" t="str">
            <v>Kecepatan rata-rata kosong</v>
          </cell>
          <cell r="G54" t="str">
            <v>v2</v>
          </cell>
          <cell r="H54">
            <v>55</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13.333333333333329</v>
          </cell>
          <cell r="I55" t="str">
            <v>menit</v>
          </cell>
          <cell r="N55" t="str">
            <v>berat untuk bahan-bahan.</v>
          </cell>
        </row>
        <row r="56">
          <cell r="C56" t="str">
            <v>- Waktu tempuh isi  =  (L : v1) x 60 menit</v>
          </cell>
          <cell r="G56" t="str">
            <v>T2</v>
          </cell>
          <cell r="H56">
            <v>13.8</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12.545454545454545</v>
          </cell>
          <cell r="I57" t="str">
            <v>menit</v>
          </cell>
          <cell r="N57" t="str">
            <v>mata pembayaran.</v>
          </cell>
        </row>
        <row r="58">
          <cell r="C58" t="str">
            <v>- Lain-lain (termasuk dumping setempat-setempat)</v>
          </cell>
          <cell r="G58" t="str">
            <v>T4</v>
          </cell>
          <cell r="H58">
            <v>5</v>
          </cell>
          <cell r="I58" t="str">
            <v>menit</v>
          </cell>
          <cell r="L58">
            <v>3</v>
          </cell>
          <cell r="N58" t="str">
            <v>Biaya satuan untuk peralatan sudah termasuk bahan bakar, bahan habis dipakai dan operator.</v>
          </cell>
        </row>
        <row r="59">
          <cell r="G59" t="str">
            <v>Ts2</v>
          </cell>
          <cell r="H59">
            <v>44.678787878787873</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halaman berikut</v>
          </cell>
        </row>
        <row r="71">
          <cell r="A71" t="str">
            <v>ITEM PEMBAYARAN NO.</v>
          </cell>
          <cell r="D71" t="str">
            <v>:  8.1 (1)</v>
          </cell>
          <cell r="J71" t="str">
            <v>Analisa EI-811</v>
          </cell>
        </row>
        <row r="72">
          <cell r="A72" t="str">
            <v>JENIS PEKERJAAN</v>
          </cell>
          <cell r="D72" t="str">
            <v>:  Pondasi Agregat Kls. A Untuk Pek. Minor</v>
          </cell>
        </row>
        <row r="73">
          <cell r="A73" t="str">
            <v>SATUAN PEMBAYARAN</v>
          </cell>
          <cell r="D73" t="str">
            <v>:  M3</v>
          </cell>
          <cell r="H73" t="str">
            <v xml:space="preserve">         URAIAN ANALISA HARGA SATUAN</v>
          </cell>
        </row>
        <row r="74">
          <cell r="J74" t="str">
            <v>Lanjutan</v>
          </cell>
        </row>
        <row r="76">
          <cell r="A76" t="str">
            <v>No.</v>
          </cell>
          <cell r="C76" t="str">
            <v>U R A I A N</v>
          </cell>
          <cell r="G76" t="str">
            <v>KODE</v>
          </cell>
          <cell r="H76" t="str">
            <v>KOEF.</v>
          </cell>
          <cell r="I76" t="str">
            <v>SATUAN</v>
          </cell>
          <cell r="J76" t="str">
            <v>KETERANGAN</v>
          </cell>
        </row>
        <row r="79">
          <cell r="C79" t="str">
            <v>Kap. Prod. / jam =</v>
          </cell>
          <cell r="D79" t="str">
            <v>V x Fa x 60</v>
          </cell>
          <cell r="G79" t="str">
            <v>Q2</v>
          </cell>
          <cell r="H79">
            <v>5.3716766142159544</v>
          </cell>
          <cell r="I79" t="str">
            <v>M3</v>
          </cell>
        </row>
        <row r="80">
          <cell r="D80" t="str">
            <v>Fk x Ts2</v>
          </cell>
        </row>
        <row r="81">
          <cell r="C81" t="str">
            <v>Koefisien Alat / M3</v>
          </cell>
          <cell r="D81" t="str">
            <v xml:space="preserve"> =  1  :  Q2</v>
          </cell>
          <cell r="G81" t="str">
            <v>(E09)</v>
          </cell>
          <cell r="H81">
            <v>0.1862</v>
          </cell>
          <cell r="I81" t="str">
            <v>jam</v>
          </cell>
        </row>
        <row r="83">
          <cell r="A83" t="str">
            <v xml:space="preserve">   2.c.</v>
          </cell>
          <cell r="C83" t="str">
            <v>PEDESTRIAN ROLLER</v>
          </cell>
          <cell r="G83" t="str">
            <v>(E24)</v>
          </cell>
        </row>
        <row r="84">
          <cell r="C84" t="str">
            <v>Kecepatan rata-rata alat</v>
          </cell>
          <cell r="G84" t="str">
            <v>v</v>
          </cell>
          <cell r="H84">
            <v>2.5</v>
          </cell>
          <cell r="I84" t="str">
            <v>KM/jam</v>
          </cell>
        </row>
        <row r="85">
          <cell r="C85" t="str">
            <v>Lebar efektif pemadatan</v>
          </cell>
          <cell r="G85" t="str">
            <v>b</v>
          </cell>
          <cell r="H85">
            <v>0.65</v>
          </cell>
          <cell r="I85" t="str">
            <v>M</v>
          </cell>
        </row>
        <row r="86">
          <cell r="C86" t="str">
            <v>Jumlah lintasan</v>
          </cell>
          <cell r="G86" t="str">
            <v>n</v>
          </cell>
          <cell r="H86">
            <v>12</v>
          </cell>
          <cell r="I86" t="str">
            <v>lintasan</v>
          </cell>
        </row>
        <row r="87">
          <cell r="C87" t="str">
            <v>Faktor Efisiensi alat</v>
          </cell>
          <cell r="G87" t="str">
            <v>Fa</v>
          </cell>
          <cell r="H87">
            <v>0.8</v>
          </cell>
          <cell r="I87" t="str">
            <v>-</v>
          </cell>
        </row>
        <row r="89">
          <cell r="C89" t="str">
            <v>Kap. Prod. / jam =</v>
          </cell>
          <cell r="D89" t="str">
            <v>(v x 1000) x b x t x Fa</v>
          </cell>
          <cell r="G89" t="str">
            <v>Q3</v>
          </cell>
          <cell r="H89">
            <v>16.25</v>
          </cell>
          <cell r="I89" t="str">
            <v>M3</v>
          </cell>
        </row>
        <row r="90">
          <cell r="D90" t="str">
            <v>n</v>
          </cell>
        </row>
        <row r="91">
          <cell r="C91" t="str">
            <v>Koefisien Alat / M3</v>
          </cell>
          <cell r="D91" t="str">
            <v xml:space="preserve"> =  1  :  Q3</v>
          </cell>
          <cell r="G91" t="str">
            <v>(E24)</v>
          </cell>
          <cell r="H91">
            <v>6.1499999999999999E-2</v>
          </cell>
          <cell r="I91" t="str">
            <v>jam</v>
          </cell>
        </row>
        <row r="93">
          <cell r="A93" t="str">
            <v xml:space="preserve">   2.d.</v>
          </cell>
          <cell r="C93" t="str">
            <v>WATER TANK TRUCK</v>
          </cell>
          <cell r="G93" t="str">
            <v>(E23)</v>
          </cell>
        </row>
        <row r="94">
          <cell r="C94" t="str">
            <v>Volume tanki air</v>
          </cell>
          <cell r="G94" t="str">
            <v>V</v>
          </cell>
          <cell r="H94">
            <v>4</v>
          </cell>
          <cell r="I94" t="str">
            <v>M3</v>
          </cell>
        </row>
        <row r="95">
          <cell r="C95" t="str">
            <v>Kebutuhan air / M3 agregat padat</v>
          </cell>
          <cell r="G95" t="str">
            <v>Wc</v>
          </cell>
          <cell r="H95">
            <v>7.0000000000000007E-2</v>
          </cell>
          <cell r="I95" t="str">
            <v>M3</v>
          </cell>
        </row>
        <row r="96">
          <cell r="C96" t="str">
            <v>Pengisian tanki / jam</v>
          </cell>
          <cell r="G96" t="str">
            <v>n</v>
          </cell>
          <cell r="H96">
            <v>2</v>
          </cell>
          <cell r="I96" t="str">
            <v>kali</v>
          </cell>
        </row>
        <row r="97">
          <cell r="C97" t="str">
            <v>Faktor Efisiensi alat</v>
          </cell>
          <cell r="G97" t="str">
            <v>Fa</v>
          </cell>
          <cell r="H97">
            <v>0.8</v>
          </cell>
          <cell r="I97" t="str">
            <v>-</v>
          </cell>
        </row>
        <row r="99">
          <cell r="C99" t="str">
            <v>Kap. Prod. / jam =</v>
          </cell>
          <cell r="D99" t="str">
            <v>V x n x Fa</v>
          </cell>
          <cell r="G99" t="str">
            <v>Q4</v>
          </cell>
          <cell r="H99">
            <v>91.428571428571431</v>
          </cell>
          <cell r="I99" t="str">
            <v>M3</v>
          </cell>
        </row>
        <row r="100">
          <cell r="D100" t="str">
            <v>Wc</v>
          </cell>
        </row>
        <row r="101">
          <cell r="C101" t="str">
            <v>Koefisien Alat / M3</v>
          </cell>
          <cell r="D101" t="str">
            <v xml:space="preserve"> =  1  :  Q4</v>
          </cell>
          <cell r="G101" t="str">
            <v>(E23)</v>
          </cell>
          <cell r="H101">
            <v>1.09E-2</v>
          </cell>
          <cell r="I101" t="str">
            <v>jam</v>
          </cell>
        </row>
        <row r="103">
          <cell r="A103" t="str">
            <v xml:space="preserve">   2.g.</v>
          </cell>
          <cell r="C103" t="str">
            <v>ALAT BANTU</v>
          </cell>
          <cell r="J103" t="str">
            <v xml:space="preserve"> Lump Sum</v>
          </cell>
        </row>
        <row r="104">
          <cell r="C104" t="str">
            <v>Diperlukan   :</v>
          </cell>
        </row>
        <row r="105">
          <cell r="C105" t="str">
            <v>- Kereta dorong</v>
          </cell>
          <cell r="D105" t="str">
            <v>= 5 buah</v>
          </cell>
        </row>
        <row r="106">
          <cell r="C106" t="str">
            <v>- Sekop</v>
          </cell>
          <cell r="D106" t="str">
            <v>= 10 buah</v>
          </cell>
        </row>
        <row r="107">
          <cell r="C107" t="str">
            <v>- Garpu</v>
          </cell>
          <cell r="D107" t="str">
            <v>= 10 buah</v>
          </cell>
        </row>
        <row r="109">
          <cell r="C109" t="str">
            <v>TENAGA</v>
          </cell>
        </row>
        <row r="110">
          <cell r="C110" t="str">
            <v>Produksi menentukan : WHEEL LOADER</v>
          </cell>
          <cell r="G110" t="str">
            <v>Q1</v>
          </cell>
          <cell r="H110">
            <v>27.000000000000007</v>
          </cell>
          <cell r="I110" t="str">
            <v>M3/jam</v>
          </cell>
        </row>
        <row r="111">
          <cell r="C111" t="str">
            <v>Produksi agregat / hari  =  Tk x Q1</v>
          </cell>
          <cell r="G111" t="str">
            <v>Qt</v>
          </cell>
          <cell r="H111">
            <v>189.00000000000006</v>
          </cell>
          <cell r="I111" t="str">
            <v>M3</v>
          </cell>
        </row>
        <row r="112">
          <cell r="C112" t="str">
            <v>Kebutuhan tenaga :</v>
          </cell>
        </row>
        <row r="113">
          <cell r="D113" t="str">
            <v>- Pekerja</v>
          </cell>
          <cell r="G113" t="str">
            <v>P</v>
          </cell>
          <cell r="H113">
            <v>7</v>
          </cell>
          <cell r="I113" t="str">
            <v>orang</v>
          </cell>
        </row>
        <row r="114">
          <cell r="D114" t="str">
            <v>- Mandor</v>
          </cell>
          <cell r="G114" t="str">
            <v>M</v>
          </cell>
          <cell r="H114">
            <v>1</v>
          </cell>
          <cell r="I114" t="str">
            <v>orang</v>
          </cell>
        </row>
        <row r="116">
          <cell r="A116" t="str">
            <v xml:space="preserve">   3.</v>
          </cell>
          <cell r="C116" t="str">
            <v>Koefisien tenaga / M3   :</v>
          </cell>
        </row>
        <row r="117">
          <cell r="D117" t="str">
            <v>- Pekerja</v>
          </cell>
          <cell r="E117" t="str">
            <v>= (Tk x P) : Qt</v>
          </cell>
          <cell r="G117" t="str">
            <v>(L01)</v>
          </cell>
          <cell r="H117">
            <v>0.25929999999999997</v>
          </cell>
          <cell r="I117" t="str">
            <v>jam</v>
          </cell>
        </row>
        <row r="118">
          <cell r="D118" t="str">
            <v>- Mandor</v>
          </cell>
          <cell r="E118" t="str">
            <v>= (Tk x M) : Qt</v>
          </cell>
          <cell r="G118" t="str">
            <v>(L03)</v>
          </cell>
          <cell r="H118">
            <v>3.6999999999999998E-2</v>
          </cell>
          <cell r="I118" t="str">
            <v>jam</v>
          </cell>
        </row>
        <row r="129">
          <cell r="J129" t="str">
            <v>Berlanjut ke halaman berikut</v>
          </cell>
        </row>
        <row r="130">
          <cell r="A130" t="str">
            <v>ITEM PEMBAYARAN NO.</v>
          </cell>
          <cell r="D130" t="str">
            <v>:  8.1 (1)</v>
          </cell>
          <cell r="J130" t="str">
            <v>Analisa EI-811</v>
          </cell>
        </row>
        <row r="131">
          <cell r="A131" t="str">
            <v>JENIS PEKERJAAN</v>
          </cell>
          <cell r="D131" t="str">
            <v>:  Pondasi Agregat Kls. A Untuk Pek. Minor</v>
          </cell>
        </row>
        <row r="132">
          <cell r="A132" t="str">
            <v>SATUAN PEMBAYARAN</v>
          </cell>
          <cell r="D132" t="str">
            <v>:  M3</v>
          </cell>
          <cell r="H132" t="str">
            <v xml:space="preserve">         URAIAN ANALISA HARGA SATUAN</v>
          </cell>
        </row>
        <row r="133">
          <cell r="J133" t="str">
            <v>Lanjutan</v>
          </cell>
        </row>
        <row r="135">
          <cell r="A135" t="str">
            <v>No.</v>
          </cell>
          <cell r="C135" t="str">
            <v>U R A I A N</v>
          </cell>
          <cell r="G135" t="str">
            <v>KODE</v>
          </cell>
          <cell r="H135" t="str">
            <v>KOEF.</v>
          </cell>
          <cell r="I135" t="str">
            <v>SATUAN</v>
          </cell>
          <cell r="J135" t="str">
            <v>KETERANGAN</v>
          </cell>
        </row>
        <row r="138">
          <cell r="A138" t="str">
            <v>4.</v>
          </cell>
          <cell r="C138" t="str">
            <v>HARGA DASAR SATUAN UPAH, BAHAN DAN ALAT</v>
          </cell>
        </row>
        <row r="139">
          <cell r="C139" t="str">
            <v>Lihat lampiran.</v>
          </cell>
        </row>
        <row r="141">
          <cell r="A141" t="str">
            <v>5.</v>
          </cell>
          <cell r="C141" t="str">
            <v>ANALISA HARGA SATUAN PEKERJAAN</v>
          </cell>
        </row>
        <row r="142">
          <cell r="C142" t="str">
            <v>Lihat perhitungan dalam FORMULIR STANDAR UNTUK</v>
          </cell>
        </row>
        <row r="143">
          <cell r="C143" t="str">
            <v>PEREKAMAN ANALISA MASING-MASING HARGA</v>
          </cell>
        </row>
        <row r="144">
          <cell r="C144" t="str">
            <v>SATUAN.</v>
          </cell>
        </row>
        <row r="145">
          <cell r="C145" t="str">
            <v>Didapat Harga Satuan Pekerjaan :</v>
          </cell>
        </row>
        <row r="147">
          <cell r="C147" t="str">
            <v xml:space="preserve">Rp.  </v>
          </cell>
          <cell r="D147">
            <v>215977.28</v>
          </cell>
          <cell r="E147" t="str">
            <v xml:space="preserve"> / M3.</v>
          </cell>
        </row>
        <row r="150">
          <cell r="A150" t="str">
            <v>6.</v>
          </cell>
          <cell r="C150" t="str">
            <v>MASA PELAKSANAAN YANG DIPERLUKAN</v>
          </cell>
        </row>
        <row r="151">
          <cell r="C151" t="str">
            <v>Masa Pelaksanaan :</v>
          </cell>
          <cell r="D151" t="str">
            <v>. . . . . . . . . . .</v>
          </cell>
          <cell r="E151" t="str">
            <v>bulan</v>
          </cell>
        </row>
        <row r="153">
          <cell r="A153" t="str">
            <v>7.</v>
          </cell>
          <cell r="C153" t="str">
            <v>VOLUME PEKERJAAN YANG DIPERLUKAN</v>
          </cell>
        </row>
        <row r="154">
          <cell r="C154" t="str">
            <v>Volume pekerjaan  :</v>
          </cell>
          <cell r="D154">
            <v>72</v>
          </cell>
          <cell r="E154" t="str">
            <v>M3</v>
          </cell>
        </row>
        <row r="189">
          <cell r="A189" t="str">
            <v>ITEM PEMBAYARAN NO.</v>
          </cell>
          <cell r="D189" t="str">
            <v>:  8.1 (2)</v>
          </cell>
          <cell r="J189" t="str">
            <v>Analisa EI-812</v>
          </cell>
          <cell r="T189" t="str">
            <v>Analisa EI-812</v>
          </cell>
        </row>
        <row r="190">
          <cell r="A190" t="str">
            <v>JENIS PEKERJAAN</v>
          </cell>
          <cell r="D190" t="str">
            <v>:  Pondasi Agregat Kls. B Untuk Pek. Minor</v>
          </cell>
        </row>
        <row r="191">
          <cell r="A191" t="str">
            <v>SATUAN PEMBAYARAN</v>
          </cell>
          <cell r="D191" t="str">
            <v>:  M3</v>
          </cell>
          <cell r="H191" t="str">
            <v xml:space="preserve">         URAIAN ANALISA HARGA SATUAN</v>
          </cell>
        </row>
        <row r="192">
          <cell r="L192" t="str">
            <v>ANALISA HARGA SATUAN MATA PEMBAYARAN UTAMA</v>
          </cell>
        </row>
        <row r="193">
          <cell r="L193" t="str">
            <v xml:space="preserve">                                                                                                            </v>
          </cell>
        </row>
        <row r="194">
          <cell r="A194" t="str">
            <v>No.</v>
          </cell>
          <cell r="C194" t="str">
            <v>U R A I A N</v>
          </cell>
          <cell r="G194" t="str">
            <v>KODE</v>
          </cell>
          <cell r="H194" t="str">
            <v>KOEF.</v>
          </cell>
          <cell r="I194" t="str">
            <v>SATUAN</v>
          </cell>
          <cell r="J194" t="str">
            <v>KETERANGAN</v>
          </cell>
        </row>
        <row r="197">
          <cell r="A197" t="str">
            <v>I.</v>
          </cell>
          <cell r="C197" t="str">
            <v>ASUMSI</v>
          </cell>
          <cell r="L197" t="str">
            <v>NAMA PESERTA LELANG</v>
          </cell>
          <cell r="O197" t="str">
            <v>:  CV. CAHAYA</v>
          </cell>
        </row>
        <row r="198">
          <cell r="A198">
            <v>1</v>
          </cell>
          <cell r="C198" t="str">
            <v>Menggunakan alat berat (cara mekanik)</v>
          </cell>
          <cell r="L198" t="str">
            <v>ITEM PEMBAYARAN NO.</v>
          </cell>
          <cell r="O198" t="str">
            <v>:  8.1 (2)</v>
          </cell>
        </row>
        <row r="199">
          <cell r="A199">
            <v>2</v>
          </cell>
          <cell r="C199" t="str">
            <v>Lokasi pekerjaan : setempat2 di sepanjang jalan</v>
          </cell>
          <cell r="L199" t="str">
            <v>JENIS PEKERJAAN</v>
          </cell>
          <cell r="O199" t="str">
            <v>:  Pondasi Agregat Kls. B Untuk Pek. Minor</v>
          </cell>
        </row>
        <row r="200">
          <cell r="A200">
            <v>3</v>
          </cell>
          <cell r="C200" t="str">
            <v>Kondisi existing jalan : sedang</v>
          </cell>
          <cell r="L200" t="str">
            <v>SATUAN PEMBAYARAN</v>
          </cell>
          <cell r="O200" t="str">
            <v>:  M3</v>
          </cell>
        </row>
        <row r="201">
          <cell r="A201">
            <v>4</v>
          </cell>
          <cell r="C201" t="str">
            <v>Jarak rata-rata Base Camp ke lokasi pekerjaan</v>
          </cell>
          <cell r="G201" t="str">
            <v>L</v>
          </cell>
          <cell r="H201">
            <v>11.5</v>
          </cell>
          <cell r="I201" t="str">
            <v>KM</v>
          </cell>
          <cell r="L201" t="str">
            <v xml:space="preserve">PERKIRAAN KUANTITAS </v>
          </cell>
          <cell r="O201" t="str">
            <v>:</v>
          </cell>
        </row>
        <row r="202">
          <cell r="A202">
            <v>5</v>
          </cell>
          <cell r="C202" t="str">
            <v>Tebal lapis agregat padat</v>
          </cell>
          <cell r="G202" t="str">
            <v>t</v>
          </cell>
          <cell r="H202">
            <v>0.2</v>
          </cell>
          <cell r="I202" t="str">
            <v>M</v>
          </cell>
          <cell r="L202" t="str">
            <v>PRODUKSI HARIAN/JAM</v>
          </cell>
          <cell r="O202" t="str">
            <v>:</v>
          </cell>
        </row>
        <row r="203">
          <cell r="A203">
            <v>6</v>
          </cell>
          <cell r="C203" t="str">
            <v>Faktor kembang material (Padat-Lepas)</v>
          </cell>
          <cell r="G203" t="str">
            <v>Fk</v>
          </cell>
          <cell r="H203">
            <v>1.2</v>
          </cell>
          <cell r="I203" t="str">
            <v>-</v>
          </cell>
        </row>
        <row r="204">
          <cell r="A204">
            <v>7</v>
          </cell>
          <cell r="C204" t="str">
            <v>Jam kerja efektif per-hari</v>
          </cell>
          <cell r="G204" t="str">
            <v>Tk</v>
          </cell>
          <cell r="H204">
            <v>7</v>
          </cell>
          <cell r="I204" t="str">
            <v>jam</v>
          </cell>
        </row>
        <row r="205">
          <cell r="A205">
            <v>8</v>
          </cell>
          <cell r="C205" t="str">
            <v>Proporsi Campuran :</v>
          </cell>
          <cell r="D205" t="str">
            <v>- Agregat Kasar</v>
          </cell>
          <cell r="G205" t="str">
            <v>Ak</v>
          </cell>
          <cell r="H205">
            <v>65</v>
          </cell>
          <cell r="I205" t="str">
            <v>%</v>
          </cell>
          <cell r="J205" t="str">
            <v xml:space="preserve"> Gradasi harus</v>
          </cell>
          <cell r="Q205" t="str">
            <v>PERKIRAAN</v>
          </cell>
          <cell r="R205" t="str">
            <v>HARGA</v>
          </cell>
          <cell r="S205" t="str">
            <v>JUMLAH</v>
          </cell>
        </row>
        <row r="206">
          <cell r="D206" t="str">
            <v>- Agregat Halus</v>
          </cell>
          <cell r="G206" t="str">
            <v>Ah</v>
          </cell>
          <cell r="H206">
            <v>35</v>
          </cell>
          <cell r="I206" t="str">
            <v>%</v>
          </cell>
          <cell r="J206" t="str">
            <v xml:space="preserve"> memenuhi</v>
          </cell>
          <cell r="L206" t="str">
            <v>NO.</v>
          </cell>
          <cell r="N206" t="str">
            <v>KOMPONEN</v>
          </cell>
          <cell r="P206" t="str">
            <v>SATUAN</v>
          </cell>
          <cell r="Q206" t="str">
            <v>KUANTITAS</v>
          </cell>
          <cell r="R206" t="str">
            <v>SATUAN</v>
          </cell>
          <cell r="S206" t="str">
            <v>HARGA</v>
          </cell>
        </row>
        <row r="207">
          <cell r="D207" t="str">
            <v>- Sirtu</v>
          </cell>
          <cell r="G207" t="str">
            <v>St</v>
          </cell>
          <cell r="H207">
            <v>0</v>
          </cell>
          <cell r="I207" t="str">
            <v>%</v>
          </cell>
          <cell r="J207" t="str">
            <v xml:space="preserve"> Spesifikasi</v>
          </cell>
          <cell r="R207" t="str">
            <v>(Rp.)</v>
          </cell>
          <cell r="S207" t="str">
            <v>(Rp.)</v>
          </cell>
        </row>
        <row r="208">
          <cell r="A208" t="str">
            <v>II.</v>
          </cell>
          <cell r="C208" t="str">
            <v>URUTAN KERJA</v>
          </cell>
        </row>
        <row r="209">
          <cell r="A209">
            <v>1</v>
          </cell>
          <cell r="C209" t="str">
            <v xml:space="preserve">Wheel Loader mencampur &amp; memuat Agregat ke </v>
          </cell>
        </row>
        <row r="210">
          <cell r="C210" t="str">
            <v>dalam Dump Truck di Base Camp</v>
          </cell>
          <cell r="L210" t="str">
            <v>A.</v>
          </cell>
          <cell r="N210" t="str">
            <v>TENAGA</v>
          </cell>
        </row>
        <row r="211">
          <cell r="A211">
            <v>2</v>
          </cell>
          <cell r="C211" t="str">
            <v>Dump Truck mengangkut Agregat ke lokasi</v>
          </cell>
        </row>
        <row r="212">
          <cell r="C212" t="str">
            <v>pekerjaan dan dihampar dengan pekerja</v>
          </cell>
          <cell r="L212" t="str">
            <v>1.</v>
          </cell>
          <cell r="N212" t="str">
            <v>Pekerja Biasa</v>
          </cell>
          <cell r="O212" t="str">
            <v>(L01)</v>
          </cell>
          <cell r="P212" t="str">
            <v>jam</v>
          </cell>
          <cell r="Q212">
            <v>0.25929999999999997</v>
          </cell>
          <cell r="R212">
            <v>5000</v>
          </cell>
          <cell r="U212">
            <v>1296.5</v>
          </cell>
        </row>
        <row r="213">
          <cell r="A213">
            <v>3</v>
          </cell>
          <cell r="C213" t="str">
            <v>Hamparan Agregat dibasahi dengan Water Tank</v>
          </cell>
          <cell r="L213" t="str">
            <v>2.</v>
          </cell>
          <cell r="N213" t="str">
            <v>Mandor</v>
          </cell>
          <cell r="O213" t="str">
            <v>(L03)</v>
          </cell>
          <cell r="P213" t="str">
            <v>jam</v>
          </cell>
          <cell r="Q213">
            <v>3.6999999999999998E-2</v>
          </cell>
          <cell r="R213">
            <v>6500</v>
          </cell>
          <cell r="U213">
            <v>240.5</v>
          </cell>
        </row>
        <row r="214">
          <cell r="C214" t="str">
            <v>Truck sebelum dipadatkan dengan Pedestrian Roller</v>
          </cell>
        </row>
        <row r="215">
          <cell r="A215">
            <v>4</v>
          </cell>
          <cell r="C215" t="str">
            <v>Sekelompok pekerja membuat galian lubang/patching,</v>
          </cell>
        </row>
        <row r="216">
          <cell r="C216" t="str">
            <v>merapikan tepi hamparan dan level permukaan</v>
          </cell>
          <cell r="Q216" t="str">
            <v xml:space="preserve">JUMLAH HARGA TENAGA   </v>
          </cell>
          <cell r="U216">
            <v>1537</v>
          </cell>
        </row>
        <row r="217">
          <cell r="C217" t="str">
            <v>dengan menggunakan Alat Bantu</v>
          </cell>
        </row>
        <row r="218">
          <cell r="L218" t="str">
            <v>B.</v>
          </cell>
          <cell r="N218" t="str">
            <v>BAHAN</v>
          </cell>
        </row>
        <row r="219">
          <cell r="A219" t="str">
            <v>III.</v>
          </cell>
          <cell r="C219" t="str">
            <v>PEMAKAIAN BAHAN, ALAT DAN TENAGA</v>
          </cell>
        </row>
        <row r="220">
          <cell r="A220" t="str">
            <v xml:space="preserve">   1.</v>
          </cell>
          <cell r="C220" t="str">
            <v>BAHAN</v>
          </cell>
          <cell r="L220" t="str">
            <v>1.</v>
          </cell>
          <cell r="N220" t="str">
            <v xml:space="preserve">Agregat Kasar  </v>
          </cell>
          <cell r="O220" t="str">
            <v>(M03)</v>
          </cell>
          <cell r="P220" t="str">
            <v>M3</v>
          </cell>
          <cell r="Q220">
            <v>0.78</v>
          </cell>
          <cell r="R220">
            <v>133812.65787755378</v>
          </cell>
          <cell r="U220">
            <v>104373.87</v>
          </cell>
        </row>
        <row r="221">
          <cell r="C221" t="str">
            <v>- Agregat Kasar</v>
          </cell>
          <cell r="D221" t="str">
            <v>=  Ak x 1 M3 x Fk</v>
          </cell>
          <cell r="G221" t="str">
            <v>M03</v>
          </cell>
          <cell r="H221">
            <v>0.78</v>
          </cell>
          <cell r="I221" t="str">
            <v>M3</v>
          </cell>
          <cell r="L221" t="str">
            <v>2.</v>
          </cell>
          <cell r="N221" t="str">
            <v xml:space="preserve">Agregat Halus    </v>
          </cell>
          <cell r="O221" t="str">
            <v>(M04)</v>
          </cell>
          <cell r="P221" t="str">
            <v>M3</v>
          </cell>
          <cell r="Q221">
            <v>0.42</v>
          </cell>
          <cell r="R221">
            <v>135307.67092099538</v>
          </cell>
          <cell r="U221">
            <v>56829.22</v>
          </cell>
        </row>
        <row r="222">
          <cell r="C222" t="str">
            <v>- Agregat Halus</v>
          </cell>
          <cell r="D222" t="str">
            <v>=  Ah x 1 M3 x Fk</v>
          </cell>
          <cell r="G222" t="str">
            <v>M04</v>
          </cell>
          <cell r="H222">
            <v>0.42</v>
          </cell>
          <cell r="I222" t="str">
            <v>M3</v>
          </cell>
        </row>
        <row r="223">
          <cell r="C223" t="str">
            <v>- Sirtu</v>
          </cell>
          <cell r="D223" t="str">
            <v>=  St x 1 M3 x Fk</v>
          </cell>
          <cell r="G223" t="str">
            <v>M16</v>
          </cell>
          <cell r="H223">
            <v>0</v>
          </cell>
          <cell r="I223" t="str">
            <v>M3</v>
          </cell>
        </row>
        <row r="224">
          <cell r="A224" t="str">
            <v xml:space="preserve">   2.</v>
          </cell>
          <cell r="C224" t="str">
            <v>ALAT</v>
          </cell>
        </row>
        <row r="225">
          <cell r="A225" t="str">
            <v xml:space="preserve">   2.a.</v>
          </cell>
          <cell r="C225" t="str">
            <v>WHEEL LOADER</v>
          </cell>
          <cell r="G225" t="str">
            <v>(E15)</v>
          </cell>
        </row>
        <row r="226">
          <cell r="C226" t="str">
            <v>Kapasitas bucket</v>
          </cell>
          <cell r="G226" t="str">
            <v>V</v>
          </cell>
          <cell r="H226">
            <v>1.5</v>
          </cell>
          <cell r="I226" t="str">
            <v>M3</v>
          </cell>
          <cell r="Q226" t="str">
            <v xml:space="preserve">JUMLAH HARGA BAHAN   </v>
          </cell>
          <cell r="U226">
            <v>161203.09</v>
          </cell>
        </row>
        <row r="227">
          <cell r="C227" t="str">
            <v>Faktor bucket</v>
          </cell>
          <cell r="G227" t="str">
            <v>Fb</v>
          </cell>
          <cell r="H227">
            <v>0.9</v>
          </cell>
          <cell r="I227" t="str">
            <v>-</v>
          </cell>
        </row>
        <row r="228">
          <cell r="C228" t="str">
            <v>Faktor Efisiensi alat</v>
          </cell>
          <cell r="G228" t="str">
            <v>Fa</v>
          </cell>
          <cell r="H228">
            <v>0.8</v>
          </cell>
          <cell r="I228" t="str">
            <v>-</v>
          </cell>
          <cell r="L228" t="str">
            <v>C.</v>
          </cell>
          <cell r="N228" t="str">
            <v>PERALATAN</v>
          </cell>
        </row>
        <row r="229">
          <cell r="C229" t="str">
            <v>Waktu Siklus :</v>
          </cell>
          <cell r="G229" t="str">
            <v>Ts1</v>
          </cell>
        </row>
        <row r="230">
          <cell r="C230" t="str">
            <v>- Mencampur dan memuat</v>
          </cell>
          <cell r="G230" t="str">
            <v>T1</v>
          </cell>
          <cell r="H230">
            <v>1.5</v>
          </cell>
          <cell r="I230" t="str">
            <v>menit</v>
          </cell>
          <cell r="L230" t="str">
            <v>1.</v>
          </cell>
          <cell r="N230" t="str">
            <v>Wheel Loader</v>
          </cell>
          <cell r="O230" t="str">
            <v>(E15)</v>
          </cell>
          <cell r="P230" t="str">
            <v>jam</v>
          </cell>
          <cell r="Q230">
            <v>3.6999999999999998E-2</v>
          </cell>
          <cell r="R230">
            <v>120703.09460566843</v>
          </cell>
          <cell r="U230">
            <v>4466.01</v>
          </cell>
        </row>
        <row r="231">
          <cell r="C231" t="str">
            <v>- Lain-lain</v>
          </cell>
          <cell r="G231" t="str">
            <v>T2</v>
          </cell>
          <cell r="H231">
            <v>0.5</v>
          </cell>
          <cell r="I231" t="str">
            <v>menit</v>
          </cell>
          <cell r="L231" t="str">
            <v>2.</v>
          </cell>
          <cell r="N231" t="str">
            <v>Dump Truck</v>
          </cell>
          <cell r="O231" t="str">
            <v>(E09)</v>
          </cell>
          <cell r="P231" t="str">
            <v>jam</v>
          </cell>
          <cell r="Q231">
            <v>0.1862</v>
          </cell>
          <cell r="R231">
            <v>138269.41467687697</v>
          </cell>
          <cell r="U231">
            <v>25745.77</v>
          </cell>
        </row>
        <row r="232">
          <cell r="G232" t="str">
            <v>Ts1</v>
          </cell>
          <cell r="H232">
            <v>2</v>
          </cell>
          <cell r="I232" t="str">
            <v>menit</v>
          </cell>
          <cell r="L232" t="str">
            <v>3.</v>
          </cell>
          <cell r="N232" t="str">
            <v>Pedestrian Roller (E24)</v>
          </cell>
          <cell r="P232" t="str">
            <v>jam</v>
          </cell>
          <cell r="Q232">
            <v>3.7499999999999999E-2</v>
          </cell>
          <cell r="R232">
            <v>24925.369815668204</v>
          </cell>
          <cell r="U232">
            <v>934.7</v>
          </cell>
        </row>
        <row r="233">
          <cell r="L233" t="str">
            <v>4.</v>
          </cell>
          <cell r="N233" t="str">
            <v>Water Tanker</v>
          </cell>
          <cell r="O233" t="str">
            <v>(E23)</v>
          </cell>
          <cell r="P233" t="str">
            <v>jam</v>
          </cell>
          <cell r="Q233">
            <v>1.09E-2</v>
          </cell>
          <cell r="R233">
            <v>139311.80570233689</v>
          </cell>
          <cell r="U233">
            <v>1518.5</v>
          </cell>
        </row>
        <row r="234">
          <cell r="C234" t="str">
            <v>Kap. Prod. / jam =</v>
          </cell>
          <cell r="D234" t="str">
            <v>V x Fb x Fa x 60</v>
          </cell>
          <cell r="G234" t="str">
            <v>Q1</v>
          </cell>
          <cell r="H234">
            <v>27.000000000000007</v>
          </cell>
          <cell r="I234" t="str">
            <v>M3</v>
          </cell>
          <cell r="L234" t="str">
            <v>5.</v>
          </cell>
          <cell r="N234" t="str">
            <v>Alat Bantu</v>
          </cell>
          <cell r="P234" t="str">
            <v>Ls</v>
          </cell>
          <cell r="Q234">
            <v>1</v>
          </cell>
          <cell r="R234">
            <v>250</v>
          </cell>
          <cell r="U234">
            <v>250</v>
          </cell>
        </row>
        <row r="235">
          <cell r="D235" t="str">
            <v>Fk x Ts1</v>
          </cell>
        </row>
        <row r="236">
          <cell r="C236" t="str">
            <v>Koefisien Alat / M3</v>
          </cell>
          <cell r="D236" t="str">
            <v xml:space="preserve"> =  1  :  Q1</v>
          </cell>
          <cell r="G236" t="str">
            <v>(E15)</v>
          </cell>
          <cell r="H236">
            <v>3.6999999999999998E-2</v>
          </cell>
          <cell r="I236" t="str">
            <v>jam</v>
          </cell>
        </row>
        <row r="237">
          <cell r="Q237" t="str">
            <v xml:space="preserve">JUMLAH HARGA PERALATAN   </v>
          </cell>
          <cell r="U237">
            <v>32914.979999999996</v>
          </cell>
        </row>
        <row r="238">
          <cell r="A238" t="str">
            <v xml:space="preserve">   2.b.</v>
          </cell>
          <cell r="C238" t="str">
            <v>DUMP TRUCK</v>
          </cell>
          <cell r="G238" t="str">
            <v>(E09)</v>
          </cell>
        </row>
        <row r="239">
          <cell r="C239" t="str">
            <v>Kapasitas bak</v>
          </cell>
          <cell r="G239" t="str">
            <v>V</v>
          </cell>
          <cell r="H239">
            <v>6</v>
          </cell>
          <cell r="I239" t="str">
            <v>M3</v>
          </cell>
          <cell r="L239" t="str">
            <v>D.</v>
          </cell>
          <cell r="N239" t="str">
            <v>JUMLAH HARGA TENAGA, BAHAN DAN PERALATAN  ( A + B + C )</v>
          </cell>
          <cell r="U239">
            <v>195655.07</v>
          </cell>
        </row>
        <row r="240">
          <cell r="C240" t="str">
            <v>Faktor Efisiensi alat</v>
          </cell>
          <cell r="G240" t="str">
            <v>Fa</v>
          </cell>
          <cell r="H240">
            <v>0.8</v>
          </cell>
          <cell r="I240" t="str">
            <v>-</v>
          </cell>
          <cell r="L240" t="str">
            <v>E.</v>
          </cell>
          <cell r="N240" t="str">
            <v>OVERHEAD &amp; PROFIT</v>
          </cell>
          <cell r="P240">
            <v>10</v>
          </cell>
          <cell r="Q240" t="str">
            <v>%  x  D</v>
          </cell>
          <cell r="U240">
            <v>19565.507000000001</v>
          </cell>
        </row>
        <row r="241">
          <cell r="C241" t="str">
            <v>Kecepatan rata-rata bermuatan</v>
          </cell>
          <cell r="G241" t="str">
            <v>v1</v>
          </cell>
          <cell r="H241">
            <v>50</v>
          </cell>
          <cell r="I241" t="str">
            <v>KM/jam</v>
          </cell>
          <cell r="L241" t="str">
            <v>F.</v>
          </cell>
          <cell r="N241" t="str">
            <v>HARGA SATUAN PEKERJAAN  ( D + E )</v>
          </cell>
          <cell r="U241">
            <v>215220.58</v>
          </cell>
        </row>
        <row r="242">
          <cell r="C242" t="str">
            <v>Kecepatan rata-rata kosong</v>
          </cell>
          <cell r="G242" t="str">
            <v>v2</v>
          </cell>
          <cell r="H242">
            <v>55</v>
          </cell>
          <cell r="I242" t="str">
            <v>KM/jam</v>
          </cell>
          <cell r="L242" t="str">
            <v>Note: 1</v>
          </cell>
          <cell r="N242" t="str">
            <v>SATUAN dapat berdasarkan atas jam operasi untuk Tenaga Kerja dan Peralatan, volume dan/atau ukuran</v>
          </cell>
        </row>
        <row r="243">
          <cell r="C243" t="str">
            <v>Waktu Siklus  :  - Waktu memuat = V : Q1 x 60</v>
          </cell>
          <cell r="G243" t="str">
            <v>T1</v>
          </cell>
          <cell r="H243">
            <v>13.333333333333329</v>
          </cell>
          <cell r="I243" t="str">
            <v>menit</v>
          </cell>
          <cell r="N243" t="str">
            <v>berat untuk bahan-bahan.</v>
          </cell>
        </row>
        <row r="244">
          <cell r="C244" t="str">
            <v>- Waktu tempuh isi  =  (L : v1) x 60 menit</v>
          </cell>
          <cell r="G244" t="str">
            <v>T2</v>
          </cell>
          <cell r="H244">
            <v>13.8</v>
          </cell>
          <cell r="I244" t="str">
            <v>menit</v>
          </cell>
          <cell r="L244">
            <v>2</v>
          </cell>
          <cell r="N244" t="str">
            <v>Kuantitas satuan adalah kuantitas setiap komponen untuk menyelesaikan satu satuan pekerjaan dari nomor</v>
          </cell>
        </row>
        <row r="245">
          <cell r="C245" t="str">
            <v>- Waktu tempuh kosong  =  (L : v2) x 60 menit</v>
          </cell>
          <cell r="G245" t="str">
            <v>T3</v>
          </cell>
          <cell r="H245">
            <v>12.545454545454545</v>
          </cell>
          <cell r="I245" t="str">
            <v>menit</v>
          </cell>
          <cell r="N245" t="str">
            <v>mata pembayaran.</v>
          </cell>
        </row>
        <row r="246">
          <cell r="C246" t="str">
            <v>- Lain-lain (termasuk dumping setempat-setempat)</v>
          </cell>
          <cell r="G246" t="str">
            <v>T4</v>
          </cell>
          <cell r="H246">
            <v>5</v>
          </cell>
          <cell r="I246" t="str">
            <v>menit</v>
          </cell>
          <cell r="L246">
            <v>3</v>
          </cell>
          <cell r="N246" t="str">
            <v>Biaya satuan untuk peralatan sudah termasuk bahan bakar, bahan habis dipakai dan operator.</v>
          </cell>
        </row>
        <row r="247">
          <cell r="G247" t="str">
            <v>Ts2</v>
          </cell>
          <cell r="H247">
            <v>44.678787878787873</v>
          </cell>
          <cell r="I247" t="str">
            <v>menit</v>
          </cell>
          <cell r="L247">
            <v>4</v>
          </cell>
          <cell r="N247" t="str">
            <v>Biaya satuan sudah termasuk pengeluaran untuk seluruh pajak yang berkaitan (tetapi tidak termasuk PPN</v>
          </cell>
        </row>
        <row r="248">
          <cell r="N248" t="str">
            <v>yang dibayar dari kontrak) dan biaya-biaya lainnya.</v>
          </cell>
        </row>
        <row r="249">
          <cell r="J249" t="str">
            <v>Berlanjut ke halaman berikut</v>
          </cell>
        </row>
        <row r="259">
          <cell r="A259" t="str">
            <v>ITEM PEMBAYARAN NO.</v>
          </cell>
          <cell r="D259" t="str">
            <v>:  8.1 (2)</v>
          </cell>
          <cell r="J259" t="str">
            <v>Analisa EI-812</v>
          </cell>
        </row>
        <row r="260">
          <cell r="A260" t="str">
            <v>JENIS PEKERJAAN</v>
          </cell>
          <cell r="D260" t="str">
            <v>:  Pondasi Agregat Kls. B Untuk Pek. Minor</v>
          </cell>
        </row>
        <row r="261">
          <cell r="A261" t="str">
            <v>SATUAN PEMBAYARAN</v>
          </cell>
          <cell r="D261" t="str">
            <v>:  M3</v>
          </cell>
          <cell r="H261" t="str">
            <v xml:space="preserve">         URAIAN ANALISA HARGA SATUAN</v>
          </cell>
        </row>
        <row r="262">
          <cell r="J262" t="str">
            <v>Lanjutan</v>
          </cell>
        </row>
        <row r="264">
          <cell r="A264" t="str">
            <v>No.</v>
          </cell>
          <cell r="C264" t="str">
            <v>U R A I A N</v>
          </cell>
          <cell r="G264" t="str">
            <v>KODE</v>
          </cell>
          <cell r="H264" t="str">
            <v>KOEF.</v>
          </cell>
          <cell r="I264" t="str">
            <v>SATUAN</v>
          </cell>
          <cell r="J264" t="str">
            <v>KETERANGAN</v>
          </cell>
        </row>
        <row r="267">
          <cell r="C267" t="str">
            <v>Kap. Prod. / jam =</v>
          </cell>
          <cell r="D267" t="str">
            <v>V x Fa x 60</v>
          </cell>
          <cell r="G267" t="str">
            <v>Q2</v>
          </cell>
          <cell r="H267">
            <v>5.3716766142159544</v>
          </cell>
          <cell r="I267" t="str">
            <v>M3</v>
          </cell>
        </row>
        <row r="268">
          <cell r="D268" t="str">
            <v>Fk x Ts2</v>
          </cell>
        </row>
        <row r="269">
          <cell r="C269" t="str">
            <v>Koefisien Alat / M3</v>
          </cell>
          <cell r="D269" t="str">
            <v xml:space="preserve"> =  1  :  Q2</v>
          </cell>
          <cell r="G269" t="str">
            <v>(E09)</v>
          </cell>
          <cell r="H269">
            <v>0.1862</v>
          </cell>
          <cell r="I269" t="str">
            <v>jam</v>
          </cell>
        </row>
        <row r="271">
          <cell r="A271" t="str">
            <v xml:space="preserve">   2.c.</v>
          </cell>
          <cell r="C271" t="str">
            <v>PEDESTRIAN ROLLER</v>
          </cell>
          <cell r="G271" t="str">
            <v>(E24)</v>
          </cell>
        </row>
        <row r="272">
          <cell r="C272" t="str">
            <v>Kecepatan rata-rata alat</v>
          </cell>
          <cell r="G272" t="str">
            <v>v</v>
          </cell>
          <cell r="H272">
            <v>2.5</v>
          </cell>
          <cell r="I272" t="str">
            <v>KM/jam</v>
          </cell>
        </row>
        <row r="273">
          <cell r="C273" t="str">
            <v>Lebar efektif pemadatan</v>
          </cell>
          <cell r="G273" t="str">
            <v>b</v>
          </cell>
          <cell r="H273">
            <v>0.8</v>
          </cell>
          <cell r="I273" t="str">
            <v>M</v>
          </cell>
        </row>
        <row r="274">
          <cell r="C274" t="str">
            <v>Jumlah lintasan</v>
          </cell>
          <cell r="G274" t="str">
            <v>n</v>
          </cell>
          <cell r="H274">
            <v>12</v>
          </cell>
          <cell r="I274" t="str">
            <v>lintasan</v>
          </cell>
        </row>
        <row r="275">
          <cell r="C275" t="str">
            <v>Faktor Efisiensi alat</v>
          </cell>
          <cell r="G275" t="str">
            <v>Fa</v>
          </cell>
          <cell r="H275">
            <v>0.8</v>
          </cell>
          <cell r="I275" t="str">
            <v>-</v>
          </cell>
        </row>
        <row r="277">
          <cell r="C277" t="str">
            <v>Kap. Prod. / jam =</v>
          </cell>
          <cell r="D277" t="str">
            <v>(v x 1000) x b x t x Fa</v>
          </cell>
          <cell r="G277" t="str">
            <v>Q3</v>
          </cell>
          <cell r="H277">
            <v>26.666666666666668</v>
          </cell>
          <cell r="I277" t="str">
            <v>M3</v>
          </cell>
        </row>
        <row r="278">
          <cell r="D278" t="str">
            <v>n</v>
          </cell>
        </row>
        <row r="279">
          <cell r="C279" t="str">
            <v>Koefisien Alat / M3</v>
          </cell>
          <cell r="D279" t="str">
            <v xml:space="preserve"> =  1  :  Q3</v>
          </cell>
          <cell r="G279" t="str">
            <v>(E24)</v>
          </cell>
          <cell r="H279">
            <v>3.7499999999999999E-2</v>
          </cell>
          <cell r="I279" t="str">
            <v>jam</v>
          </cell>
        </row>
        <row r="281">
          <cell r="A281" t="str">
            <v xml:space="preserve">   2.d.</v>
          </cell>
          <cell r="C281" t="str">
            <v>WATER TANK TRUCK</v>
          </cell>
          <cell r="G281" t="str">
            <v>(E23)</v>
          </cell>
        </row>
        <row r="282">
          <cell r="C282" t="str">
            <v>Volume tanki air</v>
          </cell>
          <cell r="G282" t="str">
            <v>V</v>
          </cell>
          <cell r="H282">
            <v>4</v>
          </cell>
          <cell r="I282" t="str">
            <v>M3</v>
          </cell>
        </row>
        <row r="283">
          <cell r="C283" t="str">
            <v>Kebutuhan air / M3 agregat padat</v>
          </cell>
          <cell r="G283" t="str">
            <v>Wc</v>
          </cell>
          <cell r="H283">
            <v>7.0000000000000007E-2</v>
          </cell>
          <cell r="I283" t="str">
            <v>M3</v>
          </cell>
        </row>
        <row r="284">
          <cell r="C284" t="str">
            <v>Pengisian tanki / jam</v>
          </cell>
          <cell r="G284" t="str">
            <v>n</v>
          </cell>
          <cell r="H284">
            <v>2</v>
          </cell>
          <cell r="I284" t="str">
            <v>kali</v>
          </cell>
        </row>
        <row r="285">
          <cell r="C285" t="str">
            <v>Faktor Efisiensi alat</v>
          </cell>
          <cell r="G285" t="str">
            <v>Fa</v>
          </cell>
          <cell r="H285">
            <v>0.8</v>
          </cell>
          <cell r="I285" t="str">
            <v>-</v>
          </cell>
        </row>
        <row r="287">
          <cell r="C287" t="str">
            <v>Kap. Prod. / jam =</v>
          </cell>
          <cell r="D287" t="str">
            <v>V x n x Fa</v>
          </cell>
          <cell r="G287" t="str">
            <v>Q4</v>
          </cell>
          <cell r="H287">
            <v>91.428571428571431</v>
          </cell>
          <cell r="I287" t="str">
            <v>M3</v>
          </cell>
        </row>
        <row r="288">
          <cell r="D288" t="str">
            <v>Wc</v>
          </cell>
        </row>
        <row r="289">
          <cell r="C289" t="str">
            <v>Koefisien Alat / M3</v>
          </cell>
          <cell r="D289" t="str">
            <v xml:space="preserve"> =  1  :  Q4</v>
          </cell>
          <cell r="G289" t="str">
            <v>(E23)</v>
          </cell>
          <cell r="H289">
            <v>1.09E-2</v>
          </cell>
          <cell r="I289" t="str">
            <v>jam</v>
          </cell>
        </row>
        <row r="291">
          <cell r="A291" t="str">
            <v xml:space="preserve">   2.e.</v>
          </cell>
          <cell r="C291" t="str">
            <v>ALAT BANTU</v>
          </cell>
          <cell r="J291" t="str">
            <v xml:space="preserve"> Lump Sum</v>
          </cell>
        </row>
        <row r="292">
          <cell r="C292" t="str">
            <v>Diperlukan   :</v>
          </cell>
        </row>
        <row r="293">
          <cell r="C293" t="str">
            <v>- Kereta dorong</v>
          </cell>
          <cell r="D293" t="str">
            <v>= 5 buah</v>
          </cell>
        </row>
        <row r="294">
          <cell r="C294" t="str">
            <v>- Sekop</v>
          </cell>
          <cell r="D294" t="str">
            <v>= 10 buah</v>
          </cell>
        </row>
        <row r="295">
          <cell r="C295" t="str">
            <v>- Garpu</v>
          </cell>
          <cell r="D295" t="str">
            <v>= 10 buah</v>
          </cell>
        </row>
        <row r="298">
          <cell r="A298" t="str">
            <v xml:space="preserve">   3.</v>
          </cell>
          <cell r="C298" t="str">
            <v>TENAGA</v>
          </cell>
        </row>
        <row r="299">
          <cell r="C299" t="str">
            <v>Produksi menentukan : WHEEL LOADER</v>
          </cell>
          <cell r="G299" t="str">
            <v>Q1</v>
          </cell>
          <cell r="H299">
            <v>27.000000000000007</v>
          </cell>
          <cell r="I299" t="str">
            <v>M3/jam</v>
          </cell>
        </row>
        <row r="300">
          <cell r="C300" t="str">
            <v>Produksi agregat / hari  =  Tk x Q1</v>
          </cell>
          <cell r="G300" t="str">
            <v>Qt</v>
          </cell>
          <cell r="H300">
            <v>189.00000000000006</v>
          </cell>
          <cell r="I300" t="str">
            <v>M3</v>
          </cell>
        </row>
        <row r="301">
          <cell r="C301" t="str">
            <v>Kebutuhan tenaga :</v>
          </cell>
        </row>
        <row r="302">
          <cell r="D302" t="str">
            <v>- Pekerja</v>
          </cell>
          <cell r="G302" t="str">
            <v>P</v>
          </cell>
          <cell r="H302">
            <v>7</v>
          </cell>
          <cell r="I302" t="str">
            <v>orang</v>
          </cell>
        </row>
        <row r="303">
          <cell r="D303" t="str">
            <v>- Mandor</v>
          </cell>
          <cell r="G303" t="str">
            <v>M</v>
          </cell>
          <cell r="H303">
            <v>1</v>
          </cell>
          <cell r="I303" t="str">
            <v>orang</v>
          </cell>
        </row>
        <row r="305">
          <cell r="C305" t="str">
            <v>Koefisien tenaga / M3   :</v>
          </cell>
        </row>
        <row r="306">
          <cell r="D306" t="str">
            <v>- Pekerja</v>
          </cell>
          <cell r="E306" t="str">
            <v>= (Tk x P) : Qt</v>
          </cell>
          <cell r="G306" t="str">
            <v>(L01)</v>
          </cell>
          <cell r="H306">
            <v>0.25929999999999997</v>
          </cell>
          <cell r="I306" t="str">
            <v>jam</v>
          </cell>
        </row>
        <row r="307">
          <cell r="D307" t="str">
            <v>- Mandor</v>
          </cell>
          <cell r="E307" t="str">
            <v>= (Tk x M) : Qt</v>
          </cell>
          <cell r="G307" t="str">
            <v>(L03)</v>
          </cell>
          <cell r="H307">
            <v>3.6999999999999998E-2</v>
          </cell>
          <cell r="I307" t="str">
            <v>jam</v>
          </cell>
        </row>
        <row r="317">
          <cell r="J317" t="str">
            <v>Berlanjut ke halaman berikut</v>
          </cell>
        </row>
        <row r="318">
          <cell r="A318" t="str">
            <v>ITEM PEMBAYARAN NO.</v>
          </cell>
          <cell r="D318" t="str">
            <v>:  8.1 (2)</v>
          </cell>
          <cell r="J318" t="str">
            <v>Analisa EI-812</v>
          </cell>
        </row>
        <row r="319">
          <cell r="A319" t="str">
            <v>JENIS PEKERJAAN</v>
          </cell>
          <cell r="D319" t="str">
            <v>:  Pondasi Agregat Kls. B Untuk Pek. Minor</v>
          </cell>
        </row>
        <row r="320">
          <cell r="A320" t="str">
            <v>SATUAN PEMBAYARAN</v>
          </cell>
          <cell r="D320" t="str">
            <v>:  M3</v>
          </cell>
          <cell r="H320" t="str">
            <v xml:space="preserve">         URAIAN ANALISA HARGA SATUAN</v>
          </cell>
        </row>
        <row r="321">
          <cell r="J321" t="str">
            <v>Lanjutan</v>
          </cell>
        </row>
        <row r="323">
          <cell r="A323" t="str">
            <v>No.</v>
          </cell>
          <cell r="C323" t="str">
            <v>U R A I A N</v>
          </cell>
          <cell r="G323" t="str">
            <v>KODE</v>
          </cell>
          <cell r="H323" t="str">
            <v>KOEF.</v>
          </cell>
          <cell r="I323" t="str">
            <v>SATUAN</v>
          </cell>
          <cell r="J323" t="str">
            <v>KETERANGAN</v>
          </cell>
        </row>
        <row r="326">
          <cell r="A326" t="str">
            <v>4.</v>
          </cell>
          <cell r="C326" t="str">
            <v>HARGA DASAR SATUAN UPAH, BAHAN DAN ALAT</v>
          </cell>
        </row>
        <row r="327">
          <cell r="C327" t="str">
            <v>Lihat lampiran.</v>
          </cell>
        </row>
        <row r="329">
          <cell r="A329" t="str">
            <v>5.</v>
          </cell>
          <cell r="C329" t="str">
            <v>ANALISA HARGA SATUAN PEKERJAAN</v>
          </cell>
        </row>
        <row r="330">
          <cell r="C330" t="str">
            <v>Lihat perhitungan dalam FORMULIR STANDAR UNTUK</v>
          </cell>
        </row>
        <row r="331">
          <cell r="C331" t="str">
            <v>PEREKAMAN ANALISA MASING-MASING HARGA</v>
          </cell>
        </row>
        <row r="332">
          <cell r="C332" t="str">
            <v>SATUAN.</v>
          </cell>
        </row>
        <row r="333">
          <cell r="C333" t="str">
            <v>Didapat Harga Satuan Pekerjaan :</v>
          </cell>
        </row>
        <row r="335">
          <cell r="C335" t="str">
            <v xml:space="preserve">Rp.  </v>
          </cell>
          <cell r="D335">
            <v>215220.58</v>
          </cell>
          <cell r="E335" t="str">
            <v xml:space="preserve"> / M3.</v>
          </cell>
        </row>
        <row r="338">
          <cell r="A338" t="str">
            <v>6.</v>
          </cell>
          <cell r="C338" t="str">
            <v>MASA PELAKSANAAN YANG DIPERLUKAN</v>
          </cell>
        </row>
        <row r="339">
          <cell r="C339" t="str">
            <v>Masa Pelaksanaan :</v>
          </cell>
          <cell r="D339" t="str">
            <v>. . . . . . . . . . .</v>
          </cell>
          <cell r="E339" t="str">
            <v>bulan</v>
          </cell>
        </row>
        <row r="341">
          <cell r="A341" t="str">
            <v>7.</v>
          </cell>
          <cell r="C341" t="str">
            <v>VOLUME PEKERJAAN YANG DIPERLUKAN</v>
          </cell>
        </row>
        <row r="342">
          <cell r="C342" t="str">
            <v>Volume pekerjaan  :</v>
          </cell>
          <cell r="D342">
            <v>0</v>
          </cell>
          <cell r="E342" t="str">
            <v>M3</v>
          </cell>
        </row>
        <row r="377">
          <cell r="A377" t="str">
            <v>ITEM PEMBAYARAN NO.</v>
          </cell>
          <cell r="D377" t="str">
            <v>:  8.1 (5)</v>
          </cell>
          <cell r="J377" t="str">
            <v>Analisa EI-815</v>
          </cell>
          <cell r="T377" t="str">
            <v>Analisa EI-815</v>
          </cell>
        </row>
        <row r="378">
          <cell r="A378" t="str">
            <v>JENIS PEKERJAAN</v>
          </cell>
          <cell r="D378" t="str">
            <v>:  Aspal Camp.Panas Utk.Pek.Minor</v>
          </cell>
        </row>
        <row r="379">
          <cell r="A379" t="str">
            <v>SATUAN PEMBAYARAN</v>
          </cell>
          <cell r="D379" t="str">
            <v>:  M3</v>
          </cell>
          <cell r="H379" t="str">
            <v xml:space="preserve">         URAIAN ANALISA HARGA SATUAN</v>
          </cell>
        </row>
        <row r="380">
          <cell r="L380" t="str">
            <v>ANALISA HARGA SATUAN MATA PEMBAYARAN UTAMA</v>
          </cell>
        </row>
        <row r="381">
          <cell r="L381" t="str">
            <v xml:space="preserve">                                                                                                            </v>
          </cell>
        </row>
        <row r="382">
          <cell r="A382" t="str">
            <v>No.</v>
          </cell>
          <cell r="C382" t="str">
            <v>U R A I A N</v>
          </cell>
          <cell r="G382" t="str">
            <v>KODE</v>
          </cell>
          <cell r="H382" t="str">
            <v>KOEF.</v>
          </cell>
          <cell r="I382" t="str">
            <v>SATUAN</v>
          </cell>
          <cell r="J382" t="str">
            <v>KETERANGAN</v>
          </cell>
        </row>
        <row r="385">
          <cell r="A385" t="str">
            <v>I.</v>
          </cell>
          <cell r="C385" t="str">
            <v>ASUMSI</v>
          </cell>
          <cell r="L385" t="str">
            <v>NAMA PESERTA LELANG</v>
          </cell>
          <cell r="O385" t="str">
            <v>:  CV. CAHAYA</v>
          </cell>
        </row>
        <row r="386">
          <cell r="A386">
            <v>1</v>
          </cell>
          <cell r="C386" t="str">
            <v>Menggunakan alat berat (cara mekanik)</v>
          </cell>
          <cell r="L386" t="str">
            <v>ITEM PEMBAYARAN NO.</v>
          </cell>
          <cell r="O386" t="str">
            <v>:  8.1 (5)</v>
          </cell>
        </row>
        <row r="387">
          <cell r="A387">
            <v>2</v>
          </cell>
          <cell r="C387" t="str">
            <v>Lokasi pekerjaan : sepanjang jalan</v>
          </cell>
          <cell r="L387" t="str">
            <v>JENIS PEKERJAAN</v>
          </cell>
          <cell r="O387" t="str">
            <v>:  Aspal Camp.Panas Utk.Pek.Minor</v>
          </cell>
        </row>
        <row r="388">
          <cell r="A388">
            <v>3</v>
          </cell>
          <cell r="C388" t="str">
            <v>Kondisi existing jalan : sedang</v>
          </cell>
          <cell r="L388" t="str">
            <v>SATUAN PEMBAYARAN</v>
          </cell>
          <cell r="O388" t="str">
            <v>:  M3</v>
          </cell>
        </row>
        <row r="389">
          <cell r="A389">
            <v>4</v>
          </cell>
          <cell r="C389" t="str">
            <v>Jarak rata-rata Base Camp ke lokasi pekerjaan</v>
          </cell>
          <cell r="G389" t="str">
            <v>L</v>
          </cell>
          <cell r="H389">
            <v>11.5</v>
          </cell>
          <cell r="I389" t="str">
            <v>KM</v>
          </cell>
          <cell r="L389" t="str">
            <v xml:space="preserve">PERKIRAAN KUANTITAS </v>
          </cell>
          <cell r="O389" t="str">
            <v>:</v>
          </cell>
        </row>
        <row r="390">
          <cell r="A390">
            <v>5</v>
          </cell>
          <cell r="C390" t="str">
            <v>Tebal Lapis Hotmix padat untuk patching</v>
          </cell>
          <cell r="G390" t="str">
            <v>t</v>
          </cell>
          <cell r="H390">
            <v>0.04</v>
          </cell>
          <cell r="I390" t="str">
            <v>M</v>
          </cell>
          <cell r="J390" t="str">
            <v xml:space="preserve"> Rata-rata</v>
          </cell>
          <cell r="L390" t="str">
            <v>PRODUKSI HARIAN/JAM</v>
          </cell>
          <cell r="O390" t="str">
            <v>:</v>
          </cell>
        </row>
        <row r="391">
          <cell r="A391">
            <v>6</v>
          </cell>
          <cell r="C391" t="str">
            <v>Jam kerja efektif per-hari</v>
          </cell>
          <cell r="G391" t="str">
            <v>Tk</v>
          </cell>
          <cell r="H391">
            <v>7</v>
          </cell>
          <cell r="I391" t="str">
            <v>Jam</v>
          </cell>
        </row>
        <row r="392">
          <cell r="A392">
            <v>7</v>
          </cell>
          <cell r="C392" t="str">
            <v>Faktor kehilanganmaterial :</v>
          </cell>
          <cell r="E392" t="str">
            <v>- Agregat</v>
          </cell>
          <cell r="G392" t="str">
            <v>Fh1</v>
          </cell>
          <cell r="H392">
            <v>1.1000000000000001</v>
          </cell>
          <cell r="I392" t="str">
            <v>-</v>
          </cell>
        </row>
        <row r="393">
          <cell r="A393" t="str">
            <v xml:space="preserve"> </v>
          </cell>
          <cell r="E393" t="str">
            <v>- Aspal</v>
          </cell>
          <cell r="G393" t="str">
            <v>Fh2</v>
          </cell>
          <cell r="H393">
            <v>1.05</v>
          </cell>
          <cell r="I393" t="str">
            <v>-</v>
          </cell>
          <cell r="Q393" t="str">
            <v>PERKIRAAN</v>
          </cell>
          <cell r="R393" t="str">
            <v>HARGA</v>
          </cell>
          <cell r="S393" t="str">
            <v>JUMLAH</v>
          </cell>
        </row>
        <row r="394">
          <cell r="A394">
            <v>8</v>
          </cell>
          <cell r="C394" t="str">
            <v>Komposisi campuran ATB  :</v>
          </cell>
          <cell r="L394" t="str">
            <v>NO.</v>
          </cell>
          <cell r="N394" t="str">
            <v>KOMPONEN</v>
          </cell>
          <cell r="P394" t="str">
            <v>SATUAN</v>
          </cell>
          <cell r="Q394" t="str">
            <v>KUANTITAS</v>
          </cell>
          <cell r="R394" t="str">
            <v>SATUAN</v>
          </cell>
          <cell r="S394" t="str">
            <v>HARGA</v>
          </cell>
        </row>
        <row r="395">
          <cell r="C395" t="str">
            <v xml:space="preserve">- Coarse Agregat  </v>
          </cell>
          <cell r="G395" t="str">
            <v>CA</v>
          </cell>
          <cell r="H395">
            <v>55</v>
          </cell>
          <cell r="I395" t="str">
            <v>%</v>
          </cell>
          <cell r="J395" t="str">
            <v xml:space="preserve"> Gradasi harus -</v>
          </cell>
          <cell r="R395" t="str">
            <v>(Rp.)</v>
          </cell>
          <cell r="S395" t="str">
            <v>(Rp.)</v>
          </cell>
        </row>
        <row r="396">
          <cell r="C396" t="str">
            <v>- Fine Agregat</v>
          </cell>
          <cell r="G396" t="str">
            <v>FA</v>
          </cell>
          <cell r="H396">
            <v>37.5</v>
          </cell>
          <cell r="I396" t="str">
            <v>%</v>
          </cell>
          <cell r="J396" t="str">
            <v xml:space="preserve"> memenuhi -</v>
          </cell>
        </row>
        <row r="397">
          <cell r="C397" t="str">
            <v>- Fraksi Filler</v>
          </cell>
          <cell r="G397" t="str">
            <v>FF</v>
          </cell>
          <cell r="H397">
            <v>1</v>
          </cell>
          <cell r="I397" t="str">
            <v>%</v>
          </cell>
          <cell r="J397" t="str">
            <v xml:space="preserve"> Spesifikasi</v>
          </cell>
        </row>
        <row r="398">
          <cell r="C398" t="str">
            <v>- Asphalt</v>
          </cell>
          <cell r="D398" t="str">
            <v>minimum 6 %</v>
          </cell>
          <cell r="G398" t="str">
            <v>As</v>
          </cell>
          <cell r="H398">
            <v>6.5</v>
          </cell>
          <cell r="I398" t="str">
            <v>%</v>
          </cell>
          <cell r="L398" t="str">
            <v>A.</v>
          </cell>
          <cell r="N398" t="str">
            <v>TENAGA</v>
          </cell>
        </row>
        <row r="399">
          <cell r="A399">
            <v>9</v>
          </cell>
          <cell r="C399" t="str">
            <v>Berat jenis bahan  :</v>
          </cell>
        </row>
        <row r="400">
          <cell r="C400" t="str">
            <v>- ATB</v>
          </cell>
          <cell r="G400" t="str">
            <v>D1</v>
          </cell>
          <cell r="H400">
            <v>2.2999999999999998</v>
          </cell>
          <cell r="I400" t="str">
            <v>ton / M3</v>
          </cell>
          <cell r="L400" t="str">
            <v>1.</v>
          </cell>
          <cell r="N400" t="str">
            <v>Pekerja Biasa</v>
          </cell>
          <cell r="O400" t="str">
            <v>(L01)</v>
          </cell>
          <cell r="P400" t="str">
            <v>Jam</v>
          </cell>
          <cell r="Q400">
            <v>1.0417000000000001</v>
          </cell>
          <cell r="R400">
            <v>5000</v>
          </cell>
          <cell r="U400">
            <v>5208.5</v>
          </cell>
        </row>
        <row r="401">
          <cell r="C401" t="str">
            <v>- Coarse Agregat &amp; Fine Agregat</v>
          </cell>
          <cell r="G401" t="str">
            <v>D2</v>
          </cell>
          <cell r="H401">
            <v>1.8</v>
          </cell>
          <cell r="I401" t="str">
            <v>ton / M3</v>
          </cell>
          <cell r="L401" t="str">
            <v>2.</v>
          </cell>
          <cell r="N401" t="str">
            <v>Mandor</v>
          </cell>
          <cell r="O401" t="str">
            <v>(L03)</v>
          </cell>
          <cell r="P401" t="str">
            <v>Jam</v>
          </cell>
          <cell r="Q401">
            <v>0.20830000000000001</v>
          </cell>
          <cell r="R401">
            <v>6500</v>
          </cell>
          <cell r="U401">
            <v>1353.95</v>
          </cell>
        </row>
        <row r="402">
          <cell r="C402" t="str">
            <v>- Fraksi Filler</v>
          </cell>
          <cell r="G402" t="str">
            <v>D3</v>
          </cell>
          <cell r="H402">
            <v>2</v>
          </cell>
          <cell r="I402" t="str">
            <v>ton / M3</v>
          </cell>
        </row>
        <row r="403">
          <cell r="C403" t="str">
            <v>- Asphalt</v>
          </cell>
          <cell r="G403" t="str">
            <v>D4</v>
          </cell>
          <cell r="H403">
            <v>1.03</v>
          </cell>
          <cell r="I403" t="str">
            <v>ton / M3</v>
          </cell>
        </row>
        <row r="404">
          <cell r="Q404" t="str">
            <v xml:space="preserve">JUMLAH HARGA TENAGA   </v>
          </cell>
          <cell r="U404">
            <v>6562.45</v>
          </cell>
        </row>
        <row r="405">
          <cell r="A405" t="str">
            <v>II.</v>
          </cell>
          <cell r="C405" t="str">
            <v>URUTAN KERJA</v>
          </cell>
        </row>
        <row r="406">
          <cell r="A406">
            <v>1</v>
          </cell>
          <cell r="C406" t="str">
            <v xml:space="preserve">Wheel Loader memuat Agregat dan Aspal ke dalam </v>
          </cell>
          <cell r="L406" t="str">
            <v>B.</v>
          </cell>
          <cell r="N406" t="str">
            <v>BAHAN</v>
          </cell>
        </row>
        <row r="407">
          <cell r="A407" t="str">
            <v xml:space="preserve"> </v>
          </cell>
          <cell r="C407" t="str">
            <v>Cold Bin AMP</v>
          </cell>
        </row>
        <row r="408">
          <cell r="A408">
            <v>2</v>
          </cell>
          <cell r="C408" t="str">
            <v>Agregat dan aspal dicampur dan dipanaskan</v>
          </cell>
          <cell r="L408" t="str">
            <v>1.</v>
          </cell>
          <cell r="N408" t="str">
            <v>Agregat Kasar</v>
          </cell>
          <cell r="O408" t="str">
            <v>(M03)</v>
          </cell>
          <cell r="P408" t="str">
            <v>M3</v>
          </cell>
          <cell r="Q408">
            <v>0.7730555555555555</v>
          </cell>
          <cell r="R408">
            <v>133812.65787755378</v>
          </cell>
          <cell r="U408">
            <v>103444.62</v>
          </cell>
        </row>
        <row r="409">
          <cell r="C409" t="str">
            <v>dengan AMP untuk dimuat langsung kedalam</v>
          </cell>
          <cell r="L409" t="str">
            <v>2.</v>
          </cell>
          <cell r="N409" t="str">
            <v>Agregat Halus</v>
          </cell>
          <cell r="O409" t="str">
            <v>(M04)</v>
          </cell>
          <cell r="P409" t="str">
            <v>M3</v>
          </cell>
          <cell r="Q409">
            <v>0.52708333333333335</v>
          </cell>
          <cell r="R409">
            <v>135307.67092099538</v>
          </cell>
          <cell r="U409">
            <v>71318.42</v>
          </cell>
        </row>
        <row r="410">
          <cell r="A410" t="str">
            <v xml:space="preserve"> </v>
          </cell>
          <cell r="C410" t="str">
            <v>Dump Truck dan diangkut ke lokasi pekerjaan</v>
          </cell>
          <cell r="L410" t="str">
            <v>3</v>
          </cell>
          <cell r="N410" t="str">
            <v>Filler</v>
          </cell>
          <cell r="O410" t="str">
            <v>(M05)</v>
          </cell>
          <cell r="P410" t="str">
            <v>Kg</v>
          </cell>
          <cell r="Q410">
            <v>25.300000000000004</v>
          </cell>
          <cell r="R410">
            <v>800</v>
          </cell>
          <cell r="U410">
            <v>20240</v>
          </cell>
        </row>
        <row r="411">
          <cell r="A411">
            <v>3</v>
          </cell>
          <cell r="C411" t="str">
            <v>Campuran panas ATB dihampar dengan Finisher</v>
          </cell>
          <cell r="L411" t="str">
            <v>4</v>
          </cell>
          <cell r="N411" t="str">
            <v>Aspal</v>
          </cell>
          <cell r="O411" t="str">
            <v>(M10)</v>
          </cell>
          <cell r="P411" t="str">
            <v>Kg</v>
          </cell>
          <cell r="Q411">
            <v>156.97499999999999</v>
          </cell>
          <cell r="R411">
            <v>4400</v>
          </cell>
          <cell r="U411">
            <v>690690</v>
          </cell>
        </row>
        <row r="412">
          <cell r="C412" t="str">
            <v>dan dipadatkan dengan Tandem Roller</v>
          </cell>
        </row>
        <row r="413">
          <cell r="A413">
            <v>4</v>
          </cell>
          <cell r="C413" t="str">
            <v>Sekelompok pekerja membuat galian lubang/patching,</v>
          </cell>
        </row>
        <row r="414">
          <cell r="A414" t="str">
            <v xml:space="preserve"> </v>
          </cell>
          <cell r="C414" t="str">
            <v>merapikan tepi hamparaan dengan menggunakan</v>
          </cell>
          <cell r="Q414" t="str">
            <v xml:space="preserve">JUMLAH HARGA BAHAN   </v>
          </cell>
          <cell r="U414">
            <v>885693.04</v>
          </cell>
        </row>
        <row r="415">
          <cell r="A415" t="str">
            <v xml:space="preserve"> </v>
          </cell>
          <cell r="C415" t="str">
            <v>Alat Bantu</v>
          </cell>
        </row>
        <row r="416">
          <cell r="A416" t="str">
            <v xml:space="preserve"> </v>
          </cell>
          <cell r="L416" t="str">
            <v>C.</v>
          </cell>
          <cell r="N416" t="str">
            <v>PERALATAN</v>
          </cell>
        </row>
        <row r="417">
          <cell r="L417" t="str">
            <v>1.</v>
          </cell>
          <cell r="N417" t="str">
            <v>Wheel Loader</v>
          </cell>
          <cell r="O417" t="str">
            <v>(E15)</v>
          </cell>
          <cell r="P417" t="str">
            <v>Jam</v>
          </cell>
          <cell r="Q417">
            <v>1.6000000000000001E-3</v>
          </cell>
          <cell r="R417">
            <v>120703.09460566843</v>
          </cell>
          <cell r="U417">
            <v>193.12</v>
          </cell>
        </row>
        <row r="418">
          <cell r="A418" t="str">
            <v>III.</v>
          </cell>
          <cell r="C418" t="str">
            <v>PEMAKAIAN BAHAN, ALAT DAN TENAGA</v>
          </cell>
          <cell r="L418" t="str">
            <v>2.</v>
          </cell>
          <cell r="N418" t="str">
            <v>AMP</v>
          </cell>
          <cell r="O418" t="str">
            <v>(E01)</v>
          </cell>
          <cell r="P418" t="str">
            <v>Jam</v>
          </cell>
          <cell r="Q418">
            <v>2.5000000000000001E-3</v>
          </cell>
          <cell r="R418">
            <v>2089446.902749263</v>
          </cell>
          <cell r="U418">
            <v>5223.62</v>
          </cell>
        </row>
        <row r="419">
          <cell r="L419" t="str">
            <v>3.</v>
          </cell>
          <cell r="N419" t="str">
            <v>Genset</v>
          </cell>
          <cell r="O419" t="str">
            <v>(E12)</v>
          </cell>
          <cell r="P419" t="str">
            <v>Jam</v>
          </cell>
          <cell r="Q419">
            <v>2.4533333333333334E-3</v>
          </cell>
          <cell r="R419">
            <v>186009.39661759304</v>
          </cell>
          <cell r="U419">
            <v>456.34</v>
          </cell>
        </row>
        <row r="420">
          <cell r="A420" t="str">
            <v xml:space="preserve">   1.</v>
          </cell>
          <cell r="C420" t="str">
            <v>BAHAN</v>
          </cell>
          <cell r="L420" t="str">
            <v>4.</v>
          </cell>
          <cell r="N420" t="str">
            <v>Dump Truck</v>
          </cell>
          <cell r="O420" t="str">
            <v>(E09)</v>
          </cell>
          <cell r="P420" t="str">
            <v>Jam</v>
          </cell>
          <cell r="Q420">
            <v>0.52139999999999997</v>
          </cell>
          <cell r="R420">
            <v>170254.15937155613</v>
          </cell>
          <cell r="U420">
            <v>88770.52</v>
          </cell>
        </row>
        <row r="421">
          <cell r="A421" t="str">
            <v>1.a.</v>
          </cell>
          <cell r="C421" t="str">
            <v>Agregat Kasar</v>
          </cell>
          <cell r="D421" t="str">
            <v>= (CA x (D1 x 1M3) x Fh1) : D2</v>
          </cell>
          <cell r="G421" t="str">
            <v>(M03)</v>
          </cell>
          <cell r="H421">
            <v>0.7730555555555555</v>
          </cell>
          <cell r="I421" t="str">
            <v>M3</v>
          </cell>
          <cell r="L421" t="str">
            <v>5.</v>
          </cell>
          <cell r="N421" t="str">
            <v>Asp. Finisher</v>
          </cell>
          <cell r="O421" t="str">
            <v>(E02)</v>
          </cell>
          <cell r="P421" t="str">
            <v>Jam</v>
          </cell>
          <cell r="Q421">
            <v>0</v>
          </cell>
          <cell r="R421">
            <v>91948.398772217362</v>
          </cell>
          <cell r="U421">
            <v>0</v>
          </cell>
        </row>
        <row r="422">
          <cell r="A422" t="str">
            <v>1.b.</v>
          </cell>
          <cell r="C422" t="str">
            <v>Agregat Halus</v>
          </cell>
          <cell r="D422" t="str">
            <v>= (FA x (D1 x 1M3) x Fh1) : D2</v>
          </cell>
          <cell r="G422" t="str">
            <v>(M04)</v>
          </cell>
          <cell r="H422">
            <v>0.52708333333333335</v>
          </cell>
          <cell r="I422" t="str">
            <v>M3</v>
          </cell>
          <cell r="L422" t="str">
            <v>6.</v>
          </cell>
          <cell r="N422" t="str">
            <v>Tandem Roller</v>
          </cell>
          <cell r="O422" t="str">
            <v>(E17)</v>
          </cell>
          <cell r="P422" t="str">
            <v>Jam</v>
          </cell>
          <cell r="Q422">
            <v>0.1042</v>
          </cell>
          <cell r="R422">
            <v>87387.099601571099</v>
          </cell>
          <cell r="U422">
            <v>9105.74</v>
          </cell>
        </row>
        <row r="423">
          <cell r="A423" t="str">
            <v>1.c.</v>
          </cell>
          <cell r="C423" t="str">
            <v>Filler</v>
          </cell>
          <cell r="D423" t="str">
            <v>= (FF x (D1 x 1M3) x Fh1) x 1000</v>
          </cell>
          <cell r="G423" t="str">
            <v>(M05)</v>
          </cell>
          <cell r="H423">
            <v>25.300000000000004</v>
          </cell>
          <cell r="I423" t="str">
            <v>Kg</v>
          </cell>
          <cell r="L423" t="str">
            <v>7</v>
          </cell>
          <cell r="N423" t="str">
            <v>P. Tyre Roller</v>
          </cell>
          <cell r="O423" t="str">
            <v>(E18)</v>
          </cell>
          <cell r="P423" t="str">
            <v>Jam</v>
          </cell>
          <cell r="Q423">
            <v>0</v>
          </cell>
          <cell r="R423">
            <v>123395.151900308</v>
          </cell>
          <cell r="U423">
            <v>0</v>
          </cell>
        </row>
        <row r="424">
          <cell r="A424" t="str">
            <v>1.d.</v>
          </cell>
          <cell r="C424" t="str">
            <v>Aspal</v>
          </cell>
          <cell r="D424" t="str">
            <v>= (AS x (D1 x 1M3) x Fh2) x 1000</v>
          </cell>
          <cell r="G424" t="str">
            <v>(M10)</v>
          </cell>
          <cell r="H424">
            <v>156.97499999999999</v>
          </cell>
          <cell r="I424" t="str">
            <v>Kg</v>
          </cell>
          <cell r="L424" t="str">
            <v>8</v>
          </cell>
          <cell r="N424" t="str">
            <v>Alat Bantu</v>
          </cell>
          <cell r="P424" t="str">
            <v>Ls</v>
          </cell>
          <cell r="Q424">
            <v>1</v>
          </cell>
          <cell r="R424">
            <v>100</v>
          </cell>
          <cell r="U424">
            <v>100</v>
          </cell>
        </row>
        <row r="426">
          <cell r="A426" t="str">
            <v>2.</v>
          </cell>
          <cell r="C426" t="str">
            <v>ALAT</v>
          </cell>
          <cell r="Q426" t="str">
            <v xml:space="preserve">JUMLAH HARGA PERALATAN   </v>
          </cell>
          <cell r="U426">
            <v>103656.22000000002</v>
          </cell>
        </row>
        <row r="427">
          <cell r="A427" t="str">
            <v>2.a.</v>
          </cell>
          <cell r="C427" t="str">
            <v>WHEEL LOADER</v>
          </cell>
          <cell r="G427" t="str">
            <v>(E15)</v>
          </cell>
        </row>
        <row r="428">
          <cell r="C428" t="str">
            <v>Kapasitas bucket</v>
          </cell>
          <cell r="G428" t="str">
            <v>V</v>
          </cell>
          <cell r="H428">
            <v>1.5</v>
          </cell>
          <cell r="I428" t="str">
            <v>M3</v>
          </cell>
          <cell r="L428" t="str">
            <v>D.</v>
          </cell>
          <cell r="N428" t="str">
            <v>JUMLAH HARGA TENAGA, BAHAN DAN PERALATAN  ( A + B + C )</v>
          </cell>
          <cell r="U428">
            <v>995911.71</v>
          </cell>
        </row>
        <row r="429">
          <cell r="C429" t="str">
            <v>Faktor bucket</v>
          </cell>
          <cell r="G429" t="str">
            <v>Fb</v>
          </cell>
          <cell r="H429">
            <v>0.9</v>
          </cell>
          <cell r="I429" t="str">
            <v>-</v>
          </cell>
          <cell r="L429" t="str">
            <v>E.</v>
          </cell>
          <cell r="N429" t="str">
            <v>OVERHEAD &amp; PROFIT</v>
          </cell>
          <cell r="P429">
            <v>10</v>
          </cell>
          <cell r="Q429" t="str">
            <v>%  x  D</v>
          </cell>
          <cell r="U429">
            <v>99591.171000000002</v>
          </cell>
        </row>
        <row r="430">
          <cell r="C430" t="str">
            <v>Faktor efisiensi alat</v>
          </cell>
          <cell r="G430" t="str">
            <v>Fa</v>
          </cell>
          <cell r="H430">
            <v>0.8</v>
          </cell>
          <cell r="I430" t="str">
            <v>-</v>
          </cell>
          <cell r="L430" t="str">
            <v>F.</v>
          </cell>
          <cell r="N430" t="str">
            <v>HARGA SATUAN PEKERJAAN  ( D + E )</v>
          </cell>
          <cell r="U430">
            <v>1095502.8799999999</v>
          </cell>
        </row>
        <row r="431">
          <cell r="C431" t="str">
            <v>Waktu Siklus</v>
          </cell>
          <cell r="G431" t="str">
            <v>Ts1</v>
          </cell>
          <cell r="L431" t="str">
            <v>Note: 1</v>
          </cell>
          <cell r="N431" t="str">
            <v>SATUAN dapat berdasarkan atas jam operasi untuk Tenaga Kerja dan Peralatan, volume dan/atau ukuran</v>
          </cell>
        </row>
        <row r="432">
          <cell r="C432" t="str">
            <v>- Muat</v>
          </cell>
          <cell r="G432" t="str">
            <v>T1</v>
          </cell>
          <cell r="H432">
            <v>1.5</v>
          </cell>
          <cell r="I432" t="str">
            <v>menit</v>
          </cell>
          <cell r="N432" t="str">
            <v>berat untuk bahan-bahan.</v>
          </cell>
        </row>
        <row r="433">
          <cell r="C433" t="str">
            <v>- Lain lain</v>
          </cell>
          <cell r="G433" t="str">
            <v>T2</v>
          </cell>
          <cell r="H433">
            <v>0.5</v>
          </cell>
          <cell r="I433" t="str">
            <v>menit</v>
          </cell>
          <cell r="L433">
            <v>2</v>
          </cell>
          <cell r="N433" t="str">
            <v>Kuantitas satuan adalah kuantitas setiap komponen untuk menyelesaikan satu satuan pekerjaan dari nomor</v>
          </cell>
        </row>
        <row r="434">
          <cell r="G434" t="str">
            <v>Ts1</v>
          </cell>
          <cell r="H434">
            <v>2</v>
          </cell>
          <cell r="I434" t="str">
            <v>menit</v>
          </cell>
          <cell r="N434" t="str">
            <v>mata pembayaran.</v>
          </cell>
        </row>
        <row r="435">
          <cell r="L435">
            <v>3</v>
          </cell>
          <cell r="N435" t="str">
            <v>Biaya satuan untuk peralatan sudah termasuk bahan bakar, bahan habis dipakai dan operator.</v>
          </cell>
        </row>
        <row r="436">
          <cell r="L436">
            <v>4</v>
          </cell>
          <cell r="N436" t="str">
            <v>Biaya satuan sudah termasuk pengeluaran untuk seluruh pajak yang berkaitan (tetapi tidak termasuk PPN</v>
          </cell>
        </row>
        <row r="437">
          <cell r="J437" t="str">
            <v>Berlanjut ke halaman berikut</v>
          </cell>
          <cell r="N437" t="str">
            <v>yang dibayar dari kontrak) dan biaya-biaya lainnya.</v>
          </cell>
        </row>
        <row r="447">
          <cell r="A447" t="str">
            <v>ITEM PEMBAYARAN NO.</v>
          </cell>
          <cell r="D447" t="str">
            <v>:  8.1 (5)</v>
          </cell>
          <cell r="J447" t="str">
            <v>Analisa EI-815</v>
          </cell>
        </row>
        <row r="448">
          <cell r="A448" t="str">
            <v>JENIS PEKERJAAN</v>
          </cell>
          <cell r="D448" t="str">
            <v>:  Aspal Camp.Panas Utk.Pek.Minor</v>
          </cell>
        </row>
        <row r="449">
          <cell r="A449" t="str">
            <v>SATUAN PEMBAYARAN</v>
          </cell>
          <cell r="D449" t="str">
            <v>:  M3</v>
          </cell>
          <cell r="H449" t="str">
            <v xml:space="preserve">         URAIAN ANALISA HARGA SATUAN</v>
          </cell>
        </row>
        <row r="450">
          <cell r="J450" t="str">
            <v>Lanjutan</v>
          </cell>
        </row>
        <row r="452">
          <cell r="A452" t="str">
            <v>No.</v>
          </cell>
          <cell r="C452" t="str">
            <v>U R A I A N</v>
          </cell>
          <cell r="G452" t="str">
            <v>KODE</v>
          </cell>
          <cell r="H452" t="str">
            <v>KOEF.</v>
          </cell>
          <cell r="I452" t="str">
            <v>SATUAN</v>
          </cell>
          <cell r="J452" t="str">
            <v>KETERANGAN</v>
          </cell>
        </row>
        <row r="455">
          <cell r="C455" t="str">
            <v xml:space="preserve">Kap. Prod. / jam = </v>
          </cell>
          <cell r="D455" t="str">
            <v>D2 x V x Fb x Fa x 60</v>
          </cell>
          <cell r="G455" t="str">
            <v>Q1</v>
          </cell>
          <cell r="H455">
            <v>633.91304347826099</v>
          </cell>
          <cell r="I455" t="str">
            <v>M3</v>
          </cell>
          <cell r="J455" t="str">
            <v xml:space="preserve"> </v>
          </cell>
        </row>
        <row r="456">
          <cell r="D456" t="str">
            <v>D1 x t x Ts1</v>
          </cell>
        </row>
        <row r="458">
          <cell r="C458" t="str">
            <v>Koefisien Alat/M3</v>
          </cell>
          <cell r="D458" t="str">
            <v xml:space="preserve"> = 1 : Q1</v>
          </cell>
          <cell r="G458" t="str">
            <v>(E15)</v>
          </cell>
          <cell r="H458">
            <v>1.6000000000000001E-3</v>
          </cell>
          <cell r="I458" t="str">
            <v>Jam</v>
          </cell>
        </row>
        <row r="460">
          <cell r="A460" t="str">
            <v>2.b.</v>
          </cell>
          <cell r="C460" t="str">
            <v>ASPHALT MIXING PLANT (AMP)</v>
          </cell>
          <cell r="G460" t="str">
            <v>(E01)</v>
          </cell>
        </row>
        <row r="461">
          <cell r="C461" t="str">
            <v>Kapasitas produksi</v>
          </cell>
          <cell r="G461" t="str">
            <v>V</v>
          </cell>
          <cell r="H461">
            <v>50</v>
          </cell>
          <cell r="I461" t="str">
            <v>ton / Jam</v>
          </cell>
        </row>
        <row r="462">
          <cell r="C462" t="str">
            <v>Faktor Efisiensi alat</v>
          </cell>
          <cell r="G462" t="str">
            <v>Fa</v>
          </cell>
          <cell r="H462">
            <v>0.75</v>
          </cell>
          <cell r="I462" t="str">
            <v>-</v>
          </cell>
        </row>
        <row r="464">
          <cell r="C464" t="str">
            <v>Kap.Prod. / jam =</v>
          </cell>
          <cell r="D464" t="str">
            <v>V x Fa</v>
          </cell>
          <cell r="G464" t="str">
            <v>Q2</v>
          </cell>
          <cell r="H464">
            <v>407.60869565217394</v>
          </cell>
          <cell r="I464" t="str">
            <v>M2</v>
          </cell>
        </row>
        <row r="465">
          <cell r="D465" t="str">
            <v>D1 x t</v>
          </cell>
        </row>
        <row r="466">
          <cell r="C466" t="str">
            <v>Koefisien Alat/M3</v>
          </cell>
          <cell r="D466" t="str">
            <v xml:space="preserve"> = 1 : Q2</v>
          </cell>
          <cell r="G466" t="str">
            <v>(E01)</v>
          </cell>
          <cell r="H466">
            <v>2.5000000000000001E-3</v>
          </cell>
          <cell r="I466" t="str">
            <v>Jam</v>
          </cell>
        </row>
        <row r="468">
          <cell r="A468" t="str">
            <v>2.c.</v>
          </cell>
          <cell r="C468" t="str">
            <v>GENERATORSET ( GENSET )</v>
          </cell>
          <cell r="G468" t="str">
            <v>(E12)</v>
          </cell>
        </row>
        <row r="469">
          <cell r="C469" t="str">
            <v>Kap.Prod. / Jam = SAMA DENGAN AMP</v>
          </cell>
          <cell r="G469" t="str">
            <v>Q3</v>
          </cell>
          <cell r="H469">
            <v>407.60869565217394</v>
          </cell>
          <cell r="I469" t="str">
            <v>M2</v>
          </cell>
        </row>
        <row r="470">
          <cell r="C470" t="str">
            <v>Koefisien Alat/M3</v>
          </cell>
          <cell r="D470" t="str">
            <v xml:space="preserve"> = 1 : Q3</v>
          </cell>
          <cell r="G470" t="str">
            <v>(E12)</v>
          </cell>
          <cell r="H470">
            <v>2.4533333333333334E-3</v>
          </cell>
          <cell r="I470" t="str">
            <v>Jam</v>
          </cell>
        </row>
        <row r="472">
          <cell r="A472" t="str">
            <v>2.d.</v>
          </cell>
          <cell r="C472" t="str">
            <v>DUMP TRUCK (DT)</v>
          </cell>
          <cell r="G472" t="str">
            <v>(E09)</v>
          </cell>
        </row>
        <row r="473">
          <cell r="C473" t="str">
            <v>Kapasitas bak</v>
          </cell>
          <cell r="G473" t="str">
            <v>V</v>
          </cell>
          <cell r="H473">
            <v>8</v>
          </cell>
          <cell r="I473" t="str">
            <v>Ton</v>
          </cell>
        </row>
        <row r="474">
          <cell r="C474" t="str">
            <v>Faktor Efisiensi alat</v>
          </cell>
          <cell r="G474" t="str">
            <v>Fa</v>
          </cell>
          <cell r="H474">
            <v>0.8</v>
          </cell>
          <cell r="I474" t="str">
            <v>-</v>
          </cell>
        </row>
        <row r="475">
          <cell r="C475" t="str">
            <v>Kecepatan rata-rata bermuatan</v>
          </cell>
          <cell r="G475" t="str">
            <v>v1</v>
          </cell>
          <cell r="H475">
            <v>40</v>
          </cell>
          <cell r="I475" t="str">
            <v>KM / Jam</v>
          </cell>
        </row>
        <row r="476">
          <cell r="C476" t="str">
            <v>Kecepatan rata-rata kosong</v>
          </cell>
          <cell r="G476" t="str">
            <v>v2</v>
          </cell>
          <cell r="H476">
            <v>50</v>
          </cell>
          <cell r="I476" t="str">
            <v>KM / Jam</v>
          </cell>
        </row>
        <row r="477">
          <cell r="C477" t="str">
            <v>Kapasitas AMP / batch</v>
          </cell>
          <cell r="G477" t="str">
            <v>Q2b</v>
          </cell>
          <cell r="H477">
            <v>0.5</v>
          </cell>
          <cell r="I477" t="str">
            <v>Ton</v>
          </cell>
        </row>
        <row r="478">
          <cell r="C478" t="str">
            <v>Waktu menyiapkan 1 batch AC</v>
          </cell>
          <cell r="G478" t="str">
            <v>Tb</v>
          </cell>
          <cell r="H478">
            <v>1</v>
          </cell>
          <cell r="I478" t="str">
            <v>menit</v>
          </cell>
        </row>
        <row r="479">
          <cell r="C479" t="str">
            <v>Waktu Siklus</v>
          </cell>
          <cell r="G479" t="str">
            <v>Ts2</v>
          </cell>
        </row>
        <row r="480">
          <cell r="C480" t="str">
            <v xml:space="preserve">- Mengisi Bak </v>
          </cell>
          <cell r="D480" t="str">
            <v>= (V : Q2b) x Tb</v>
          </cell>
          <cell r="G480" t="str">
            <v>T1</v>
          </cell>
          <cell r="H480">
            <v>16</v>
          </cell>
          <cell r="I480" t="str">
            <v>menit</v>
          </cell>
        </row>
        <row r="481">
          <cell r="C481" t="str">
            <v>- Angkut</v>
          </cell>
          <cell r="D481" t="str">
            <v>= (L : v1) x 60 menit</v>
          </cell>
          <cell r="G481" t="str">
            <v>T2</v>
          </cell>
          <cell r="H481">
            <v>17.25</v>
          </cell>
          <cell r="I481" t="str">
            <v>menit</v>
          </cell>
        </row>
        <row r="482">
          <cell r="C482" t="str">
            <v>- Tunggu + dump (setempat2) + Putar</v>
          </cell>
          <cell r="G482" t="str">
            <v>T3</v>
          </cell>
          <cell r="H482">
            <v>40</v>
          </cell>
          <cell r="I482" t="str">
            <v>menit</v>
          </cell>
        </row>
        <row r="483">
          <cell r="C483" t="str">
            <v>- Kembali</v>
          </cell>
          <cell r="D483" t="str">
            <v>= (L : v2) x 60 menit</v>
          </cell>
          <cell r="G483" t="str">
            <v>T4</v>
          </cell>
          <cell r="H483">
            <v>13.8</v>
          </cell>
          <cell r="I483" t="str">
            <v>menit</v>
          </cell>
        </row>
        <row r="484">
          <cell r="G484" t="str">
            <v>Ts2</v>
          </cell>
          <cell r="H484">
            <v>87.05</v>
          </cell>
          <cell r="I484" t="str">
            <v>menit</v>
          </cell>
        </row>
        <row r="486">
          <cell r="C486" t="str">
            <v>Kap.Prod. / jam =</v>
          </cell>
          <cell r="D486" t="str">
            <v>V x Fa x 60</v>
          </cell>
          <cell r="G486" t="str">
            <v>Q4</v>
          </cell>
          <cell r="H486">
            <v>1.9179382164173515</v>
          </cell>
          <cell r="I486" t="str">
            <v>M3</v>
          </cell>
        </row>
        <row r="487">
          <cell r="D487" t="str">
            <v>D1 x Ts2</v>
          </cell>
        </row>
        <row r="489">
          <cell r="C489" t="str">
            <v>Koefisien Alat/M3</v>
          </cell>
          <cell r="D489" t="str">
            <v xml:space="preserve"> = 1 : Q4</v>
          </cell>
          <cell r="G489" t="str">
            <v>(E09)</v>
          </cell>
          <cell r="H489">
            <v>0.52139999999999997</v>
          </cell>
          <cell r="I489" t="str">
            <v>Jam</v>
          </cell>
        </row>
        <row r="491">
          <cell r="A491" t="str">
            <v>2.e.</v>
          </cell>
          <cell r="C491" t="str">
            <v>ASPHALT FINISHER</v>
          </cell>
          <cell r="D491" t="str">
            <v xml:space="preserve"> </v>
          </cell>
          <cell r="G491" t="str">
            <v>(E02)</v>
          </cell>
        </row>
        <row r="492">
          <cell r="C492" t="str">
            <v>Kapasitas produksi</v>
          </cell>
          <cell r="G492" t="str">
            <v>V</v>
          </cell>
          <cell r="H492">
            <v>60</v>
          </cell>
          <cell r="I492" t="str">
            <v>ton / jam</v>
          </cell>
          <cell r="J492" t="str">
            <v xml:space="preserve"> Tidak digunakan</v>
          </cell>
        </row>
        <row r="493">
          <cell r="C493" t="str">
            <v>Faktor efisiensi alat</v>
          </cell>
          <cell r="G493" t="str">
            <v>Fa</v>
          </cell>
          <cell r="H493">
            <v>0.8</v>
          </cell>
          <cell r="I493" t="str">
            <v>-</v>
          </cell>
        </row>
        <row r="495">
          <cell r="C495" t="str">
            <v>Kap.Prod. / jam =</v>
          </cell>
          <cell r="D495" t="str">
            <v xml:space="preserve">V x Fa </v>
          </cell>
          <cell r="G495" t="str">
            <v>Q5</v>
          </cell>
          <cell r="H495">
            <v>0</v>
          </cell>
          <cell r="I495" t="str">
            <v>M3</v>
          </cell>
        </row>
        <row r="496">
          <cell r="D496" t="str">
            <v xml:space="preserve">D1 </v>
          </cell>
        </row>
        <row r="497">
          <cell r="C497" t="str">
            <v>Koefisien Alat/M3</v>
          </cell>
          <cell r="D497" t="str">
            <v xml:space="preserve"> = 1 : Q5</v>
          </cell>
          <cell r="G497" t="str">
            <v>(E02)</v>
          </cell>
          <cell r="H497">
            <v>0</v>
          </cell>
          <cell r="I497" t="str">
            <v>Jam</v>
          </cell>
        </row>
        <row r="499">
          <cell r="A499" t="str">
            <v>2.f.</v>
          </cell>
          <cell r="C499" t="str">
            <v>TANDEM ROLLER</v>
          </cell>
          <cell r="G499" t="str">
            <v>(E17)</v>
          </cell>
        </row>
        <row r="500">
          <cell r="A500" t="str">
            <v xml:space="preserve"> </v>
          </cell>
          <cell r="C500" t="str">
            <v>Kecepatan rata-rata alat</v>
          </cell>
          <cell r="G500" t="str">
            <v>v</v>
          </cell>
          <cell r="H500">
            <v>2</v>
          </cell>
          <cell r="I500" t="str">
            <v>Km / Jam</v>
          </cell>
        </row>
        <row r="501">
          <cell r="C501" t="str">
            <v>Lebar efektif pemadatan</v>
          </cell>
          <cell r="G501" t="str">
            <v>b</v>
          </cell>
          <cell r="H501">
            <v>1.2</v>
          </cell>
          <cell r="I501" t="str">
            <v>M</v>
          </cell>
        </row>
        <row r="502">
          <cell r="C502" t="str">
            <v>Jumlah lintasan</v>
          </cell>
          <cell r="G502" t="str">
            <v>n</v>
          </cell>
          <cell r="H502">
            <v>8</v>
          </cell>
          <cell r="I502" t="str">
            <v>lintasan</v>
          </cell>
        </row>
        <row r="503">
          <cell r="C503" t="str">
            <v>Faktor Efisiensi alat</v>
          </cell>
          <cell r="G503" t="str">
            <v>Fa</v>
          </cell>
          <cell r="H503">
            <v>0.8</v>
          </cell>
          <cell r="I503" t="str">
            <v>-</v>
          </cell>
        </row>
        <row r="504">
          <cell r="C504" t="str">
            <v xml:space="preserve"> </v>
          </cell>
        </row>
        <row r="505">
          <cell r="J505" t="str">
            <v>Berlanjut ke halaman berikut</v>
          </cell>
        </row>
        <row r="506">
          <cell r="A506" t="str">
            <v>ITEM PEMBAYARAN NO.</v>
          </cell>
          <cell r="D506" t="str">
            <v>:  8.1 (5)</v>
          </cell>
          <cell r="J506" t="str">
            <v>Analisa EI-815</v>
          </cell>
        </row>
        <row r="507">
          <cell r="A507" t="str">
            <v>JENIS PEKERJAAN</v>
          </cell>
          <cell r="D507" t="str">
            <v>:  Aspal Camp.Panas Utk.Pek.Minor</v>
          </cell>
        </row>
        <row r="508">
          <cell r="A508" t="str">
            <v>SATUAN PEMBAYARAN</v>
          </cell>
          <cell r="D508" t="str">
            <v>:  M3</v>
          </cell>
          <cell r="H508" t="str">
            <v xml:space="preserve">         URAIAN ANALISA HARGA SATUAN</v>
          </cell>
        </row>
        <row r="509">
          <cell r="J509" t="str">
            <v>Lanjutan</v>
          </cell>
        </row>
        <row r="511">
          <cell r="A511" t="str">
            <v>No.</v>
          </cell>
          <cell r="C511" t="str">
            <v>U R A I A N</v>
          </cell>
          <cell r="G511" t="str">
            <v>KODE</v>
          </cell>
          <cell r="H511" t="str">
            <v>KOEF.</v>
          </cell>
          <cell r="I511" t="str">
            <v>SATUAN</v>
          </cell>
          <cell r="J511" t="str">
            <v>KETERANGAN</v>
          </cell>
        </row>
        <row r="514">
          <cell r="B514" t="str">
            <v xml:space="preserve"> </v>
          </cell>
          <cell r="C514" t="str">
            <v xml:space="preserve">Kap. Prod. / jam = </v>
          </cell>
          <cell r="D514" t="str">
            <v>(v x 1000) x b x t x Fa</v>
          </cell>
          <cell r="G514" t="str">
            <v>Q6</v>
          </cell>
          <cell r="H514">
            <v>9.6000000000000014</v>
          </cell>
          <cell r="I514" t="str">
            <v>M3</v>
          </cell>
        </row>
        <row r="515">
          <cell r="D515" t="str">
            <v>n</v>
          </cell>
        </row>
        <row r="516">
          <cell r="C516" t="str">
            <v>Koefisien Alat/M3</v>
          </cell>
          <cell r="D516" t="str">
            <v xml:space="preserve"> = 1 : Q6</v>
          </cell>
          <cell r="G516" t="str">
            <v>(E17)</v>
          </cell>
          <cell r="H516">
            <v>0.1042</v>
          </cell>
          <cell r="I516" t="str">
            <v>Jam</v>
          </cell>
        </row>
        <row r="517">
          <cell r="C517" t="str">
            <v xml:space="preserve"> </v>
          </cell>
        </row>
        <row r="518">
          <cell r="A518" t="str">
            <v>2.g.</v>
          </cell>
          <cell r="C518" t="str">
            <v>PNEUMATIC TIRE ROLLER</v>
          </cell>
          <cell r="G518" t="str">
            <v>(E18)</v>
          </cell>
        </row>
        <row r="519">
          <cell r="C519" t="str">
            <v>Kecepatan rata-rata</v>
          </cell>
          <cell r="G519" t="str">
            <v>v</v>
          </cell>
          <cell r="H519">
            <v>0</v>
          </cell>
          <cell r="I519" t="str">
            <v>KM / jam</v>
          </cell>
          <cell r="J519" t="str">
            <v xml:space="preserve"> Tidak digunakan</v>
          </cell>
        </row>
        <row r="520">
          <cell r="C520" t="str">
            <v>Lebar efektif pemadatan</v>
          </cell>
          <cell r="G520" t="str">
            <v>b</v>
          </cell>
          <cell r="H520">
            <v>0</v>
          </cell>
          <cell r="I520" t="str">
            <v>M</v>
          </cell>
        </row>
        <row r="521">
          <cell r="C521" t="str">
            <v>Jumlah lintasan</v>
          </cell>
          <cell r="G521" t="str">
            <v>n</v>
          </cell>
          <cell r="H521">
            <v>0</v>
          </cell>
          <cell r="I521" t="str">
            <v>lintasan</v>
          </cell>
        </row>
        <row r="522">
          <cell r="C522" t="str">
            <v>Faktor Efisiensi alat</v>
          </cell>
          <cell r="G522" t="str">
            <v>Fa</v>
          </cell>
          <cell r="H522">
            <v>0</v>
          </cell>
          <cell r="I522" t="str">
            <v>-</v>
          </cell>
        </row>
        <row r="524">
          <cell r="C524" t="str">
            <v>Kap.Prod./jam =</v>
          </cell>
          <cell r="D524" t="str">
            <v>(v x 1000) x b x t x Fa</v>
          </cell>
          <cell r="G524" t="str">
            <v>Q7</v>
          </cell>
          <cell r="H524">
            <v>0</v>
          </cell>
          <cell r="I524" t="str">
            <v>M3</v>
          </cell>
        </row>
        <row r="525">
          <cell r="D525" t="str">
            <v>n</v>
          </cell>
        </row>
        <row r="526">
          <cell r="C526" t="str">
            <v>Koefisien Alat/M3</v>
          </cell>
          <cell r="D526" t="str">
            <v xml:space="preserve"> = 1 : Q7</v>
          </cell>
          <cell r="G526" t="str">
            <v>(E18)</v>
          </cell>
          <cell r="H526">
            <v>0</v>
          </cell>
          <cell r="I526" t="str">
            <v>Jam</v>
          </cell>
        </row>
        <row r="528">
          <cell r="A528" t="str">
            <v>2.h.</v>
          </cell>
          <cell r="C528" t="str">
            <v>ALAT BANTU</v>
          </cell>
        </row>
        <row r="529">
          <cell r="C529" t="str">
            <v>diperlukan :</v>
          </cell>
          <cell r="J529" t="str">
            <v>Lump Sum</v>
          </cell>
        </row>
        <row r="530">
          <cell r="C530" t="str">
            <v>- Kereta dorong     = 2 buah</v>
          </cell>
        </row>
        <row r="531">
          <cell r="C531" t="str">
            <v>- Sekop, Garpu     = 5 buah</v>
          </cell>
        </row>
        <row r="532">
          <cell r="C532" t="str">
            <v>- Pacul, Linggis    = 4 buah</v>
          </cell>
        </row>
        <row r="533">
          <cell r="C533" t="str">
            <v>- Tongkat Kontrol ketebalan hanparan</v>
          </cell>
        </row>
        <row r="535">
          <cell r="A535" t="str">
            <v xml:space="preserve">   3.</v>
          </cell>
          <cell r="C535" t="str">
            <v>TENAGA</v>
          </cell>
        </row>
        <row r="536">
          <cell r="C536" t="str">
            <v>Produksi menentukan : TANDEM ROLLER</v>
          </cell>
          <cell r="G536" t="str">
            <v>Q6</v>
          </cell>
          <cell r="H536">
            <v>9.6000000000000014</v>
          </cell>
          <cell r="I536" t="str">
            <v>M3 / Jam</v>
          </cell>
        </row>
        <row r="537">
          <cell r="C537" t="str">
            <v>Produksi ATB / hari  =  Tk x Q6</v>
          </cell>
          <cell r="G537" t="str">
            <v>Qt</v>
          </cell>
          <cell r="H537">
            <v>67.200000000000017</v>
          </cell>
          <cell r="I537" t="str">
            <v>M3</v>
          </cell>
        </row>
        <row r="538">
          <cell r="C538" t="str">
            <v>Kebutuhan tenaga :</v>
          </cell>
        </row>
        <row r="539">
          <cell r="D539" t="str">
            <v>- Pekerja</v>
          </cell>
          <cell r="G539" t="str">
            <v>P</v>
          </cell>
          <cell r="H539">
            <v>10</v>
          </cell>
          <cell r="I539" t="str">
            <v>orang</v>
          </cell>
        </row>
        <row r="540">
          <cell r="D540" t="str">
            <v>- Mandor</v>
          </cell>
          <cell r="G540" t="str">
            <v>M</v>
          </cell>
          <cell r="H540">
            <v>2</v>
          </cell>
          <cell r="I540" t="str">
            <v>orang</v>
          </cell>
        </row>
        <row r="542">
          <cell r="C542" t="str">
            <v>Koefisien Tenaga / M3     :</v>
          </cell>
        </row>
        <row r="543">
          <cell r="D543" t="str">
            <v>- Pekerja</v>
          </cell>
          <cell r="E543" t="str">
            <v>= (Tk x P) / Qt</v>
          </cell>
          <cell r="G543" t="str">
            <v>(L01)</v>
          </cell>
          <cell r="H543">
            <v>1.0417000000000001</v>
          </cell>
          <cell r="I543" t="str">
            <v>Jam</v>
          </cell>
        </row>
        <row r="544">
          <cell r="D544" t="str">
            <v>- Mandor</v>
          </cell>
          <cell r="E544" t="str">
            <v>= (Tk x M) / Qt</v>
          </cell>
          <cell r="G544" t="str">
            <v>(L03)</v>
          </cell>
          <cell r="H544">
            <v>0.20830000000000001</v>
          </cell>
          <cell r="I544" t="str">
            <v>Jam</v>
          </cell>
        </row>
        <row r="546">
          <cell r="A546" t="str">
            <v>4.</v>
          </cell>
          <cell r="C546" t="str">
            <v>HARGA DASAR SATUAN UPAH, BAHAN DAN ALAT</v>
          </cell>
        </row>
        <row r="547">
          <cell r="C547" t="str">
            <v>Lihat lampiran.</v>
          </cell>
        </row>
        <row r="549">
          <cell r="A549" t="str">
            <v>5.</v>
          </cell>
          <cell r="C549" t="str">
            <v>ANALISA HARGA SATUAN PEKERJAAN</v>
          </cell>
        </row>
        <row r="550">
          <cell r="C550" t="str">
            <v>Lihat perhitungan dalam FORMULIR STANDAR UNTUK</v>
          </cell>
        </row>
        <row r="551">
          <cell r="C551" t="str">
            <v>PEREKEMAN ANALISA MASING-MASING HARGA</v>
          </cell>
        </row>
        <row r="552">
          <cell r="C552" t="str">
            <v>SATUAN.</v>
          </cell>
        </row>
        <row r="553">
          <cell r="C553" t="str">
            <v>Didapat Harga Satuan Pekerjaan :</v>
          </cell>
        </row>
        <row r="555">
          <cell r="C555" t="str">
            <v xml:space="preserve">Rp.  </v>
          </cell>
          <cell r="D555">
            <v>1095502.8799999999</v>
          </cell>
          <cell r="E555" t="str">
            <v xml:space="preserve"> / M3.</v>
          </cell>
        </row>
        <row r="558">
          <cell r="A558" t="str">
            <v>6.</v>
          </cell>
          <cell r="C558" t="str">
            <v>MASA PELAKSANAAN YANG DIPERLUKAN</v>
          </cell>
        </row>
        <row r="559">
          <cell r="C559" t="str">
            <v>Masa Pelaksanaan :</v>
          </cell>
          <cell r="D559" t="str">
            <v>. . . . . . . . . . .</v>
          </cell>
          <cell r="E559" t="str">
            <v>bulan</v>
          </cell>
        </row>
        <row r="561">
          <cell r="A561" t="str">
            <v>7.</v>
          </cell>
          <cell r="C561" t="str">
            <v>VOLUME PEKERJAAN YANG DIPERLUKAN</v>
          </cell>
        </row>
        <row r="562">
          <cell r="C562" t="str">
            <v>Volume pekerjaan  :</v>
          </cell>
          <cell r="D562">
            <v>40</v>
          </cell>
          <cell r="E562" t="str">
            <v>M3</v>
          </cell>
        </row>
        <row r="565">
          <cell r="A565" t="str">
            <v>ITEM PEMBAYARAN NO.</v>
          </cell>
          <cell r="D565" t="str">
            <v>:  8.1 (9)</v>
          </cell>
          <cell r="J565" t="str">
            <v>Analisa EI-819</v>
          </cell>
          <cell r="T565" t="str">
            <v>Analisa EI-819</v>
          </cell>
        </row>
        <row r="566">
          <cell r="A566" t="str">
            <v>JENIS PEKERJAAN</v>
          </cell>
          <cell r="D566" t="str">
            <v>:  Bitumen Residual Untuk Pek.Minor</v>
          </cell>
        </row>
        <row r="567">
          <cell r="A567" t="str">
            <v>SATUAN PEMBAYARAN</v>
          </cell>
          <cell r="D567" t="str">
            <v>:  LITER</v>
          </cell>
          <cell r="H567" t="str">
            <v xml:space="preserve">         URAIAN ANALISA HARGA SATUAN</v>
          </cell>
        </row>
        <row r="568">
          <cell r="L568" t="str">
            <v>ANALISA HARGA SATUAN MATA PEMBAYARAN UTAMA</v>
          </cell>
        </row>
        <row r="569">
          <cell r="L569" t="str">
            <v xml:space="preserve">                                                                                                            </v>
          </cell>
        </row>
        <row r="570">
          <cell r="A570" t="str">
            <v>No.</v>
          </cell>
          <cell r="C570" t="str">
            <v>U R A I A N</v>
          </cell>
          <cell r="G570" t="str">
            <v>KODE</v>
          </cell>
          <cell r="H570" t="str">
            <v>KOEF.</v>
          </cell>
          <cell r="I570" t="str">
            <v>SATUAN</v>
          </cell>
          <cell r="J570" t="str">
            <v>KETERANGAN</v>
          </cell>
        </row>
        <row r="573">
          <cell r="A573" t="str">
            <v>I.</v>
          </cell>
          <cell r="C573" t="str">
            <v>ASUMSI</v>
          </cell>
          <cell r="L573" t="str">
            <v>NAMA PESERTA LELANG</v>
          </cell>
          <cell r="O573" t="str">
            <v>:  CV. CAHAYA</v>
          </cell>
        </row>
        <row r="574">
          <cell r="A574">
            <v>1</v>
          </cell>
          <cell r="C574" t="str">
            <v>Menggunakan alat berat (cara mekanik)</v>
          </cell>
          <cell r="L574" t="str">
            <v>ITEM PEMBAYARAN NO.</v>
          </cell>
          <cell r="O574" t="str">
            <v>:  8.1 (9)</v>
          </cell>
        </row>
        <row r="575">
          <cell r="A575">
            <v>2</v>
          </cell>
          <cell r="C575" t="str">
            <v>Lokasi pekerjaan : sepanjang jalan</v>
          </cell>
          <cell r="L575" t="str">
            <v>JENIS PEKERJAAN</v>
          </cell>
          <cell r="O575" t="str">
            <v>:  Bitumen Residual Untuk Pek.Minor</v>
          </cell>
        </row>
        <row r="576">
          <cell r="A576">
            <v>3</v>
          </cell>
          <cell r="C576" t="str">
            <v>Jarak rata-rata Base Camp ke lokasi pekerjaan</v>
          </cell>
          <cell r="G576" t="str">
            <v>L</v>
          </cell>
          <cell r="H576">
            <v>11.5</v>
          </cell>
          <cell r="I576" t="str">
            <v>KM</v>
          </cell>
          <cell r="L576" t="str">
            <v>SATUAN PEMBAYARAN</v>
          </cell>
          <cell r="O576" t="str">
            <v>:  LITER</v>
          </cell>
        </row>
        <row r="577">
          <cell r="A577">
            <v>4</v>
          </cell>
          <cell r="C577" t="str">
            <v>Jam kerja efektif per-hari</v>
          </cell>
          <cell r="G577" t="str">
            <v>Tk</v>
          </cell>
          <cell r="H577">
            <v>7</v>
          </cell>
          <cell r="I577" t="str">
            <v>Jam</v>
          </cell>
          <cell r="L577" t="str">
            <v xml:space="preserve">PERKIRAAN KUANTITAS </v>
          </cell>
          <cell r="O577" t="str">
            <v>:</v>
          </cell>
        </row>
        <row r="578">
          <cell r="A578">
            <v>5</v>
          </cell>
          <cell r="C578" t="str">
            <v>Faktor kehilangan bahan</v>
          </cell>
          <cell r="G578" t="str">
            <v>Fh</v>
          </cell>
          <cell r="H578">
            <v>1.1000000000000001</v>
          </cell>
          <cell r="I578" t="str">
            <v>-</v>
          </cell>
          <cell r="L578" t="str">
            <v>PRODUKSI HARIAN/JAM</v>
          </cell>
          <cell r="O578" t="str">
            <v>:</v>
          </cell>
        </row>
        <row r="579">
          <cell r="A579">
            <v>6</v>
          </cell>
          <cell r="C579" t="str">
            <v>Komposisi campuran  :</v>
          </cell>
        </row>
        <row r="580">
          <cell r="A580" t="str">
            <v xml:space="preserve"> </v>
          </cell>
          <cell r="C580" t="str">
            <v>- Aspal AC - 10 atau AC - 20</v>
          </cell>
          <cell r="G580" t="str">
            <v>As</v>
          </cell>
          <cell r="H580">
            <v>87</v>
          </cell>
          <cell r="I580" t="str">
            <v>%</v>
          </cell>
          <cell r="J580" t="str">
            <v>100 bagian</v>
          </cell>
        </row>
        <row r="581">
          <cell r="A581" t="str">
            <v xml:space="preserve"> </v>
          </cell>
          <cell r="C581" t="str">
            <v>- Minyak Fluk / Pencair</v>
          </cell>
          <cell r="G581" t="str">
            <v>K</v>
          </cell>
          <cell r="H581">
            <v>13</v>
          </cell>
          <cell r="I581" t="str">
            <v>%</v>
          </cell>
          <cell r="J581" t="str">
            <v>15 bagian</v>
          </cell>
          <cell r="Q581" t="str">
            <v>PERKIRAAN</v>
          </cell>
          <cell r="R581" t="str">
            <v>HARGA</v>
          </cell>
          <cell r="S581" t="str">
            <v>JUMLAH</v>
          </cell>
        </row>
        <row r="582">
          <cell r="A582">
            <v>7</v>
          </cell>
          <cell r="C582" t="str">
            <v>Berat jenis bahan  :</v>
          </cell>
          <cell r="L582" t="str">
            <v>NO.</v>
          </cell>
          <cell r="N582" t="str">
            <v>KOMPONEN</v>
          </cell>
          <cell r="P582" t="str">
            <v>SATUAN</v>
          </cell>
          <cell r="Q582" t="str">
            <v>KUANTITAS</v>
          </cell>
          <cell r="R582" t="str">
            <v>SATUAN</v>
          </cell>
          <cell r="S582" t="str">
            <v>HARGA</v>
          </cell>
        </row>
        <row r="583">
          <cell r="C583" t="str">
            <v>- Aspal AC - 10 atau AC - 20</v>
          </cell>
          <cell r="G583" t="str">
            <v>D1</v>
          </cell>
          <cell r="H583">
            <v>1.03</v>
          </cell>
          <cell r="I583" t="str">
            <v>Kg / Ltr</v>
          </cell>
          <cell r="R583" t="str">
            <v>(Rp.)</v>
          </cell>
          <cell r="S583" t="str">
            <v>(Rp.)</v>
          </cell>
        </row>
        <row r="584">
          <cell r="C584" t="str">
            <v>- Minyak Fluk / Minyak Tanah (Kerosene)</v>
          </cell>
          <cell r="G584" t="str">
            <v>D2</v>
          </cell>
          <cell r="H584">
            <v>0.8</v>
          </cell>
          <cell r="I584" t="str">
            <v>Kg / Ltr</v>
          </cell>
        </row>
        <row r="585">
          <cell r="A585">
            <v>8</v>
          </cell>
          <cell r="C585" t="str">
            <v>Bahan dasar (aspal &amp; minyak pencair) semuanya</v>
          </cell>
        </row>
        <row r="586">
          <cell r="C586" t="str">
            <v>diterima dilokasi pekerjaan</v>
          </cell>
          <cell r="L586" t="str">
            <v>A.</v>
          </cell>
          <cell r="N586" t="str">
            <v>TENAGA</v>
          </cell>
        </row>
        <row r="587">
          <cell r="A587" t="str">
            <v xml:space="preserve"> </v>
          </cell>
          <cell r="C587" t="str">
            <v xml:space="preserve"> </v>
          </cell>
        </row>
        <row r="588">
          <cell r="A588" t="str">
            <v>II.</v>
          </cell>
          <cell r="C588" t="str">
            <v>URUTAN KERJA</v>
          </cell>
          <cell r="L588" t="str">
            <v>1.</v>
          </cell>
          <cell r="N588" t="str">
            <v xml:space="preserve">Pekerja </v>
          </cell>
          <cell r="O588" t="str">
            <v>(L01)</v>
          </cell>
          <cell r="P588" t="str">
            <v>Jam</v>
          </cell>
          <cell r="Q588">
            <v>1.4999999999999999E-2</v>
          </cell>
          <cell r="R588">
            <v>5000</v>
          </cell>
          <cell r="U588">
            <v>75</v>
          </cell>
        </row>
        <row r="589">
          <cell r="A589">
            <v>1</v>
          </cell>
          <cell r="C589" t="str">
            <v>Aspal dan minyak tanah dicampur dan dipanaskan</v>
          </cell>
          <cell r="L589" t="str">
            <v>2.</v>
          </cell>
          <cell r="N589" t="str">
            <v>Mandor</v>
          </cell>
          <cell r="O589" t="str">
            <v>(L03)</v>
          </cell>
          <cell r="P589" t="str">
            <v>Jam</v>
          </cell>
          <cell r="Q589">
            <v>2.5000000000000001E-3</v>
          </cell>
          <cell r="R589">
            <v>6500</v>
          </cell>
          <cell r="U589">
            <v>16.25</v>
          </cell>
        </row>
        <row r="590">
          <cell r="C590" t="str">
            <v>sehingga menjadi campuran aspal cair</v>
          </cell>
        </row>
        <row r="591">
          <cell r="A591">
            <v>2</v>
          </cell>
          <cell r="C591" t="str">
            <v>Permukaan yang akan dilapis dibersihkan dari debu</v>
          </cell>
        </row>
        <row r="592">
          <cell r="C592" t="str">
            <v>dan kotoran dengan Air Compresor</v>
          </cell>
          <cell r="Q592" t="str">
            <v xml:space="preserve">JUMLAH HARGA TENAGA   </v>
          </cell>
          <cell r="U592">
            <v>91.25</v>
          </cell>
        </row>
        <row r="593">
          <cell r="A593">
            <v>3</v>
          </cell>
          <cell r="C593" t="str">
            <v>Campuran aspal cair disemprotkan dengan Asphalt</v>
          </cell>
        </row>
        <row r="594">
          <cell r="C594" t="str">
            <v>Sprayer ke atas permukaan yang akan dilapis</v>
          </cell>
          <cell r="L594" t="str">
            <v>B.</v>
          </cell>
          <cell r="N594" t="str">
            <v>BAHAN</v>
          </cell>
        </row>
        <row r="595">
          <cell r="A595">
            <v>4</v>
          </cell>
          <cell r="C595" t="str">
            <v>Angkutan Aspal dan Minyak tanah menggunakan Dump</v>
          </cell>
          <cell r="Q595" t="str">
            <v xml:space="preserve"> </v>
          </cell>
        </row>
        <row r="596">
          <cell r="C596" t="str">
            <v>Truck</v>
          </cell>
          <cell r="L596" t="str">
            <v>1.</v>
          </cell>
          <cell r="N596" t="str">
            <v>Aspal</v>
          </cell>
          <cell r="O596" t="str">
            <v>(M10)</v>
          </cell>
          <cell r="P596" t="str">
            <v>Kg</v>
          </cell>
          <cell r="Q596">
            <v>0.98571000000000009</v>
          </cell>
          <cell r="R596">
            <v>4400</v>
          </cell>
          <cell r="U596">
            <v>4337.12</v>
          </cell>
        </row>
        <row r="597">
          <cell r="L597" t="str">
            <v>2.</v>
          </cell>
          <cell r="N597" t="str">
            <v>Kerosene</v>
          </cell>
          <cell r="O597" t="str">
            <v>(M11)</v>
          </cell>
          <cell r="P597" t="str">
            <v>Liter</v>
          </cell>
          <cell r="Q597">
            <v>0.14300000000000002</v>
          </cell>
          <cell r="R597">
            <v>2000</v>
          </cell>
          <cell r="U597">
            <v>286</v>
          </cell>
        </row>
        <row r="598">
          <cell r="A598" t="str">
            <v>III.</v>
          </cell>
          <cell r="C598" t="str">
            <v>PEMAKAIAN BAHAN, ALAT DAN TENAGA</v>
          </cell>
        </row>
        <row r="600">
          <cell r="A600" t="str">
            <v xml:space="preserve">   1.</v>
          </cell>
          <cell r="C600" t="str">
            <v>BAHAN</v>
          </cell>
        </row>
        <row r="601">
          <cell r="C601" t="str">
            <v>Untuk mendapatkan 1 liter Lapis resap Pengikat</v>
          </cell>
        </row>
        <row r="602">
          <cell r="C602" t="str">
            <v>diperlukan :</v>
          </cell>
          <cell r="D602" t="str">
            <v>(1 liter x Fh)</v>
          </cell>
          <cell r="G602" t="str">
            <v>Pc</v>
          </cell>
          <cell r="H602">
            <v>1.1000000000000001</v>
          </cell>
          <cell r="I602" t="str">
            <v>liter</v>
          </cell>
          <cell r="J602" t="str">
            <v>campuran</v>
          </cell>
          <cell r="Q602" t="str">
            <v xml:space="preserve">JUMLAH HARGA BAHAN   </v>
          </cell>
          <cell r="U602">
            <v>4623.12</v>
          </cell>
        </row>
        <row r="604">
          <cell r="C604" t="str">
            <v>Aspal</v>
          </cell>
          <cell r="D604" t="str">
            <v>= As x Pc x D1 : 100</v>
          </cell>
          <cell r="G604" t="str">
            <v>(M10)</v>
          </cell>
          <cell r="H604">
            <v>0.98571000000000009</v>
          </cell>
          <cell r="I604" t="str">
            <v>Kg</v>
          </cell>
          <cell r="L604" t="str">
            <v>C.</v>
          </cell>
          <cell r="N604" t="str">
            <v>PERALATAN</v>
          </cell>
        </row>
        <row r="605">
          <cell r="C605" t="str">
            <v>Kerosene</v>
          </cell>
          <cell r="D605" t="str">
            <v>= K x Pc : 100</v>
          </cell>
          <cell r="G605" t="str">
            <v>(M11)</v>
          </cell>
          <cell r="H605">
            <v>0.14300000000000002</v>
          </cell>
          <cell r="I605" t="str">
            <v>liter</v>
          </cell>
        </row>
        <row r="606">
          <cell r="L606" t="str">
            <v>1.</v>
          </cell>
          <cell r="N606" t="str">
            <v>Asphalt Sprayer     (E03)</v>
          </cell>
          <cell r="P606" t="str">
            <v>Jam</v>
          </cell>
          <cell r="Q606">
            <v>2.5000000000000001E-3</v>
          </cell>
          <cell r="R606">
            <v>46837.134482466303</v>
          </cell>
          <cell r="U606">
            <v>117.09</v>
          </cell>
        </row>
        <row r="607">
          <cell r="A607" t="str">
            <v>2.</v>
          </cell>
          <cell r="C607" t="str">
            <v>ALAT</v>
          </cell>
          <cell r="L607" t="str">
            <v>2.</v>
          </cell>
          <cell r="N607" t="str">
            <v>Compresor</v>
          </cell>
          <cell r="O607" t="str">
            <v>(E05)</v>
          </cell>
          <cell r="P607" t="str">
            <v>Jam</v>
          </cell>
          <cell r="Q607">
            <v>3.0999999999999999E-3</v>
          </cell>
          <cell r="R607">
            <v>40528.282990477273</v>
          </cell>
          <cell r="U607">
            <v>125.64</v>
          </cell>
        </row>
        <row r="608">
          <cell r="A608" t="str">
            <v>2.a.</v>
          </cell>
          <cell r="C608" t="str">
            <v>APHALT SPRAYER</v>
          </cell>
          <cell r="G608" t="str">
            <v>(E03)</v>
          </cell>
          <cell r="L608" t="str">
            <v>3.</v>
          </cell>
          <cell r="N608" t="str">
            <v>Dump Truck</v>
          </cell>
          <cell r="O608" t="str">
            <v>(E08)</v>
          </cell>
          <cell r="P608" t="str">
            <v>Jam</v>
          </cell>
          <cell r="Q608">
            <v>2.5000000000000001E-3</v>
          </cell>
          <cell r="R608">
            <v>138269.41467687697</v>
          </cell>
          <cell r="U608">
            <v>345.67</v>
          </cell>
        </row>
        <row r="609">
          <cell r="C609" t="str">
            <v>Kapasitas alat</v>
          </cell>
          <cell r="G609" t="str">
            <v>V</v>
          </cell>
          <cell r="H609">
            <v>1000</v>
          </cell>
          <cell r="I609" t="str">
            <v>liter</v>
          </cell>
        </row>
        <row r="610">
          <cell r="C610" t="str">
            <v>Faktor Efisiensi Alat</v>
          </cell>
          <cell r="G610" t="str">
            <v>Fa</v>
          </cell>
          <cell r="H610">
            <v>0.8</v>
          </cell>
          <cell r="I610" t="str">
            <v>-</v>
          </cell>
        </row>
        <row r="611">
          <cell r="C611" t="str">
            <v>Waktu Siklus (termasuk proses pemanasan)</v>
          </cell>
          <cell r="G611" t="str">
            <v>Ts</v>
          </cell>
          <cell r="H611">
            <v>2</v>
          </cell>
          <cell r="I611" t="str">
            <v>Jam</v>
          </cell>
        </row>
        <row r="613">
          <cell r="C613" t="str">
            <v>Kap.Prod. / jam =</v>
          </cell>
          <cell r="D613" t="str">
            <v>V x Fa</v>
          </cell>
          <cell r="G613" t="str">
            <v>Q1</v>
          </cell>
          <cell r="H613">
            <v>400</v>
          </cell>
          <cell r="I613" t="str">
            <v>liter</v>
          </cell>
        </row>
        <row r="614">
          <cell r="D614" t="str">
            <v>Ts</v>
          </cell>
          <cell r="Q614" t="str">
            <v xml:space="preserve">JUMLAH HARGA PERALATAN   </v>
          </cell>
          <cell r="U614">
            <v>588.40000000000009</v>
          </cell>
        </row>
        <row r="615">
          <cell r="C615" t="str">
            <v>Koefisien Alat / Ltr</v>
          </cell>
          <cell r="D615" t="str">
            <v xml:space="preserve"> = 1 : Q1</v>
          </cell>
          <cell r="G615" t="str">
            <v>(E03)</v>
          </cell>
          <cell r="H615">
            <v>2.5000000000000001E-3</v>
          </cell>
          <cell r="I615" t="str">
            <v>Jam</v>
          </cell>
        </row>
        <row r="616">
          <cell r="L616" t="str">
            <v>D.</v>
          </cell>
          <cell r="N616" t="str">
            <v>JUMLAH HARGA TENAGA, BAHAN DAN PERALATAN  ( A + B + C )</v>
          </cell>
          <cell r="U616">
            <v>5302.77</v>
          </cell>
        </row>
        <row r="617">
          <cell r="A617" t="str">
            <v>2.b.</v>
          </cell>
          <cell r="C617" t="str">
            <v>AIR COMPRESOR</v>
          </cell>
          <cell r="G617" t="str">
            <v>(E05)</v>
          </cell>
          <cell r="L617" t="str">
            <v>E.</v>
          </cell>
          <cell r="N617" t="str">
            <v>OVERHEAD &amp; PROFIT</v>
          </cell>
          <cell r="P617">
            <v>10</v>
          </cell>
          <cell r="Q617" t="str">
            <v>%  x  D</v>
          </cell>
          <cell r="U617">
            <v>530.27700000000004</v>
          </cell>
        </row>
        <row r="618">
          <cell r="C618" t="str">
            <v>Kapasitas Alat ------&gt;&gt;  diambil</v>
          </cell>
          <cell r="G618" t="str">
            <v>V</v>
          </cell>
          <cell r="H618">
            <v>400</v>
          </cell>
          <cell r="I618" t="str">
            <v>M2 / Jam</v>
          </cell>
          <cell r="L618" t="str">
            <v>F.</v>
          </cell>
          <cell r="N618" t="str">
            <v>HARGA SATUAN PEKERJAAN  ( D + E )</v>
          </cell>
          <cell r="U618">
            <v>5833.05</v>
          </cell>
        </row>
        <row r="619">
          <cell r="C619" t="str">
            <v>Aplikasi Lapis Resap Pengikat rata-rata (Spesifikasi)</v>
          </cell>
          <cell r="G619" t="str">
            <v>Ap</v>
          </cell>
          <cell r="H619">
            <v>0.8</v>
          </cell>
          <cell r="I619" t="str">
            <v>liter / M2</v>
          </cell>
          <cell r="L619" t="str">
            <v>Note: 1</v>
          </cell>
          <cell r="N619" t="str">
            <v>SATUAN dapat berdasarkan atas jam operasi untuk Tenaga Kerja dan Peralatan, volume dan/atau ukuran</v>
          </cell>
        </row>
        <row r="620">
          <cell r="N620" t="str">
            <v>berat untuk bahan-bahan.</v>
          </cell>
        </row>
        <row r="621">
          <cell r="C621" t="str">
            <v xml:space="preserve">Kap. Prod. / jam = </v>
          </cell>
          <cell r="D621" t="str">
            <v>(V x Ap)</v>
          </cell>
          <cell r="G621" t="str">
            <v>Q2</v>
          </cell>
          <cell r="H621">
            <v>320</v>
          </cell>
          <cell r="I621" t="str">
            <v>liter</v>
          </cell>
          <cell r="L621">
            <v>2</v>
          </cell>
          <cell r="N621" t="str">
            <v>Kuantitas satuan adalah kuantitas setiap komponen untuk menyelesaikan satu satuan pekerjaan dari nomor</v>
          </cell>
        </row>
        <row r="622">
          <cell r="N622" t="str">
            <v>mata pembayaran.</v>
          </cell>
        </row>
        <row r="623">
          <cell r="C623" t="str">
            <v>Koefisien Alat / Ltr</v>
          </cell>
          <cell r="D623" t="str">
            <v xml:space="preserve"> = 1 : Q2</v>
          </cell>
          <cell r="G623" t="str">
            <v>(E05)</v>
          </cell>
          <cell r="H623">
            <v>3.0999999999999999E-3</v>
          </cell>
          <cell r="I623" t="str">
            <v>Jam</v>
          </cell>
          <cell r="L623">
            <v>3</v>
          </cell>
          <cell r="N623" t="str">
            <v>Biaya satuan untuk peralatan sudah termasuk bahan bakar, bahan habis dipakai dan operator.</v>
          </cell>
        </row>
        <row r="624">
          <cell r="L624">
            <v>4</v>
          </cell>
          <cell r="N624" t="str">
            <v>Biaya satuan sudah termasuk pengeluaran untuk seluruh pajak yang berkaitan (tetapi tidak termasuk PPN</v>
          </cell>
        </row>
        <row r="625">
          <cell r="J625" t="str">
            <v>Berlanjut ke halaman berikut</v>
          </cell>
          <cell r="N625" t="str">
            <v>yang dibayar dari kontrak) dan biaya-biaya lainnya.</v>
          </cell>
        </row>
        <row r="635">
          <cell r="A635" t="str">
            <v>ITEM PEMBAYARAN NO.</v>
          </cell>
          <cell r="D635" t="str">
            <v>:  8.1 (9)</v>
          </cell>
          <cell r="J635" t="str">
            <v>Analisa EI-819</v>
          </cell>
        </row>
        <row r="636">
          <cell r="A636" t="str">
            <v xml:space="preserve">JENIS PEKERJAAN                                  </v>
          </cell>
          <cell r="D636" t="str">
            <v>:  Bitumen Residual Untuk Pek.Minor</v>
          </cell>
        </row>
        <row r="637">
          <cell r="A637" t="str">
            <v>SATUAN PEMBAYARAN</v>
          </cell>
          <cell r="D637" t="str">
            <v>:  LITER</v>
          </cell>
          <cell r="H637" t="str">
            <v xml:space="preserve">         URAIAN ANALISA HARGA SATUAN</v>
          </cell>
        </row>
        <row r="638">
          <cell r="J638" t="str">
            <v>Lanjutan</v>
          </cell>
        </row>
        <row r="640">
          <cell r="A640" t="str">
            <v>No.</v>
          </cell>
          <cell r="C640" t="str">
            <v>U R A I A N</v>
          </cell>
          <cell r="G640" t="str">
            <v>KODE</v>
          </cell>
          <cell r="H640" t="str">
            <v>KOEF.</v>
          </cell>
          <cell r="I640" t="str">
            <v>SATUAN</v>
          </cell>
          <cell r="J640" t="str">
            <v>KETERANGAN</v>
          </cell>
        </row>
        <row r="643">
          <cell r="A643" t="str">
            <v>2.c.</v>
          </cell>
          <cell r="C643" t="str">
            <v>DUMP TRUCK (DT)</v>
          </cell>
          <cell r="G643" t="str">
            <v>(E08)</v>
          </cell>
        </row>
        <row r="644">
          <cell r="C644" t="str">
            <v>Sebagai alat pengangkut bahan dilokasi pekerjaan</v>
          </cell>
        </row>
        <row r="645">
          <cell r="C645" t="str">
            <v>Dump Truck melayani alat Asphalt Sprayer.</v>
          </cell>
        </row>
        <row r="646">
          <cell r="C646" t="str">
            <v>Kap.Prod. / jam = sama dengan Asphalt Sprayer</v>
          </cell>
          <cell r="G646" t="str">
            <v>Q3</v>
          </cell>
          <cell r="H646">
            <v>400</v>
          </cell>
          <cell r="I646" t="str">
            <v>liter</v>
          </cell>
        </row>
        <row r="648">
          <cell r="C648" t="str">
            <v>Koefisien Alat / Ltr</v>
          </cell>
          <cell r="D648" t="str">
            <v xml:space="preserve"> = 1 : Q3</v>
          </cell>
          <cell r="G648" t="str">
            <v>(E08)</v>
          </cell>
          <cell r="H648">
            <v>2.5000000000000001E-3</v>
          </cell>
          <cell r="I648" t="str">
            <v>Jam</v>
          </cell>
        </row>
        <row r="650">
          <cell r="A650" t="str">
            <v>3.</v>
          </cell>
          <cell r="C650" t="str">
            <v>TENAGA</v>
          </cell>
        </row>
        <row r="651">
          <cell r="C651" t="str">
            <v>Produksi menentukan : ASPHALT SPRAYER</v>
          </cell>
          <cell r="G651" t="str">
            <v>Q1</v>
          </cell>
          <cell r="H651">
            <v>400</v>
          </cell>
          <cell r="I651" t="str">
            <v>liter</v>
          </cell>
        </row>
        <row r="652">
          <cell r="C652" t="str">
            <v>Produksi / hari  =  Tk x Q1</v>
          </cell>
          <cell r="G652" t="str">
            <v>Qt</v>
          </cell>
          <cell r="H652">
            <v>2800</v>
          </cell>
          <cell r="I652" t="str">
            <v>liter</v>
          </cell>
        </row>
        <row r="653">
          <cell r="C653" t="str">
            <v>Kebutuhan tenaga :</v>
          </cell>
        </row>
        <row r="654">
          <cell r="D654" t="str">
            <v>- Pekerja</v>
          </cell>
          <cell r="G654" t="str">
            <v>P</v>
          </cell>
          <cell r="H654">
            <v>6</v>
          </cell>
          <cell r="I654" t="str">
            <v>orang</v>
          </cell>
        </row>
        <row r="655">
          <cell r="D655" t="str">
            <v>- Mandor</v>
          </cell>
          <cell r="G655" t="str">
            <v>M</v>
          </cell>
          <cell r="H655">
            <v>1</v>
          </cell>
          <cell r="I655" t="str">
            <v>orang</v>
          </cell>
        </row>
        <row r="657">
          <cell r="C657" t="str">
            <v>Koefisien Tenaga / Ltr     :</v>
          </cell>
        </row>
        <row r="658">
          <cell r="D658" t="str">
            <v>- Pekerja</v>
          </cell>
          <cell r="E658" t="str">
            <v>= (Tk x P) / Qt</v>
          </cell>
          <cell r="G658" t="str">
            <v>(L01)</v>
          </cell>
          <cell r="H658">
            <v>1.4999999999999999E-2</v>
          </cell>
          <cell r="I658" t="str">
            <v>Jam</v>
          </cell>
        </row>
        <row r="659">
          <cell r="D659" t="str">
            <v>- Mandor</v>
          </cell>
          <cell r="E659" t="str">
            <v>= (Tk x M) / Qt</v>
          </cell>
          <cell r="G659" t="str">
            <v>(L03)</v>
          </cell>
          <cell r="H659">
            <v>2.5000000000000001E-3</v>
          </cell>
          <cell r="I659" t="str">
            <v>Jam</v>
          </cell>
        </row>
        <row r="661">
          <cell r="A661" t="str">
            <v>4.</v>
          </cell>
          <cell r="C661" t="str">
            <v>HARGA DASAR SATUAN UPAH, BAHAN DAN ALAT</v>
          </cell>
        </row>
        <row r="662">
          <cell r="C662" t="str">
            <v>Lihat lampiran.</v>
          </cell>
        </row>
        <row r="664">
          <cell r="A664" t="str">
            <v>5.</v>
          </cell>
          <cell r="C664" t="str">
            <v>ANALISA HARGA SATUAN PEKERJAAN</v>
          </cell>
        </row>
        <row r="665">
          <cell r="C665" t="str">
            <v>Lihat perhitungan dalam FORMULIR STANDAR UNTUK</v>
          </cell>
        </row>
        <row r="666">
          <cell r="C666" t="str">
            <v>PEREKEMAN ANALISA MASING-MASING HARGA</v>
          </cell>
        </row>
        <row r="667">
          <cell r="C667" t="str">
            <v>SATUAN.</v>
          </cell>
        </row>
        <row r="668">
          <cell r="C668" t="str">
            <v>Didapat Harga Satuan Pekerjaan :</v>
          </cell>
        </row>
        <row r="670">
          <cell r="C670" t="str">
            <v xml:space="preserve">Rp.  </v>
          </cell>
          <cell r="D670">
            <v>5833.05</v>
          </cell>
          <cell r="E670" t="str">
            <v xml:space="preserve"> / Liter</v>
          </cell>
        </row>
        <row r="673">
          <cell r="A673" t="str">
            <v>6.</v>
          </cell>
          <cell r="C673" t="str">
            <v>MASA PELAKSANAAN YANG DIPERLUKAN</v>
          </cell>
        </row>
        <row r="674">
          <cell r="C674" t="str">
            <v>Masa Pelaksanaan :</v>
          </cell>
          <cell r="D674" t="str">
            <v>. . . . . . . . . . .</v>
          </cell>
          <cell r="E674" t="str">
            <v>bulan</v>
          </cell>
        </row>
        <row r="676">
          <cell r="A676" t="str">
            <v>7.</v>
          </cell>
          <cell r="C676" t="str">
            <v>VOLUME PEKERJAAN YANG DIPERLUKAN</v>
          </cell>
        </row>
        <row r="677">
          <cell r="C677" t="str">
            <v>Volume pekerjaan  :</v>
          </cell>
          <cell r="D677">
            <v>288</v>
          </cell>
          <cell r="E677" t="str">
            <v>Liter</v>
          </cell>
        </row>
        <row r="692">
          <cell r="C692" t="str">
            <v xml:space="preserve"> </v>
          </cell>
        </row>
      </sheetData>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baikan Jalan"/>
      <sheetName val="Schedule"/>
      <sheetName val="RAB "/>
      <sheetName val="BQ pengendali "/>
      <sheetName val="RAB pengendali (Revisi)"/>
      <sheetName val="RAB pengendali"/>
      <sheetName val="Rekapitulasi Harga Satuan     "/>
      <sheetName val="Analisa Harga Satuan      "/>
      <sheetName val="BQ Treatment"/>
      <sheetName val="RAB Treatment"/>
      <sheetName val="BQ Inlet Utara"/>
      <sheetName val="RAB Inlet Utara  (Revisi)"/>
      <sheetName val="RAB Inlet Utara "/>
      <sheetName val="RAB Treatment (Revisi)"/>
      <sheetName val="Rekapitulasi Harga Satuan "/>
      <sheetName val="Analisa Harga Satuan "/>
      <sheetName val="Daftar Harga Material"/>
      <sheetName val="Daftar Harga Upah"/>
      <sheetName val="Analisa Harga Satuan"/>
      <sheetName val="Volume Drainage"/>
      <sheetName val="RAB    "/>
      <sheetName val="Rekapitulasi Harga Satuan      "/>
      <sheetName val="Analisa Harga Satuan    "/>
      <sheetName val="Analisa Harga Satuan Tambah"/>
      <sheetName val="Rekapitulasi Pek. Tambah"/>
      <sheetName val="RAB Pek. Tambah"/>
      <sheetName val="Rekapitulasi Harga Satuan Tamba"/>
      <sheetName val="Rekapitulasi"/>
      <sheetName val="Rekapitulasi Kontrak"/>
      <sheetName val="RAB  kontrak"/>
      <sheetName val="Volume Kirmir"/>
      <sheetName val="Rekapitulasi Harga Satuan"/>
      <sheetName val="Analisa 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3">
          <cell r="G13">
            <v>5000</v>
          </cell>
        </row>
        <row r="14">
          <cell r="G14">
            <v>475000</v>
          </cell>
        </row>
        <row r="21">
          <cell r="G21">
            <v>70000</v>
          </cell>
        </row>
        <row r="23">
          <cell r="G23">
            <v>90000</v>
          </cell>
        </row>
        <row r="25">
          <cell r="G25">
            <v>75000</v>
          </cell>
        </row>
        <row r="32">
          <cell r="G32">
            <v>50000</v>
          </cell>
        </row>
        <row r="33">
          <cell r="G33">
            <v>79200</v>
          </cell>
        </row>
        <row r="58">
          <cell r="G58">
            <v>20000</v>
          </cell>
        </row>
        <row r="59">
          <cell r="G59">
            <v>15000</v>
          </cell>
        </row>
        <row r="60">
          <cell r="G60">
            <v>12000</v>
          </cell>
        </row>
        <row r="64">
          <cell r="G64">
            <v>100000</v>
          </cell>
        </row>
        <row r="78">
          <cell r="G78">
            <v>95000</v>
          </cell>
        </row>
        <row r="79">
          <cell r="G79">
            <v>75000</v>
          </cell>
        </row>
        <row r="84">
          <cell r="G84">
            <v>54000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REKAP"/>
      <sheetName val="RAB"/>
      <sheetName val="VOLUME"/>
      <sheetName val="harsat"/>
      <sheetName val="Analisa"/>
      <sheetName val="bahan"/>
      <sheetName val="RANGE BAHAN"/>
      <sheetName val="HB "/>
      <sheetName val="HB"/>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KUANT. &amp; HRG"/>
      <sheetName val="Analisa "/>
      <sheetName val="ANALISA-1"/>
      <sheetName val="Mata Pemb. Utm"/>
      <sheetName val="MATA PEMBY."/>
      <sheetName val="Bahan"/>
      <sheetName val="Sheet9"/>
      <sheetName val="Sheet8"/>
      <sheetName val="Sheet7"/>
      <sheetName val="Sheet6"/>
      <sheetName val="Sheet5"/>
      <sheetName val="Sheet4"/>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L-SUBKON (2)"/>
      <sheetName val="Rekap-kosongan"/>
      <sheetName val="Rab - Kosongan"/>
      <sheetName val="uSUL-SUBKON"/>
      <sheetName val="lmp-7"/>
      <sheetName val="Rekap-Rab"/>
      <sheetName val="RAB"/>
      <sheetName val="ANALISA-1"/>
      <sheetName val="Metode-Anls"/>
      <sheetName val="Uraian Teknis"/>
      <sheetName val="sat.Up,Bh,Mtr"/>
      <sheetName val="ANALISA LUMP SUM"/>
      <sheetName val="jadwal-bahan"/>
      <sheetName val="jadwal-alat"/>
      <sheetName val="jadwal-pel"/>
      <sheetName val="mETODE-KLITIK"/>
      <sheetName val="ANALISA_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lan&amp;parkir"/>
      <sheetName val="BBM"/>
      <sheetName val="perb. nelayan"/>
      <sheetName val="Analisa"/>
      <sheetName val="perk.jalan"/>
      <sheetName val="jln krj nelayan"/>
      <sheetName val="penerangan"/>
      <sheetName val="AO-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m1b"/>
      <sheetName val="Lam1a"/>
      <sheetName val="Lam1-10"/>
      <sheetName val="Lam1-9"/>
      <sheetName val="Lam1-8"/>
      <sheetName val="Lam1-7"/>
      <sheetName val="Lam1-3"/>
      <sheetName val="Lam1-2"/>
      <sheetName val="TC"/>
      <sheetName val="PC"/>
      <sheetName val="LPB-bh"/>
      <sheetName val="LPA-bh"/>
      <sheetName val="Mortar"/>
      <sheetName val="LAMP-20"/>
      <sheetName val="Alat-Jam"/>
      <sheetName val="Lam2-2"/>
      <sheetName val="Lam1-1"/>
      <sheetName val="Lam1-6"/>
      <sheetName val="Lam1-45"/>
      <sheetName val="HRS"/>
      <sheetName val="P-BATU"/>
      <sheetName val="Marka"/>
      <sheetName val="LPB"/>
      <sheetName val="ATB"/>
      <sheetName val="LPA"/>
      <sheetName val="KONF-PLANT"/>
      <sheetName val="SCED"/>
      <sheetName val="REKAP"/>
      <sheetName val="DAF-KU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
      <sheetName val="rab"/>
      <sheetName val="an"/>
      <sheetName val="hrg sat"/>
      <sheetName val="harsat"/>
      <sheetName val="Analisa"/>
      <sheetName val="DAF-1"/>
      <sheetName val="hrg sat1"/>
      <sheetName val="FAKTOR"/>
      <sheetName val="AHSbj"/>
    </sheetNames>
    <sheetDataSet>
      <sheetData sheetId="0"/>
      <sheetData sheetId="1" refreshError="1"/>
      <sheetData sheetId="2" refreshError="1"/>
      <sheetData sheetId="3" refreshError="1">
        <row r="111">
          <cell r="L111">
            <v>80000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K. TAMBAHAN 15"/>
      <sheetName val="PEK. KUNCI &amp; KACA 11"/>
      <sheetName val="PEK. BESI 10 "/>
      <sheetName val="PEK. LANGIT2X 8"/>
      <sheetName val="PEK. PLESTERAN 7"/>
      <sheetName val="PENETRASI 10"/>
      <sheetName val="PEK. BETON 9"/>
      <sheetName val="PEK. SANITAIR 8"/>
      <sheetName val="PEK. PENUTUP LANTAI 7"/>
      <sheetName val="PEK PENGECATAN 6"/>
      <sheetName val="PENUTUP ATAP 5"/>
      <sheetName val="PEK KAYU &amp; KONST ATAP 4"/>
      <sheetName val="PEK. PAS &amp; PLEST 3"/>
      <sheetName val="PEK. TANAH 2"/>
      <sheetName val="PERSIAPAN 1"/>
      <sheetName val="HARGA BAHAN"/>
      <sheetName val="RANGE B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4">
          <cell r="B4" t="str">
            <v>m3</v>
          </cell>
          <cell r="C4">
            <v>35000</v>
          </cell>
        </row>
        <row r="5">
          <cell r="B5" t="str">
            <v>m3</v>
          </cell>
          <cell r="C5">
            <v>45000</v>
          </cell>
        </row>
        <row r="6">
          <cell r="B6" t="str">
            <v>m3</v>
          </cell>
          <cell r="C6">
            <v>62500</v>
          </cell>
        </row>
        <row r="7">
          <cell r="B7" t="str">
            <v>m3</v>
          </cell>
          <cell r="C7">
            <v>39500</v>
          </cell>
        </row>
        <row r="9">
          <cell r="B9" t="str">
            <v>m3</v>
          </cell>
          <cell r="C9">
            <v>56750</v>
          </cell>
        </row>
        <row r="15">
          <cell r="B15" t="str">
            <v>m3</v>
          </cell>
          <cell r="C15">
            <v>115000</v>
          </cell>
        </row>
        <row r="16">
          <cell r="B16" t="str">
            <v>bj</v>
          </cell>
          <cell r="C16">
            <v>200</v>
          </cell>
        </row>
        <row r="17">
          <cell r="B17" t="str">
            <v>kg</v>
          </cell>
          <cell r="C17">
            <v>690</v>
          </cell>
        </row>
        <row r="20">
          <cell r="B20" t="str">
            <v>bj</v>
          </cell>
          <cell r="C20">
            <v>2250</v>
          </cell>
        </row>
        <row r="21">
          <cell r="B21" t="str">
            <v>bj</v>
          </cell>
          <cell r="C21">
            <v>5600</v>
          </cell>
        </row>
        <row r="22">
          <cell r="B22" t="str">
            <v>m2</v>
          </cell>
          <cell r="C22">
            <v>35000</v>
          </cell>
        </row>
        <row r="23">
          <cell r="B23" t="str">
            <v>m2</v>
          </cell>
          <cell r="C23">
            <v>37500</v>
          </cell>
        </row>
        <row r="24">
          <cell r="B24" t="str">
            <v>m2</v>
          </cell>
          <cell r="C24">
            <v>34500</v>
          </cell>
        </row>
        <row r="25">
          <cell r="B25" t="str">
            <v>m2</v>
          </cell>
          <cell r="C25">
            <v>40000</v>
          </cell>
        </row>
        <row r="31">
          <cell r="B31" t="str">
            <v>Kg</v>
          </cell>
          <cell r="C31">
            <v>6000</v>
          </cell>
        </row>
        <row r="34">
          <cell r="B34" t="str">
            <v>Kg</v>
          </cell>
          <cell r="C34">
            <v>12500</v>
          </cell>
        </row>
        <row r="36">
          <cell r="B36" t="str">
            <v>Kg</v>
          </cell>
          <cell r="C36">
            <v>8000</v>
          </cell>
        </row>
        <row r="37">
          <cell r="B37" t="str">
            <v>Kg</v>
          </cell>
          <cell r="C37">
            <v>8000</v>
          </cell>
        </row>
        <row r="38">
          <cell r="B38" t="str">
            <v>Kg</v>
          </cell>
          <cell r="C38">
            <v>12500</v>
          </cell>
        </row>
        <row r="39">
          <cell r="B39" t="str">
            <v>Kg</v>
          </cell>
          <cell r="C39">
            <v>12500</v>
          </cell>
        </row>
        <row r="40">
          <cell r="B40" t="str">
            <v>lbr</v>
          </cell>
          <cell r="C40">
            <v>35000</v>
          </cell>
        </row>
        <row r="45">
          <cell r="B45" t="str">
            <v>m</v>
          </cell>
          <cell r="C45">
            <v>13500</v>
          </cell>
        </row>
        <row r="46">
          <cell r="B46" t="str">
            <v>m</v>
          </cell>
          <cell r="C46">
            <v>17000</v>
          </cell>
        </row>
        <row r="47">
          <cell r="B47" t="str">
            <v>m</v>
          </cell>
          <cell r="C47">
            <v>25500</v>
          </cell>
        </row>
        <row r="51">
          <cell r="B51" t="str">
            <v>m3</v>
          </cell>
          <cell r="C51">
            <v>1475000</v>
          </cell>
        </row>
        <row r="52">
          <cell r="B52" t="str">
            <v>m3</v>
          </cell>
          <cell r="C52">
            <v>1850000</v>
          </cell>
        </row>
        <row r="53">
          <cell r="B53" t="str">
            <v>m3</v>
          </cell>
          <cell r="C53">
            <v>1950000</v>
          </cell>
        </row>
        <row r="54">
          <cell r="B54" t="str">
            <v>m3</v>
          </cell>
          <cell r="C54">
            <v>3350000</v>
          </cell>
        </row>
        <row r="55">
          <cell r="B55" t="str">
            <v>m4</v>
          </cell>
          <cell r="C55">
            <v>3850000</v>
          </cell>
        </row>
        <row r="56">
          <cell r="B56" t="str">
            <v>m3</v>
          </cell>
          <cell r="C56">
            <v>7000000</v>
          </cell>
        </row>
        <row r="59">
          <cell r="B59" t="str">
            <v>lbr</v>
          </cell>
          <cell r="C59">
            <v>92500</v>
          </cell>
        </row>
        <row r="60">
          <cell r="B60" t="str">
            <v>lbr</v>
          </cell>
          <cell r="C60">
            <v>52500</v>
          </cell>
        </row>
        <row r="62">
          <cell r="B62" t="str">
            <v>lbr</v>
          </cell>
          <cell r="C62">
            <v>75500</v>
          </cell>
        </row>
        <row r="64">
          <cell r="B64" t="str">
            <v>kg</v>
          </cell>
          <cell r="C64">
            <v>25000</v>
          </cell>
        </row>
        <row r="67">
          <cell r="B67" t="str">
            <v>bh</v>
          </cell>
          <cell r="C67">
            <v>150000</v>
          </cell>
        </row>
        <row r="68">
          <cell r="B68" t="str">
            <v>bh</v>
          </cell>
          <cell r="C68">
            <v>1050000</v>
          </cell>
        </row>
        <row r="71">
          <cell r="B71" t="str">
            <v>bh</v>
          </cell>
          <cell r="C71">
            <v>350000</v>
          </cell>
        </row>
        <row r="72">
          <cell r="B72" t="str">
            <v>bh</v>
          </cell>
          <cell r="C72">
            <v>250000</v>
          </cell>
        </row>
        <row r="74">
          <cell r="B74" t="str">
            <v>m'</v>
          </cell>
          <cell r="C74">
            <v>3500</v>
          </cell>
        </row>
        <row r="75">
          <cell r="B75" t="str">
            <v>m'</v>
          </cell>
          <cell r="C75">
            <v>4500</v>
          </cell>
        </row>
        <row r="76">
          <cell r="B76" t="str">
            <v>m'</v>
          </cell>
          <cell r="C76">
            <v>5500</v>
          </cell>
        </row>
        <row r="78">
          <cell r="B78" t="str">
            <v>m'</v>
          </cell>
          <cell r="C78">
            <v>15000</v>
          </cell>
        </row>
        <row r="79">
          <cell r="B79" t="str">
            <v>m'</v>
          </cell>
          <cell r="C79">
            <v>17500</v>
          </cell>
        </row>
        <row r="80">
          <cell r="B80" t="str">
            <v>m'</v>
          </cell>
          <cell r="C80">
            <v>22500</v>
          </cell>
        </row>
        <row r="81">
          <cell r="B81" t="str">
            <v>m2</v>
          </cell>
          <cell r="C81">
            <v>60000</v>
          </cell>
        </row>
        <row r="82">
          <cell r="B82" t="str">
            <v>m2</v>
          </cell>
          <cell r="C82">
            <v>82500</v>
          </cell>
        </row>
        <row r="83">
          <cell r="B83" t="str">
            <v>bh</v>
          </cell>
          <cell r="C83">
            <v>12500</v>
          </cell>
        </row>
        <row r="84">
          <cell r="B84" t="str">
            <v>bh</v>
          </cell>
          <cell r="C84">
            <v>15000</v>
          </cell>
        </row>
        <row r="86">
          <cell r="B86" t="str">
            <v>bh</v>
          </cell>
          <cell r="C86">
            <v>185000</v>
          </cell>
        </row>
        <row r="89">
          <cell r="B89" t="str">
            <v>bh</v>
          </cell>
          <cell r="C89">
            <v>25000</v>
          </cell>
        </row>
        <row r="90">
          <cell r="B90" t="str">
            <v>bh</v>
          </cell>
          <cell r="C90">
            <v>45000</v>
          </cell>
        </row>
        <row r="93">
          <cell r="B93" t="str">
            <v>kg</v>
          </cell>
          <cell r="C93">
            <v>6500</v>
          </cell>
        </row>
        <row r="94">
          <cell r="B94" t="str">
            <v>kg</v>
          </cell>
          <cell r="C94">
            <v>9500</v>
          </cell>
        </row>
        <row r="95">
          <cell r="B95" t="str">
            <v>kg</v>
          </cell>
          <cell r="C95">
            <v>9500</v>
          </cell>
        </row>
        <row r="96">
          <cell r="B96" t="str">
            <v>kg</v>
          </cell>
          <cell r="C96">
            <v>12750</v>
          </cell>
        </row>
        <row r="97">
          <cell r="B97" t="str">
            <v>kg</v>
          </cell>
          <cell r="C97">
            <v>12750</v>
          </cell>
        </row>
        <row r="98">
          <cell r="B98" t="str">
            <v>kg</v>
          </cell>
          <cell r="C98">
            <v>29000</v>
          </cell>
        </row>
        <row r="99">
          <cell r="B99" t="str">
            <v>kg</v>
          </cell>
          <cell r="C99">
            <v>29000</v>
          </cell>
        </row>
        <row r="100">
          <cell r="B100" t="str">
            <v>kg</v>
          </cell>
          <cell r="C100">
            <v>73000</v>
          </cell>
        </row>
        <row r="122">
          <cell r="B122" t="str">
            <v>Org/Hr</v>
          </cell>
          <cell r="C122">
            <v>30000</v>
          </cell>
        </row>
        <row r="123">
          <cell r="B123" t="str">
            <v>Org/Hr</v>
          </cell>
          <cell r="C123">
            <v>30000</v>
          </cell>
        </row>
        <row r="124">
          <cell r="B124" t="str">
            <v>Org/Hr</v>
          </cell>
          <cell r="C124">
            <v>30000</v>
          </cell>
        </row>
        <row r="125">
          <cell r="B125" t="str">
            <v>Org/Hr</v>
          </cell>
          <cell r="C125">
            <v>25000</v>
          </cell>
        </row>
        <row r="127">
          <cell r="B127" t="str">
            <v>Org/Hr</v>
          </cell>
          <cell r="C127">
            <v>35000</v>
          </cell>
        </row>
        <row r="128">
          <cell r="B128" t="str">
            <v>Org/Hr</v>
          </cell>
          <cell r="C128">
            <v>35000</v>
          </cell>
        </row>
        <row r="129">
          <cell r="B129" t="str">
            <v>Org/Hr</v>
          </cell>
          <cell r="C129">
            <v>35000</v>
          </cell>
        </row>
      </sheetData>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 scedulle tanglad )"/>
      <sheetName val="sceule 2 LEMBONGAN baru (2)"/>
      <sheetName val="RAB SDN 2 LEMBONGAN baru"/>
      <sheetName val="RAB SDN 3TANGLADBARU"/>
      <sheetName val="Perhit SD 3 tanglad baru"/>
      <sheetName val="ANALISA SNI MANGGO "/>
      <sheetName val="Perhit SD 2 LEMBONGAN"/>
      <sheetName val="ANALISA SNI"/>
      <sheetName val="HIT. Fe 3 tangla"/>
      <sheetName val="ANALISA SNI'07(ubh bgsting)"/>
      <sheetName val="PEPALIHAN 2 LEMBONGANi (B)"/>
      <sheetName val="PEPALIHAN 2 LEMBONGANi"/>
      <sheetName val="Sheet1"/>
      <sheetName val="PEPALIHAN3 TANGLAD"/>
      <sheetName val="villa"/>
      <sheetName val="ANALISA SNI'08(ubh bgsting)"/>
    </sheetNames>
    <sheetDataSet>
      <sheetData sheetId="0"/>
      <sheetData sheetId="1" refreshError="1"/>
      <sheetData sheetId="2"/>
      <sheetData sheetId="3" refreshError="1"/>
      <sheetData sheetId="4"/>
      <sheetData sheetId="5" refreshError="1"/>
      <sheetData sheetId="6" refreshError="1"/>
      <sheetData sheetId="7"/>
      <sheetData sheetId="8" refreshError="1"/>
      <sheetData sheetId="9">
        <row r="966">
          <cell r="A966" t="str">
            <v>D14b</v>
          </cell>
        </row>
        <row r="967">
          <cell r="A967" t="str">
            <v>D14d</v>
          </cell>
        </row>
        <row r="1032">
          <cell r="I1032">
            <v>3672611.875</v>
          </cell>
        </row>
        <row r="1076">
          <cell r="A1076" t="str">
            <v>D16b</v>
          </cell>
        </row>
        <row r="1078">
          <cell r="A1078" t="str">
            <v>D16d</v>
          </cell>
        </row>
        <row r="1081">
          <cell r="A1081" t="str">
            <v>D16g</v>
          </cell>
        </row>
        <row r="1173">
          <cell r="A1173" t="str">
            <v>D17b</v>
          </cell>
          <cell r="I1173">
            <v>7906476.25</v>
          </cell>
        </row>
        <row r="1174">
          <cell r="A1174" t="str">
            <v>D17d</v>
          </cell>
        </row>
        <row r="1271">
          <cell r="A1271" t="str">
            <v>D19b</v>
          </cell>
        </row>
        <row r="1273">
          <cell r="A1273" t="str">
            <v>D19d</v>
          </cell>
        </row>
        <row r="1343">
          <cell r="A1343" t="str">
            <v>D20b</v>
          </cell>
        </row>
        <row r="1344">
          <cell r="A1344" t="str">
            <v>D20c</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han+upah"/>
      <sheetName val="persiapan"/>
      <sheetName val="tanah"/>
      <sheetName val="dinding"/>
      <sheetName val="pondasi"/>
      <sheetName val="kayu"/>
      <sheetName val="atap"/>
      <sheetName val="plesteran"/>
      <sheetName val="plafond"/>
      <sheetName val="sanitasi"/>
      <sheetName val="kunci&amp;kaca"/>
      <sheetName val="beton"/>
      <sheetName val="keramik"/>
      <sheetName val="baja"/>
      <sheetName val="cat"/>
      <sheetName val="rab. lt. I"/>
      <sheetName val="rab.lt.II"/>
      <sheetName val="rekap "/>
    </sheetNames>
    <sheetDataSet>
      <sheetData sheetId="0" refreshError="1">
        <row r="9">
          <cell r="E9">
            <v>71000</v>
          </cell>
        </row>
        <row r="29">
          <cell r="E29">
            <v>250</v>
          </cell>
        </row>
        <row r="39">
          <cell r="E39">
            <v>6900</v>
          </cell>
        </row>
        <row r="54">
          <cell r="E54">
            <v>30000</v>
          </cell>
        </row>
        <row r="149">
          <cell r="E149">
            <v>39000</v>
          </cell>
        </row>
        <row r="193">
          <cell r="E193">
            <v>19000</v>
          </cell>
        </row>
        <row r="194">
          <cell r="E194">
            <v>25000</v>
          </cell>
        </row>
        <row r="196">
          <cell r="E196">
            <v>14500</v>
          </cell>
        </row>
        <row r="239">
          <cell r="E239">
            <v>1150000</v>
          </cell>
        </row>
        <row r="243">
          <cell r="E243">
            <v>35000</v>
          </cell>
        </row>
        <row r="251">
          <cell r="E251">
            <v>30000</v>
          </cell>
        </row>
        <row r="265">
          <cell r="E265">
            <v>25000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2"/>
      <sheetName val="SUPER"/>
      <sheetName val="REKAP"/>
      <sheetName val="KUANTITAS"/>
      <sheetName val="HARGA_JADI"/>
      <sheetName val="ANALISA"/>
      <sheetName val="URAIAN"/>
      <sheetName val="HARGA"/>
      <sheetName val="ALAT"/>
      <sheetName val="QUARY"/>
      <sheetName val="ONSITE"/>
      <sheetName val="SKEMA"/>
      <sheetName val="JADW"/>
      <sheetName val="PERSON"/>
      <sheetName val="PERALATAN"/>
      <sheetName val="METODE"/>
      <sheetName val="ANTEK1"/>
      <sheetName val="SUB"/>
    </sheetNames>
    <sheetDataSet>
      <sheetData sheetId="0"/>
      <sheetData sheetId="1"/>
      <sheetData sheetId="2"/>
      <sheetData sheetId="3"/>
      <sheetData sheetId="4"/>
      <sheetData sheetId="5">
        <row r="63">
          <cell r="J63">
            <v>6900</v>
          </cell>
        </row>
      </sheetData>
      <sheetData sheetId="6"/>
      <sheetData sheetId="7">
        <row r="17">
          <cell r="G17">
            <v>50000</v>
          </cell>
        </row>
        <row r="45">
          <cell r="G45">
            <v>62600</v>
          </cell>
        </row>
        <row r="46">
          <cell r="G46">
            <v>94500</v>
          </cell>
        </row>
        <row r="80">
          <cell r="G80">
            <v>385000</v>
          </cell>
        </row>
      </sheetData>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INAT"/>
      <sheetName val="SURAT"/>
      <sheetName val="REKAP"/>
      <sheetName val="KUANTITAS"/>
      <sheetName val="SAT-JADI"/>
      <sheetName val="ANALISA"/>
      <sheetName val="HARGA"/>
      <sheetName val="METODE"/>
      <sheetName val="ANAL-TEK"/>
      <sheetName val="SKEMA"/>
      <sheetName val="SCEDUL"/>
    </sheetNames>
    <sheetDataSet>
      <sheetData sheetId="0" refreshError="1"/>
      <sheetData sheetId="1" refreshError="1"/>
      <sheetData sheetId="2" refreshError="1"/>
      <sheetData sheetId="3" refreshError="1"/>
      <sheetData sheetId="4" refreshError="1"/>
      <sheetData sheetId="5" refreshError="1"/>
      <sheetData sheetId="6" refreshError="1">
        <row r="28">
          <cell r="G28">
            <v>19000</v>
          </cell>
        </row>
        <row r="29">
          <cell r="G29">
            <v>650000</v>
          </cell>
        </row>
        <row r="113">
          <cell r="G113" t="str">
            <v>Dibuat Oleh :</v>
          </cell>
        </row>
        <row r="120">
          <cell r="C120" t="str">
            <v>SUKARDI DJAHUNO</v>
          </cell>
        </row>
        <row r="121">
          <cell r="C121" t="str">
            <v>Direktur</v>
          </cell>
        </row>
        <row r="127">
          <cell r="G127">
            <v>100</v>
          </cell>
        </row>
      </sheetData>
      <sheetData sheetId="7" refreshError="1"/>
      <sheetData sheetId="8" refreshError="1"/>
      <sheetData sheetId="9" refreshError="1"/>
      <sheetData sheetId="1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SPH"/>
      <sheetName val="RAB Manukan kulon"/>
      <sheetName val="ANALIS"/>
      <sheetName val="ANAL lump sum"/>
      <sheetName val="MAT&amp;TOOL SCHEDULE"/>
      <sheetName val="TIME SCHEDULE"/>
      <sheetName val="UPAH~K"/>
      <sheetName val="BAHAN~"/>
      <sheetName val="KEBUTUHAN MINIMUM PERALAT"/>
      <sheetName val="PEMBANTAIAN"/>
    </sheetNames>
    <sheetDataSet>
      <sheetData sheetId="0" refreshError="1"/>
      <sheetData sheetId="1" refreshError="1"/>
      <sheetData sheetId="2"/>
      <sheetData sheetId="3"/>
      <sheetData sheetId="4" refreshError="1"/>
      <sheetData sheetId="5" refreshError="1"/>
      <sheetData sheetId="6"/>
      <sheetData sheetId="7"/>
      <sheetData sheetId="8"/>
      <sheetData sheetId="9" refreshError="1"/>
      <sheetData sheetId="10"/>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Data Entry"/>
      <sheetName val="2.Harga Satuan"/>
      <sheetName val="3.SAP"/>
      <sheetName val="4.VAP"/>
      <sheetName val="5.MAP"/>
      <sheetName val="6.Galian"/>
      <sheetName val="7.Urugan"/>
      <sheetName val="8.Hit Jln"/>
      <sheetName val="9.RAB-Jln"/>
      <sheetName val="10.Swadaya Jln"/>
      <sheetName val="14.Anl Grg2"/>
      <sheetName val="15.RAB-Grg"/>
      <sheetName val="16.Swadaya Grg"/>
      <sheetName val="1.Entry talud"/>
      <sheetName val="3.Anl Talud"/>
      <sheetName val="4.RAB Talud"/>
      <sheetName val="17.Rekap Rab"/>
      <sheetName val="18.gbr jlan (1)"/>
      <sheetName val="18.gbr jlan (2)"/>
      <sheetName val="18.gbr jlan (3)"/>
      <sheetName val="18.gbr jln (4)"/>
      <sheetName val="19.gbr gor(5)"/>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sheetName val="ANALISA"/>
      <sheetName val="RWT. Inap wedok"/>
      <sheetName val="RWT. Inap Laki"/>
      <sheetName val="RWT. Inap VIP"/>
      <sheetName val="RUMAH DINAS "/>
      <sheetName val="MEKANIK 2M"/>
      <sheetName val="MEKANIK 4M"/>
      <sheetName val="MEKANIK usulan 2004"/>
      <sheetName val="R MEKANIK (2)"/>
      <sheetName val="R MEKANIK"/>
      <sheetName val="H.Satuan"/>
      <sheetName val="BQ"/>
      <sheetName val="hsp-STR-ARS"/>
      <sheetName val="RWT__Inap_wedok"/>
      <sheetName val="RWT__Inap_Laki"/>
      <sheetName val="RWT__Inap_VIP"/>
      <sheetName val="RUMAH_DINAS_"/>
      <sheetName val="MEKANIK_2M"/>
      <sheetName val="MEKANIK_4M"/>
      <sheetName val="MEKANIK_usulan_2004"/>
      <sheetName val="R_MEKANIK_(2)"/>
      <sheetName val="R_MEKANIK"/>
      <sheetName val="FLAF&amp;PARTSI"/>
      <sheetName val="MON_OH"/>
      <sheetName val="Anl"/>
      <sheetName val="dinding Spilway lama"/>
      <sheetName val="upah-SNI"/>
      <sheetName val="Analisa _ Upah"/>
      <sheetName val="AHS ASLI"/>
      <sheetName val="UPAH-BHN (2)"/>
      <sheetName val="Traf&amp;Genst"/>
      <sheetName val="GRAND RCPT"/>
      <sheetName val="Bahan "/>
      <sheetName val="Upah"/>
      <sheetName val="Bahan"/>
      <sheetName val="ANalat"/>
      <sheetName val="HARSAT"/>
      <sheetName val="Sheet1"/>
      <sheetName val="hrg sat"/>
      <sheetName val="AHSbj"/>
      <sheetName val="HARGA SAT"/>
      <sheetName val="Upah&amp;Bahan"/>
      <sheetName val="ANALISA SNI"/>
      <sheetName val="UBA"/>
      <sheetName val="Analisa HSP"/>
      <sheetName val="DAF-BAHAN"/>
      <sheetName val="DAF-UPAH"/>
      <sheetName val="Data"/>
      <sheetName val="Daf 1"/>
      <sheetName val="Analisa Harga Satuan"/>
      <sheetName val="ANALISA ME"/>
      <sheetName val="61004"/>
      <sheetName val="Harga Bahan &amp; Upah "/>
      <sheetName val="Analisa &amp; Upah"/>
      <sheetName val="HB "/>
      <sheetName val="HARGA BAHAN"/>
      <sheetName val="GEDUNG-A"/>
      <sheetName val="Sat~Bahu"/>
      <sheetName val="bahan+upah"/>
      <sheetName val="B.T"/>
      <sheetName val="RAB1"/>
      <sheetName val="Ana PasBatu 7.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ILL"/>
      <sheetName val="BQrinci"/>
      <sheetName val="analvol"/>
      <sheetName val="Proses"/>
      <sheetName val="Bag_A"/>
      <sheetName val="Jam Alat"/>
      <sheetName val="Pintu"/>
      <sheetName val="Stone"/>
      <sheetName val="Tanah"/>
      <sheetName val="Rumput"/>
      <sheetName val="Item5"/>
      <sheetName val="Bitumen"/>
      <sheetName val="Concrete"/>
      <sheetName val="Misccl"/>
      <sheetName val="Rumus"/>
      <sheetName val="Gorong-2"/>
      <sheetName val="H-quarry"/>
      <sheetName val="Pas-batu"/>
      <sheetName val="Resiko"/>
      <sheetName val="IDDLE"/>
      <sheetName val="Gal_C"/>
      <sheetName val="Lab"/>
      <sheetName val="Pareto"/>
      <sheetName val="Vol Lining"/>
      <sheetName val="Kapasitas"/>
      <sheetName val="Rekap"/>
      <sheetName val="Jadwal"/>
      <sheetName val="Fleet"/>
      <sheetName val="Mobilisasi"/>
      <sheetName val="Vol K.225"/>
      <sheetName val="H_Satuan"/>
      <sheetName val="H_Satuan1"/>
      <sheetName val="Jam_Alat"/>
      <sheetName val="Vol_Lining"/>
      <sheetName val="Vol_K_225"/>
      <sheetName val="harsat"/>
      <sheetName val="Analisa &amp; Upah"/>
      <sheetName val="A"/>
      <sheetName val="Div2"/>
      <sheetName val="ESCON"/>
      <sheetName val="villa"/>
      <sheetName val="HRG BHN"/>
      <sheetName val="Bill 2 Summary"/>
      <sheetName val="AHSbj"/>
      <sheetName val="bilangan"/>
      <sheetName val="Mob"/>
      <sheetName val="3.Mob"/>
      <sheetName val="Harga Dasar"/>
      <sheetName val="HARDAS PERKIM 2"/>
      <sheetName val="ANALISA SNI'07(ubh bgsting)"/>
      <sheetName val="RAB Arsitek"/>
      <sheetName val="analisa"/>
      <sheetName val="Bill_Qua"/>
      <sheetName val="D.BOARD LAMA"/>
      <sheetName val="Har_mat"/>
      <sheetName val="BQ ME"/>
      <sheetName val="struktur tdk dipakai"/>
      <sheetName val="FORM X COST"/>
      <sheetName val="Bank"/>
      <sheetName val="Bunga"/>
      <sheetName val="BAHAN"/>
      <sheetName val="Mark-up"/>
      <sheetName val="Analisa Harga"/>
      <sheetName val="MAP"/>
      <sheetName val="Agregat Halus &amp; Kasar"/>
      <sheetName val="Daf Harga"/>
      <sheetName val="An_ Harga"/>
      <sheetName val="Daf 1"/>
      <sheetName val="anal"/>
      <sheetName val="351BQMCN"/>
      <sheetName val="Upah &amp; Bahan"/>
      <sheetName val="data"/>
      <sheetName val="MAPDC"/>
      <sheetName val="ALUMUNIUM"/>
      <sheetName val="MON_OH"/>
      <sheetName val="FINISHING"/>
      <sheetName val="Bill 2.4."/>
      <sheetName val="Bill 5 Summary"/>
      <sheetName val="B.T"/>
      <sheetName val="Summary"/>
      <sheetName val="Analisa HSP"/>
      <sheetName val="Bill 4 Summary"/>
      <sheetName val="Cover"/>
      <sheetName val="harga bahan"/>
      <sheetName val="harga upah"/>
      <sheetName val="HARGA MATERIAL"/>
      <sheetName val="Cash Flow bulanan"/>
      <sheetName val="Cover Daf-2"/>
      <sheetName val="D.1.7"/>
      <sheetName val="D.2.3"/>
      <sheetName val="As"/>
      <sheetName val="DAF-BAHAN"/>
      <sheetName val="DAF-UPAH"/>
      <sheetName val="HARSAT BAHAN"/>
      <sheetName val="Bill 3 Summary"/>
      <sheetName val="KET"/>
      <sheetName val="Subkon"/>
      <sheetName val="Equip"/>
      <sheetName val="Material"/>
      <sheetName val="HARGA ALAT"/>
      <sheetName val="I-ME"/>
      <sheetName val="BQ-IABK"/>
      <sheetName val="Analisa Upah &amp; Bahan Plum"/>
      <sheetName val="Marshal"/>
      <sheetName val="ANHAR"/>
      <sheetName val="D.1.5"/>
      <sheetName val="D.2.2"/>
      <sheetName val="Unit Rate"/>
      <sheetName val="F 3-8"/>
      <sheetName val="Harsat Upah"/>
      <sheetName val="Harsat Pekerjaan"/>
      <sheetName val="61004"/>
      <sheetName val="Utilitas"/>
      <sheetName val="Analisa _ Upah"/>
      <sheetName val="AC_C"/>
      <sheetName val="GD 14"/>
      <sheetName val="BQ-E20-02(Rp)"/>
      <sheetName val="K725"/>
      <sheetName val="L4"/>
      <sheetName val="K33H"/>
      <sheetName val="K621"/>
      <sheetName val="K819"/>
      <sheetName val="K331"/>
      <sheetName val="ALAT"/>
      <sheetName val="sub"/>
      <sheetName val="ANHSSat"/>
      <sheetName val="BQ"/>
      <sheetName val="hsp-STR-ARS"/>
      <sheetName val="Sat Bahan"/>
      <sheetName val="Sat Alat"/>
      <sheetName val="Sat Upah"/>
      <sheetName val="Upah dan Bahan"/>
      <sheetName val="5-Digit"/>
      <sheetName val="Analisa 2"/>
      <sheetName val="Als Struk"/>
      <sheetName val="daftar harga"/>
      <sheetName val="HSD"/>
      <sheetName val="ref"/>
      <sheetName val="Sheet1"/>
      <sheetName val="PRD 01-7"/>
      <sheetName val="PRD 01-8"/>
      <sheetName val="PRD 01-11"/>
      <sheetName val="DCost-4"/>
      <sheetName val="PRD 01-10"/>
      <sheetName val=" Harsat Baru"/>
      <sheetName val="Rab Struktur"/>
      <sheetName val="UPAH"/>
      <sheetName val="perhitungan indeks"/>
      <sheetName val="RL-01"/>
      <sheetName val="Bill 2_4_"/>
      <sheetName val="Daftar Upah"/>
      <sheetName val="ANALISA GRS TENGAH"/>
      <sheetName val="Anl"/>
      <sheetName val="daf-3(OK)"/>
      <sheetName val="daf-7(OK)"/>
      <sheetName val="AC"/>
      <sheetName val="Perhit.Alat"/>
      <sheetName val="rab-str.Adm"/>
      <sheetName val="Economic Assumptions"/>
      <sheetName val="SORT"/>
      <sheetName val="EE-PROP"/>
      <sheetName val="slab"/>
      <sheetName val="Urai _Resap pengikat"/>
      <sheetName val="#REF!"/>
      <sheetName val="arab"/>
      <sheetName val="HrgUpahBahan"/>
      <sheetName val="Basic"/>
      <sheetName val="black_out"/>
      <sheetName val="610.07A"/>
      <sheetName val="data Masjid Ksrn"/>
      <sheetName val="RAB Interior"/>
      <sheetName val="BAU"/>
      <sheetName val="Analisa SNI"/>
      <sheetName val="ANALISA PEK.UMUM"/>
      <sheetName val="Perhitungan Besi"/>
      <sheetName val="BasicPrice"/>
      <sheetName val="H_Satuan2"/>
      <sheetName val="Jam_Alat1"/>
      <sheetName val="Vol_Lining1"/>
      <sheetName val="Vol_K_2251"/>
      <sheetName val="SCHEDULE"/>
      <sheetName val="Database"/>
      <sheetName val="Hardas"/>
      <sheetName val="alm"/>
      <sheetName val="Dashboard"/>
      <sheetName val="Data Ktr Bupati Tapsel"/>
      <sheetName val="Anl.Sipil"/>
      <sheetName val="BHN"/>
      <sheetName val="hs_str"/>
      <sheetName val="UBA"/>
      <sheetName val="Schedulle(S-curve)Break"/>
      <sheetName val="Input"/>
      <sheetName val="BQ "/>
      <sheetName val="HB "/>
      <sheetName val="har-sat"/>
      <sheetName val="DHS"/>
      <sheetName val="Bangunan Utama"/>
      <sheetName val="Analisa Gabungan"/>
      <sheetName val="SITE-E"/>
      <sheetName val="DETAIL"/>
      <sheetName val="BOW"/>
      <sheetName val="BOQ1"/>
      <sheetName val="Bill of Qty"/>
      <sheetName val="Bill rekap"/>
      <sheetName val="4"/>
      <sheetName val="DAF-2"/>
      <sheetName val="Fins-Beng&amp;Fas"/>
      <sheetName val="Kabel"/>
      <sheetName val="I-KAMAR"/>
      <sheetName val="RAP"/>
      <sheetName val="Pipa 200"/>
      <sheetName val="Daft.Kuantitas"/>
      <sheetName val="SEX"/>
      <sheetName val="extern"/>
      <sheetName val="9-1차이내역"/>
      <sheetName val="ANALISA ALAT BERAT"/>
      <sheetName val="Ana"/>
      <sheetName val="HL"/>
      <sheetName val="MASTER"/>
      <sheetName val="BIALANG"/>
      <sheetName val="MENU"/>
      <sheetName val="Rupa2"/>
      <sheetName val="N-AC"/>
      <sheetName val="Harga Satuan"/>
      <sheetName val="RPP01 6"/>
      <sheetName val="pricelist"/>
      <sheetName val="UPAH BAHAN ARST"/>
      <sheetName val="6106"/>
      <sheetName val="met bab3"/>
      <sheetName val="anal bab8"/>
      <sheetName val="Anal-2"/>
      <sheetName val="DAF-1"/>
      <sheetName val="anal SNI"/>
      <sheetName val="BAG-2"/>
      <sheetName val="kontribusi"/>
      <sheetName val="likuiditas"/>
      <sheetName val="Manajerial"/>
      <sheetName val="revenue"/>
      <sheetName val="progres sub unv"/>
      <sheetName val="rework"/>
      <sheetName val="CCO"/>
      <sheetName val="informasi"/>
      <sheetName val="SPEC"/>
      <sheetName val="TE TS FA LAN MATV"/>
      <sheetName val="DAF_1"/>
      <sheetName val="Analisa Quarry"/>
      <sheetName val="Peralatan"/>
      <sheetName val="boq"/>
      <sheetName val="CH"/>
      <sheetName val="bhn,upah,alat"/>
      <sheetName val="Ans Kom Precast"/>
      <sheetName val="Analisa STR"/>
      <sheetName val="billed"/>
      <sheetName val="COST TOGO"/>
      <sheetName val="report"/>
      <sheetName val="antisipasi"/>
      <sheetName val="daf harga (reil)"/>
      <sheetName val=" Biaya alat jam (reil)"/>
      <sheetName val="Anal-Grout!Back!Water"/>
      <sheetName val=" Biaya alat jam"/>
      <sheetName val="AHSP"/>
      <sheetName val="O&amp;O-Alat"/>
      <sheetName val="R A B"/>
      <sheetName val="Fill this out first..."/>
      <sheetName val="ANPRO"/>
      <sheetName val="Sum"/>
      <sheetName val="L_O&amp;O"/>
      <sheetName val="RAB ME"/>
      <sheetName val="sheet 2"/>
      <sheetName val="hrg-dsr"/>
      <sheetName val="keb-BHN"/>
      <sheetName val="D.BOARD"/>
      <sheetName val="hsp_STR_ARS"/>
      <sheetName val="TOT_RAP"/>
      <sheetName val="AKUN"/>
      <sheetName val="Sis Hidrol"/>
      <sheetName val="Brk Dwn Sipil"/>
      <sheetName val="Pipa 10 mm"/>
      <sheetName val="Pipa 8 mm"/>
      <sheetName val="Pipa Fiber"/>
      <sheetName val="Pipa PE"/>
      <sheetName val="Rekap Tot"/>
      <sheetName val="Analisa Harga Satuan"/>
      <sheetName val="Hit Vol Str Jambi"/>
      <sheetName val="MB_SOFTCOST_DETAIL"/>
      <sheetName val="SOFTCOST_R2"/>
      <sheetName val="HARDCOST"/>
      <sheetName val="MB_GENERAL"/>
      <sheetName val="ALAT-1"/>
      <sheetName val="STRUKTUR-1"/>
      <sheetName val="H Sat Jembatan"/>
      <sheetName val="ANS STR"/>
      <sheetName val="HARGA BAHAN UPAH"/>
      <sheetName val="REKAP ANALISA SESUAI PU"/>
      <sheetName val="ANALISA STRUKTUR "/>
      <sheetName val="REKAP ANALISA TO PRINT"/>
      <sheetName val="TP ALAT"/>
      <sheetName val="Rekap Direct Cost"/>
      <sheetName val="Analisa 021"/>
      <sheetName val="MAPP"/>
      <sheetName val="4-MVAC"/>
      <sheetName val="HargaSat"/>
      <sheetName val="BILL 1"/>
      <sheetName val="Harga"/>
      <sheetName val="RESUME"/>
      <sheetName val="BILL OF QUANTITY"/>
      <sheetName val="ANAL2"/>
      <sheetName val="dil"/>
      <sheetName val="dild"/>
      <sheetName val="dti"/>
      <sheetName val="H-SATUAN"/>
      <sheetName val=" R A B"/>
      <sheetName val="BAG_2"/>
      <sheetName val="HSATUAN"/>
      <sheetName val="Hrg Bhn (2)"/>
      <sheetName val="TSS"/>
      <sheetName val="Upah&amp;Bahan"/>
      <sheetName val="II.1 STR GED A"/>
      <sheetName val="Based KV, palembang &amp; KJI"/>
      <sheetName val="ANALISA SM"/>
      <sheetName val="Unit"/>
      <sheetName val="Mat.Elk"/>
      <sheetName val="Mat.Mek"/>
      <sheetName val="AHS Isolasi"/>
      <sheetName val="ahsAC"/>
      <sheetName val="Duct"/>
      <sheetName val="AHS"/>
      <sheetName val="OHD"/>
      <sheetName val="B.as"/>
      <sheetName val="penawaran baja"/>
      <sheetName val="Pos 4-1"/>
      <sheetName val="REKAP A BESAR"/>
      <sheetName val="H.SAT"/>
      <sheetName val="Bor Pile"/>
      <sheetName val="ANALISA "/>
      <sheetName val="HG-UPAH"/>
      <sheetName val="HG_JADI"/>
      <sheetName val="7.ASAT"/>
      <sheetName val="7.DATA"/>
      <sheetName val="5.RBKI"/>
      <sheetName val="6.RBKA"/>
      <sheetName val="Sheet15"/>
      <sheetName val="DAPRO"/>
      <sheetName val="BL"/>
      <sheetName val="SBDY"/>
      <sheetName val="Harga Satuan (T.P.)"/>
      <sheetName val="Analisa HSP (T.P.)"/>
      <sheetName val="VOLUME"/>
      <sheetName val="MAT"/>
      <sheetName val="UP"/>
      <sheetName val="POL"/>
      <sheetName val="Rekap Vol"/>
      <sheetName val="HS"/>
      <sheetName val="PRELI-CAP"/>
      <sheetName val="D-3"/>
      <sheetName val="Kode"/>
      <sheetName val="Hst_mat"/>
      <sheetName val="MADC"/>
      <sheetName val="Rekap Anal"/>
      <sheetName val="PRY01-1"/>
      <sheetName val="PRY02"/>
      <sheetName val="RAB_DURI"/>
      <sheetName val="Alat &amp; Bahan"/>
      <sheetName val="TJ1Q47"/>
      <sheetName val="DCF SD JUNI 04"/>
      <sheetName val="alok_bunga"/>
      <sheetName val="DIV.1"/>
      <sheetName val="ANTEK-AGGA"/>
      <sheetName val="BURDA"/>
      <sheetName val="ANTEK-GAL"/>
      <sheetName val="HRS-ATB"/>
      <sheetName val="ANTEK-PRIME"/>
      <sheetName val="ANTEK-TIMB"/>
      <sheetName val="BD-LS"/>
      <sheetName val="BIA-LUMPSUM"/>
      <sheetName val="CRUSER"/>
      <sheetName val="FINAL"/>
      <sheetName val="KEBALAT"/>
      <sheetName val="KOEF"/>
      <sheetName val="PANELKAST"/>
      <sheetName val="Sch"/>
      <sheetName val="IPA1"/>
      <sheetName val="BIL"/>
      <sheetName val="Mall"/>
      <sheetName val="FORM_X_COST"/>
      <sheetName val="Bill_5_Summary"/>
      <sheetName val="GD_14"/>
      <sheetName val="Analisa_&amp;_Upah"/>
      <sheetName val="D_BOARD_LAMA"/>
      <sheetName val="HARSAT_BAHAN"/>
      <sheetName val="Bill_4_Summary"/>
      <sheetName val="Bill_3_Summary"/>
      <sheetName val="Analisa___Upah"/>
      <sheetName val="HARGA_MATERIAL"/>
      <sheetName val="Bill_2_Summary"/>
      <sheetName val="Hrg_Bhn"/>
      <sheetName val="RAB_Arsitek"/>
      <sheetName val="BQ_ME"/>
      <sheetName val="struktur_tdk_dipakai"/>
      <sheetName val="Analisa_Harga"/>
      <sheetName val="Agregat_Halus_&amp;_Kasar"/>
      <sheetName val="Daf_Harga"/>
      <sheetName val="An__Harga"/>
      <sheetName val="Upah_&amp;_Bahan"/>
      <sheetName val="D_1_7"/>
      <sheetName val="D_1_5"/>
      <sheetName val="D_2_3"/>
      <sheetName val="D_2_2"/>
      <sheetName val="Bill_2_4_"/>
      <sheetName val="B_T"/>
      <sheetName val="harga_bahan"/>
      <sheetName val="harga_upah"/>
      <sheetName val="Bill_2_4_1"/>
      <sheetName val="Daftar_Harga"/>
      <sheetName val="Daftar_Upah"/>
      <sheetName val="ANALISA_GRS_TENGAH"/>
      <sheetName val="Unit_Rate"/>
      <sheetName val="F_3-8"/>
      <sheetName val="Harsat_Upah"/>
      <sheetName val="Harsat_Pekerjaan"/>
      <sheetName val="PRD_01-7"/>
      <sheetName val="PRD_01-8"/>
      <sheetName val="PRD_01-11"/>
      <sheetName val="PRD_01-10"/>
      <sheetName val="_Harsat_Baru"/>
      <sheetName val="Rab_Struktur"/>
      <sheetName val="perhitungan_indeks"/>
      <sheetName val="Analisa_Upah_&amp;_Bahan_Plum"/>
      <sheetName val="rab-str_Adm"/>
      <sheetName val="Cash_Flow_bulanan"/>
      <sheetName val="Cover_Daf-2"/>
      <sheetName val="HARGA_ALAT"/>
      <sheetName val="Als_Struk"/>
      <sheetName val="data_Masjid_Ksrn"/>
      <sheetName val="RAB_Interior"/>
      <sheetName val="Bangunan_Utama"/>
      <sheetName val="BILL_1"/>
      <sheetName val="Sat_Bahan"/>
      <sheetName val="Sat_Alat"/>
      <sheetName val="Sat_Upah"/>
      <sheetName val="Analisa_SNI"/>
      <sheetName val="an-satuan"/>
      <sheetName val="RAB"/>
      <sheetName val="PileCap"/>
      <sheetName val="Rinci-Biaya"/>
      <sheetName val="Rinci-Pendapatan"/>
      <sheetName val="Accept. Letter"/>
      <sheetName val="BINA GRAFINDO"/>
      <sheetName val="BINA MITRA "/>
      <sheetName val="DAOUD MATULA"/>
      <sheetName val="RISMAN"/>
      <sheetName val="SUCOFINDO"/>
      <sheetName val="MAHRUM NISA"/>
      <sheetName val="PURWANTO"/>
      <sheetName val="RUDI SAIFIN"/>
      <sheetName val="struktur"/>
      <sheetName val="An_pdkg"/>
      <sheetName val="STR PODIUM"/>
      <sheetName val="STR PODIUM (2)"/>
      <sheetName val="REKAP STR"/>
      <sheetName val="REKAP ME CSPL"/>
      <sheetName val="D7(1)"/>
      <sheetName val="An Struktur"/>
      <sheetName val="Unit Rate (2)"/>
      <sheetName val="sai"/>
      <sheetName val="PDP"/>
      <sheetName val="RPP01-1"/>
      <sheetName val="BREAKER"/>
      <sheetName val="SAP"/>
      <sheetName val="Grading Tahap 1"/>
      <sheetName val="SUMBER DAYA"/>
      <sheetName val="Manpower"/>
      <sheetName val="Equipt,Tools&amp;Cons"/>
      <sheetName val="ARSITEKTUR"/>
      <sheetName val="대비표"/>
      <sheetName val="WAYANG"/>
      <sheetName val="DB"/>
      <sheetName val="IDLE ALAT"/>
      <sheetName val="Analysis"/>
      <sheetName val="Analysis2"/>
      <sheetName val="CC"/>
      <sheetName val="R. Upah"/>
      <sheetName val="R. Bahan"/>
      <sheetName val="R. Alat"/>
      <sheetName val="R. Subkont"/>
      <sheetName val="UPH,BHN,ALT"/>
      <sheetName val="Analis harga"/>
      <sheetName val="PI"/>
      <sheetName val="Calcu 02"/>
      <sheetName val="inter"/>
      <sheetName val="An H.Sat Pek.Ut"/>
      <sheetName val="Rekapitulasi"/>
      <sheetName val="01A- RAB"/>
      <sheetName val="DATA1"/>
      <sheetName val="div-2"/>
      <sheetName val="2. MVAC R1"/>
      <sheetName val="Faktor"/>
      <sheetName val="Str BT"/>
      <sheetName val="Ana PasBatu 7.4"/>
      <sheetName val="Rek"/>
      <sheetName val="ALATBERAT"/>
      <sheetName val="tabel berat"/>
      <sheetName val="H. Dasar"/>
      <sheetName val="BAR SCREEN"/>
      <sheetName val="beton"/>
      <sheetName val="CashFlow"/>
      <sheetName val="HaSatUp"/>
      <sheetName val="SNI"/>
      <sheetName val="BBM-03"/>
      <sheetName val="Daft.Sewa Alat"/>
      <sheetName val="SAT-DAS"/>
      <sheetName val="Perm. Test"/>
      <sheetName val="pricing"/>
      <sheetName val="DEPRE 05"/>
      <sheetName val="LR-OKT-06"/>
      <sheetName val="DivVI"/>
      <sheetName val="PekTanah"/>
      <sheetName val="Piling"/>
      <sheetName val="RANGKUM"/>
      <sheetName val="InputAlat"/>
      <sheetName val="Dewatering"/>
      <sheetName val="Jalan"/>
      <sheetName val="Jembatan"/>
      <sheetName val="River Protect"/>
      <sheetName val="BREAKDOWN"/>
      <sheetName val="chitimc"/>
      <sheetName val="dongia _2_"/>
      <sheetName val="LKVL_CK_HT_GD1"/>
      <sheetName val="giathanh1"/>
      <sheetName val="THPDMoi  _2_"/>
      <sheetName val="gtrinh"/>
      <sheetName val="phuluc1"/>
      <sheetName val="TONG HOP VL_NC"/>
      <sheetName val="lam_moi"/>
      <sheetName val="chitiet"/>
      <sheetName val="TONGKE3p "/>
      <sheetName val="TH VL_ NC_ DDHT Thanhphuoc"/>
      <sheetName val="_REF"/>
      <sheetName val="DONGIA"/>
      <sheetName val="thao_go"/>
      <sheetName val="DON GIA"/>
      <sheetName val="TONGKE_HT"/>
      <sheetName val="DG"/>
      <sheetName val="dtxl"/>
      <sheetName val="t_h HA THE"/>
      <sheetName val="CHITIET VL_NC_TT _1p"/>
      <sheetName val="TONG HOP VL_NC TT"/>
      <sheetName val="TNHCHINH"/>
      <sheetName val="TH XL"/>
      <sheetName val="CHITIET VL_NC"/>
      <sheetName val="VC"/>
      <sheetName val="Tiepdia"/>
      <sheetName val="CHITIET VL_NC_TT_3p"/>
      <sheetName val="TDTKP"/>
      <sheetName val="TDTKP1"/>
      <sheetName val="KPVC_BD "/>
      <sheetName val="VCV_BE_TONG"/>
      <sheetName val="Analis"/>
      <sheetName val="Input Data"/>
      <sheetName val="GVL§CT"/>
      <sheetName val="Allowance"/>
      <sheetName val="SPJ"/>
      <sheetName val="Gaji"/>
      <sheetName val="H_Satuan3"/>
      <sheetName val="Jam_Alat2"/>
      <sheetName val="Vol_Lining2"/>
      <sheetName val="Vol_K_2252"/>
      <sheetName val="progres_sub_unv"/>
      <sheetName val="3_Mob"/>
      <sheetName val="Harga_Dasar"/>
      <sheetName val="HARDAS_PERKIM_2"/>
      <sheetName val="TE_TS_FA_LAN_MATV"/>
      <sheetName val="ANALISA_PEK_UMUM"/>
      <sheetName val="Data_Ktr_Bupati_Tapsel"/>
      <sheetName val="Anl_Sipil"/>
      <sheetName val="Analisa_Quarry"/>
      <sheetName val="HB_"/>
      <sheetName val="BQ_"/>
      <sheetName val="Analisa_STR"/>
      <sheetName val="Ans_Kom_Precast"/>
      <sheetName val="Upah_dan_Bahan"/>
      <sheetName val="Analisa_2"/>
      <sheetName val="Fill_this_out_first___"/>
      <sheetName val="Analisa_HSP"/>
      <sheetName val="Perhit_Alat"/>
      <sheetName val="Economic_Assumptions"/>
      <sheetName val="Urai__Resap_pengikat"/>
      <sheetName val="610_07A"/>
      <sheetName val="Perhitungan_Besi"/>
      <sheetName val="Analisa_Gabungan"/>
      <sheetName val="Bill_of_Qty"/>
      <sheetName val="Bill_rekap"/>
      <sheetName val="Pipa_200"/>
      <sheetName val="Daft_Kuantitas"/>
      <sheetName val="ANALISA_ALAT_BERAT"/>
      <sheetName val="Harga_Satuan"/>
      <sheetName val="RPP01_6"/>
      <sheetName val="Alat_&amp;_Bahan"/>
      <sheetName val="Peralatan (2)"/>
      <sheetName val="Daftar Sewa"/>
      <sheetName val="HARSAT-lain"/>
      <sheetName val="HARSAT-tanah"/>
      <sheetName val="A.1.Persiapan non std"/>
      <sheetName val="DATA BASE"/>
      <sheetName val="HVAC"/>
      <sheetName val="uph"/>
      <sheetName val="QSS Building"/>
      <sheetName val="Unit Cost"/>
      <sheetName val="DU&amp;B"/>
      <sheetName val="bidang"/>
      <sheetName val="Sec I ML"/>
      <sheetName val="Sat. Pek."/>
      <sheetName val="RAB AR&amp;STR"/>
      <sheetName val="BQ_IABK"/>
      <sheetName val="drawing"/>
      <sheetName val="D6"/>
      <sheetName val="D8(1)"/>
      <sheetName val="ANALISA OKE"/>
      <sheetName val="Hargabahan"/>
      <sheetName val="Alat Berat"/>
      <sheetName val="Kuantitas"/>
      <sheetName val="Harga S Dasar UNTUK IDISI"/>
      <sheetName val="isian"/>
      <sheetName val="Bill of Qty MEP"/>
      <sheetName val="bbtest2"/>
      <sheetName val="dongia (2)"/>
      <sheetName val="THPDMoi  (2)"/>
      <sheetName val="lam-moi"/>
      <sheetName val="#REF"/>
      <sheetName val="thao-go"/>
      <sheetName val="CHITIET VL-NC"/>
      <sheetName val="CHITIET VL-NC-TT -1p"/>
      <sheetName val="CHITIET VL-NC-TT-3p"/>
      <sheetName val="TONGKE-HT"/>
      <sheetName val="t-h HA THE"/>
      <sheetName val="Rekap. ME"/>
      <sheetName val="o rekap#4"/>
      <sheetName val="B_T1"/>
      <sheetName val="Bill_5_Summary1"/>
      <sheetName val="Hrg_Bhn1"/>
      <sheetName val="RAB_Arsitek1"/>
      <sheetName val="FORM_X_COST1"/>
      <sheetName val="D_BOARD_LAMA1"/>
      <sheetName val="Analisa_&amp;_Upah1"/>
      <sheetName val="BQ_ME1"/>
      <sheetName val="struktur_tdk_dipakai1"/>
      <sheetName val="Bill_2_Summary1"/>
      <sheetName val="Analisa_Harga1"/>
      <sheetName val="Harga_Satuan_(T_P_)"/>
      <sheetName val="Analisa_HSP_(T_P_)"/>
      <sheetName val="Analisa_Harga_Satuan"/>
      <sheetName val="Hit_Vol_Str_Jambi"/>
      <sheetName val="D_BOARD"/>
      <sheetName val="B_as"/>
      <sheetName val="penawaran_baja"/>
      <sheetName val="Pos_4-1"/>
      <sheetName val="Rekap_Anal"/>
      <sheetName val="UPAH_BAHAN_ARST"/>
      <sheetName val="met_bab3"/>
      <sheetName val="anal_bab8"/>
      <sheetName val="II_1_STR_GED_A"/>
      <sheetName val="Sis_Hidrol"/>
      <sheetName val="Brk_Dwn_Sipil"/>
      <sheetName val="Pipa_10_mm"/>
      <sheetName val="Pipa_8_mm"/>
      <sheetName val="Pipa_Fiber"/>
      <sheetName val="Pipa_PE"/>
      <sheetName val="Rekap_Tot"/>
      <sheetName val="REKAP_ANALISA_SESUAI_PU"/>
      <sheetName val="ANALISA_STRUKTUR_"/>
      <sheetName val="REKAP_ANALISA_TO_PRINT"/>
      <sheetName val="TP_ALAT"/>
      <sheetName val="ANS_STR"/>
      <sheetName val="HARGA_BAHAN_UPAH"/>
      <sheetName val="An_Struktur"/>
      <sheetName val="Unit_Rate_(2)"/>
      <sheetName val="ANALISA_SM"/>
      <sheetName val="Rekap_Direct_Cost"/>
      <sheetName val="Analisa_021"/>
      <sheetName val="R_A_B"/>
      <sheetName val="BILL_OF_QUANTITY"/>
      <sheetName val="_R_A_B"/>
      <sheetName val="H_SAT"/>
      <sheetName val="COST_TOGO"/>
      <sheetName val="Hrg_Bhn_(2)"/>
      <sheetName val="Mat_Elk"/>
      <sheetName val="Mat_Mek"/>
      <sheetName val="AHS_Isolasi"/>
      <sheetName val="RAB_ME"/>
      <sheetName val="sheet_2"/>
      <sheetName val="REKAP_A_BESAR"/>
      <sheetName val="daf_harga_(reil)"/>
      <sheetName val="_Biaya_alat_jam_(reil)"/>
      <sheetName val="_Biaya_alat_jam"/>
      <sheetName val="jadw"/>
      <sheetName val="ESC"/>
      <sheetName val="HDS"/>
      <sheetName val="BQ-Str"/>
      <sheetName val="C3"/>
      <sheetName val="SDM"/>
      <sheetName val="LAMP_P2"/>
      <sheetName val="P-5"/>
      <sheetName val="LAMP_P5"/>
      <sheetName val="PERS_P2"/>
      <sheetName val="PERS_P5"/>
      <sheetName val="PERS_P6"/>
      <sheetName val="RKP"/>
      <sheetName val="61005"/>
      <sheetName val="61006"/>
      <sheetName val="61007"/>
      <sheetName val="61008"/>
      <sheetName val="P-2"/>
      <sheetName val="P-6"/>
      <sheetName val="HS-DASAR"/>
      <sheetName val="Ana. PU"/>
      <sheetName val="Master 1.0"/>
      <sheetName val="hsat-SD"/>
      <sheetName val="Rekap-SD"/>
      <sheetName val="skets"/>
      <sheetName val="An-str(krgnyr)"/>
      <sheetName val="AN-KOEF"/>
      <sheetName val="Upah Bhn"/>
      <sheetName val="harga ANALISA"/>
      <sheetName val="ANALISA GEDUNG"/>
      <sheetName val="ANALISA ME"/>
      <sheetName val="Analisa Mob. 3"/>
      <sheetName val="Analisa Mob.1"/>
      <sheetName val="Analisa-Harga"/>
      <sheetName val="Analisa Alat"/>
      <sheetName val="data-pendukung"/>
      <sheetName val="LKVL-CK-HT-GD1"/>
      <sheetName val="dasar"/>
      <sheetName val="GEDUNG-A"/>
      <sheetName val="Tenaker"/>
      <sheetName val="H.SAT-PRK"/>
      <sheetName val="H-SAT"/>
      <sheetName val="BY_Lgsg-2"/>
      <sheetName val="A_Harga-13"/>
      <sheetName val="Owning cost Alat"/>
      <sheetName val="ANTEK"/>
      <sheetName val="STR"/>
      <sheetName val="RKP_BOQ"/>
      <sheetName val="610.04"/>
      <sheetName val="610.05"/>
      <sheetName val="610.06"/>
      <sheetName val="610.07"/>
      <sheetName val="610.08"/>
      <sheetName val="RINCIAN"/>
      <sheetName val="Anals.1"/>
      <sheetName val="IPAL.1 "/>
      <sheetName val="PIPA.1"/>
      <sheetName val="S.roomToyota"/>
      <sheetName val="DaftarHarga"/>
      <sheetName val="BU"/>
      <sheetName val="Rek-Analisa"/>
      <sheetName val="pivot1"/>
      <sheetName val="ca"/>
      <sheetName val="Met_ Minor"/>
      <sheetName val="12CGOU"/>
      <sheetName val="NP"/>
      <sheetName val="Sat.Pekerjaan"/>
      <sheetName val="DIV1"/>
      <sheetName val="Det Str BT"/>
      <sheetName val="Schdule"/>
      <sheetName val="BERAT TUL."/>
      <sheetName val="14.jalan&amp;saluran"/>
      <sheetName val="Cash2"/>
      <sheetName val="BAHAN (2)"/>
      <sheetName val="Steel"/>
      <sheetName val="BT.KALI"/>
      <sheetName val="Bill-1"/>
      <sheetName val="BQ25"/>
      <sheetName val="REK ADD"/>
      <sheetName val="BQ22"/>
      <sheetName val="BQ23"/>
      <sheetName val="Hrg"/>
      <sheetName val="MASTER 1"/>
      <sheetName val="Profil"/>
      <sheetName val="DAFMAT"/>
      <sheetName val="Galian 1"/>
      <sheetName val="DHSD"/>
      <sheetName val="Analisa (ok punya)"/>
      <sheetName val="ANAK-Smb"/>
      <sheetName val="Elec-ins"/>
      <sheetName val="Sheet7"/>
      <sheetName val="M.Pekerjaan"/>
      <sheetName val="1.Cover"/>
      <sheetName val="TB"/>
      <sheetName val="Balok L_2"/>
      <sheetName val="Spec ME"/>
      <sheetName val="Sheet4"/>
      <sheetName val="EK-JAN-2010"/>
      <sheetName val="bahan+upah"/>
      <sheetName val="Kontrak"/>
      <sheetName val="B Penunjang"/>
      <sheetName val="Rekap M&amp;E ADD1_R"/>
      <sheetName val="mVAC"/>
      <sheetName val="LAPIUT"/>
      <sheetName val="Bill 2"/>
      <sheetName val="Bill 3"/>
      <sheetName val="Bill 4"/>
      <sheetName val="Bill 5"/>
      <sheetName val="Bill 6"/>
      <sheetName val="Bill 7"/>
      <sheetName val="FORM BQ TL PRATU 4cct"/>
      <sheetName val="P"/>
      <sheetName val="Sch-5"/>
      <sheetName val="Maleleng"/>
      <sheetName val="Material-mr"/>
      <sheetName val="D-3 (M)"/>
      <sheetName val="D-7 (M)"/>
      <sheetName val="BOM"/>
      <sheetName val="POINT SCHEDULE"/>
      <sheetName val="Anl_Bet"/>
      <sheetName val="HSPK"/>
      <sheetName val="BOM_ACS"/>
      <sheetName val="SCHEDULE "/>
      <sheetName val="pas wm"/>
      <sheetName val="tulang"/>
      <sheetName val="Pipe"/>
      <sheetName val="hit_BKMM"/>
      <sheetName val="Rekap analis"/>
      <sheetName val="BOQ-Indonesia"/>
      <sheetName val="MasterSchedule"/>
      <sheetName val="ANSAT"/>
      <sheetName val="HSU 2016"/>
      <sheetName val="Z"/>
      <sheetName val="DAF.HRG"/>
      <sheetName val="Sat~Bahu"/>
      <sheetName val="LAPORAN"/>
      <sheetName val="Analisa (2)"/>
      <sheetName val="Estimate"/>
      <sheetName val="Upah,Bahan,Alat"/>
      <sheetName val="AnSipil"/>
      <sheetName val="rab-str-TAHAP.1-PC"/>
      <sheetName val="UPAH-2"/>
      <sheetName val="Harga-RAB"/>
      <sheetName val="PIPE&amp;ACCESORRIES (3)"/>
      <sheetName val="Biaya"/>
      <sheetName val="Bantuan Entry"/>
      <sheetName val="RUMUS BTL"/>
      <sheetName val="satpek"/>
      <sheetName val="DIV.2"/>
      <sheetName val="HARDAS-UPAH"/>
      <sheetName val="SCURVE"/>
      <sheetName val="RAB (A) (2)"/>
      <sheetName val="Bobot"/>
      <sheetName val="HSAT(PR)"/>
      <sheetName val="SHEDULE"/>
      <sheetName val="Up &amp; bhn"/>
      <sheetName val="name"/>
      <sheetName val="AN-ALAT"/>
      <sheetName val="Meto"/>
      <sheetName val="BALT"/>
      <sheetName val="Kar"/>
      <sheetName val="SH breakdown"/>
      <sheetName val="Hrg-Bahan"/>
      <sheetName val="RAB -1"/>
      <sheetName val="Rekap Prelim"/>
      <sheetName val="Analisa Baku STR ARS"/>
      <sheetName val="Equipment"/>
      <sheetName val="Analisa ME "/>
      <sheetName val="rek det 1-3"/>
      <sheetName val="TOTAL"/>
      <sheetName val="Kolom"/>
      <sheetName val="ana_str"/>
      <sheetName val="Hargamat"/>
      <sheetName val="Rekap-Alat"/>
      <sheetName val="hit.BKMM"/>
      <sheetName val="schbhn"/>
      <sheetName val="rap rinci"/>
      <sheetName val="DAF_2"/>
      <sheetName val="Daf_Harga1"/>
      <sheetName val="An__Harga1"/>
      <sheetName val="HARGA_MATERIAL1"/>
      <sheetName val="Cash_Flow_bulanan1"/>
      <sheetName val="Cover_Daf-21"/>
      <sheetName val="D_1_71"/>
      <sheetName val="D_2_31"/>
      <sheetName val="HARSAT_BAHAN1"/>
      <sheetName val="Bill_4_Summary1"/>
      <sheetName val="Bill_3_Summary1"/>
      <sheetName val="Analisa_Upah_&amp;_Bahan_Plum1"/>
      <sheetName val="HARGA_ALAT1"/>
      <sheetName val="D_1_51"/>
      <sheetName val="D_2_21"/>
      <sheetName val="Unit_Rate1"/>
      <sheetName val="F_3-81"/>
      <sheetName val="Upah_&amp;_Bahan1"/>
      <sheetName val="Harsat_Upah1"/>
      <sheetName val="Harsat_Pekerjaan1"/>
      <sheetName val="Agregat_Halus_&amp;_Kasar1"/>
      <sheetName val="Analisa___Upah1"/>
      <sheetName val="GD_141"/>
      <sheetName val="Bill_2_4_2"/>
      <sheetName val="harga_bahan1"/>
      <sheetName val="harga_upah1"/>
      <sheetName val="data_Masjid_Ksrn1"/>
      <sheetName val="RAB_Interior1"/>
      <sheetName val="Sat_Bahan1"/>
      <sheetName val="Sat_Alat1"/>
      <sheetName val="Sat_Upah1"/>
      <sheetName val="Bill_2_4_3"/>
      <sheetName val="Daftar_Harga1"/>
      <sheetName val="Daftar_Upah1"/>
      <sheetName val="ANALISA_GRS_TENGAH1"/>
      <sheetName val="PRD_01-71"/>
      <sheetName val="PRD_01-81"/>
      <sheetName val="PRD_01-111"/>
      <sheetName val="PRD_01-101"/>
      <sheetName val="_Harsat_Baru1"/>
      <sheetName val="Rab_Struktur1"/>
      <sheetName val="perhitungan_indeks1"/>
      <sheetName val="Als_Struk1"/>
      <sheetName val="rab-str_Adm1"/>
      <sheetName val="Analisa_SNI1"/>
      <sheetName val="Bangunan_Utama1"/>
      <sheetName val="BILL_11"/>
      <sheetName val="Based_KV,_palembang_&amp;_KJI"/>
      <sheetName val="DIV_1"/>
      <sheetName val="DCF_SD_JUNI_04"/>
      <sheetName val="Calcu_02"/>
      <sheetName val="H_Sat_Jembatan"/>
      <sheetName val="Bor_Pile"/>
      <sheetName val="H_Satuan4"/>
      <sheetName val="Jam_Alat3"/>
      <sheetName val="Vol_Lining3"/>
      <sheetName val="Vol_K_2253"/>
      <sheetName val="Daf_Harga2"/>
      <sheetName val="An__Harga2"/>
      <sheetName val="Analisa_&amp;_Upah2"/>
      <sheetName val="Bill_5_Summary2"/>
      <sheetName val="Bill_2_Summary2"/>
      <sheetName val="struktur_tdk_dipakai2"/>
      <sheetName val="D_BOARD_LAMA2"/>
      <sheetName val="RAB_Arsitek2"/>
      <sheetName val="FORM_X_COST2"/>
      <sheetName val="Analisa_Harga2"/>
      <sheetName val="Sis_Hidrol1"/>
      <sheetName val="Brk_Dwn_Sipil1"/>
      <sheetName val="Pipa_10_mm1"/>
      <sheetName val="Pipa_8_mm1"/>
      <sheetName val="Pipa_Fiber1"/>
      <sheetName val="Pipa_PE1"/>
      <sheetName val="Rekap_Tot1"/>
      <sheetName val="HARGA_MATERIAL2"/>
      <sheetName val="Cash_Flow_bulanan2"/>
      <sheetName val="Cover_Daf-22"/>
      <sheetName val="D_1_72"/>
      <sheetName val="D_2_32"/>
      <sheetName val="HARSAT_BAHAN2"/>
      <sheetName val="Bill_4_Summary2"/>
      <sheetName val="Bill_3_Summary2"/>
      <sheetName val="Analisa_Upah_&amp;_Bahan_Plum2"/>
      <sheetName val="B_T2"/>
      <sheetName val="HARGA_ALAT2"/>
      <sheetName val="3_Mob1"/>
      <sheetName val="D_1_52"/>
      <sheetName val="D_2_22"/>
      <sheetName val="Unit_Rate2"/>
      <sheetName val="F_3-82"/>
      <sheetName val="BQ_ME2"/>
      <sheetName val="Upah_&amp;_Bahan2"/>
      <sheetName val="Harsat_Upah2"/>
      <sheetName val="Harsat_Pekerjaan2"/>
      <sheetName val="Agregat_Halus_&amp;_Kasar2"/>
      <sheetName val="Analisa___Upah2"/>
      <sheetName val="GD_142"/>
      <sheetName val="Bill_2_4_4"/>
      <sheetName val="harga_bahan2"/>
      <sheetName val="harga_upah2"/>
      <sheetName val="ANALISA_PEK_UMUM1"/>
      <sheetName val="data_Masjid_Ksrn2"/>
      <sheetName val="RAB_Interior2"/>
      <sheetName val="Daft_Kuantitas1"/>
      <sheetName val="ANALISA_ALAT_BERAT1"/>
      <sheetName val="Sat_Bahan2"/>
      <sheetName val="Sat_Alat2"/>
      <sheetName val="Sat_Upah2"/>
      <sheetName val="HARGA_DASAR1"/>
      <sheetName val="Bill_2_4_5"/>
      <sheetName val="Daftar_Harga2"/>
      <sheetName val="Daftar_Upah2"/>
      <sheetName val="ANALISA_GRS_TENGAH2"/>
      <sheetName val="Economic_Assumptions1"/>
      <sheetName val="Urai__Resap_pengikat1"/>
      <sheetName val="PRD_01-72"/>
      <sheetName val="PRD_01-82"/>
      <sheetName val="PRD_01-112"/>
      <sheetName val="PRD_01-102"/>
      <sheetName val="_Harsat_Baru2"/>
      <sheetName val="Rab_Struktur2"/>
      <sheetName val="perhitungan_indeks2"/>
      <sheetName val="Upah_dan_Bahan1"/>
      <sheetName val="Analisa_21"/>
      <sheetName val="Als_Struk2"/>
      <sheetName val="Perhit_Alat1"/>
      <sheetName val="rab-str_Adm2"/>
      <sheetName val="TP_ALAT1"/>
      <sheetName val="REKAP_ANALISA_SESUAI_PU1"/>
      <sheetName val="ANALISA_STRUKTUR_1"/>
      <sheetName val="REKAP_ANALISA_TO_PRINT1"/>
      <sheetName val="Fill_this_out_first___1"/>
      <sheetName val="Pipa_2001"/>
      <sheetName val="Harga_Satuan1"/>
      <sheetName val="Data_Ktr_Bupati_Tapsel1"/>
      <sheetName val="Anl_Sipil1"/>
      <sheetName val="Analisa_Quarry1"/>
      <sheetName val="Analisa_HSP1"/>
      <sheetName val="Perhitungan_Besi1"/>
      <sheetName val="Analisa_SNI2"/>
      <sheetName val="610_07A1"/>
      <sheetName val="D_BOARD1"/>
      <sheetName val="UPAH_BAHAN_ARST1"/>
      <sheetName val="met_bab31"/>
      <sheetName val="anal_bab81"/>
      <sheetName val="ANS_STR1"/>
      <sheetName val="HARGA_BAHAN_UPAH1"/>
      <sheetName val="Analisa_Harga_Satuan1"/>
      <sheetName val="Hit_Vol_Str_Jambi1"/>
      <sheetName val="HARDAS_PERKIM_21"/>
      <sheetName val="TE_TS_FA_LAN_MATV1"/>
      <sheetName val="HB_1"/>
      <sheetName val="BQ_1"/>
      <sheetName val="COST_TOGO1"/>
      <sheetName val="Analisa_STR1"/>
      <sheetName val="R_A_B1"/>
      <sheetName val="Ans_Kom_Precast1"/>
      <sheetName val="progres_sub_unv1"/>
      <sheetName val="Bangunan_Utama2"/>
      <sheetName val="Analisa_Gabungan1"/>
      <sheetName val="Bill_of_Qty1"/>
      <sheetName val="Bill_rekap1"/>
      <sheetName val="Rekap_Direct_Cost1"/>
      <sheetName val="Analisa_0211"/>
      <sheetName val="BILL_12"/>
      <sheetName val="BILL_OF_QUANTITY1"/>
      <sheetName val="_R_A_B1"/>
      <sheetName val="daf_harga_(reil)1"/>
      <sheetName val="_Biaya_alat_jam_(reil)1"/>
      <sheetName val="_Biaya_alat_jam1"/>
      <sheetName val="Based_KV,_palembang_&amp;_KJI1"/>
      <sheetName val="RPP01_61"/>
      <sheetName val="Alat_&amp;_Bahan1"/>
      <sheetName val="ANALISA_SM1"/>
      <sheetName val="Hrg_Bhn_(2)1"/>
      <sheetName val="II_1_STR_GED_A1"/>
      <sheetName val="REKAP_A_BESAR1"/>
      <sheetName val="DIV_11"/>
      <sheetName val="DCF_SD_JUNI_041"/>
      <sheetName val="Rekap_Anal1"/>
      <sheetName val="B_as1"/>
      <sheetName val="penawaran_baja1"/>
      <sheetName val="Pos_4-11"/>
      <sheetName val="Calcu_021"/>
      <sheetName val="Harga_Satuan_(T_P_)1"/>
      <sheetName val="Analisa_HSP_(T_P_)1"/>
      <sheetName val="H_Sat_Jembatan1"/>
      <sheetName val="H_SAT1"/>
      <sheetName val="Bor_Pile1"/>
      <sheetName val="Rekap Bill"/>
      <sheetName val="Amplop"/>
      <sheetName val="Balance sheet"/>
      <sheetName val="V . REKAP TOTAL - MEP"/>
      <sheetName val="REKAP - SITEPLAN"/>
      <sheetName val="REKAP UTILITAS"/>
      <sheetName val="REKAP GEDUNG"/>
      <sheetName val="REKAP - POS JAGA"/>
      <sheetName val="RELOKASI - EXISTING"/>
      <sheetName val="V . 1 MEKANIKAL - SITEPLAN"/>
      <sheetName val="V . 2 ELEKTRIKAL - SITEPLAN"/>
      <sheetName val=" V . 1 MEKANIKAL - UTILITAS"/>
      <sheetName val=" V . 2 ELEKTRIKAL - UTILITAS "/>
      <sheetName val="V.1. MEKANIKAL - GDG"/>
      <sheetName val="V.2.1. ELEKTRIKAL GDG "/>
      <sheetName val="Analisa Harga Inst. Penerangan"/>
      <sheetName val="Foundation"/>
      <sheetName val="SchA"/>
      <sheetName val="SchC"/>
      <sheetName val="SewAlat"/>
      <sheetName val="Elektrikal"/>
      <sheetName val="BQ-Tenis"/>
      <sheetName val="BOQ_Aula"/>
      <sheetName val="Prelim"/>
      <sheetName val="주관사업"/>
      <sheetName val="요약배부"/>
      <sheetName val="Man Power"/>
      <sheetName val="eq_data"/>
      <sheetName val="Currency Rate"/>
      <sheetName val="SCD-S"/>
      <sheetName val=""/>
      <sheetName val="Hargapek"/>
      <sheetName val="DOORS &amp;WINDOWS"/>
      <sheetName val="BQ-1A prelim"/>
      <sheetName val=" Columns"/>
      <sheetName val="index"/>
      <sheetName val="ubah"/>
      <sheetName val="5-ALAT(1)"/>
      <sheetName val="4-Basic Price"/>
      <sheetName val="."/>
      <sheetName val="304_06"/>
      <sheetName val="3-DIV10"/>
      <sheetName val="AHS - Riel"/>
      <sheetName val="an. struktur"/>
      <sheetName val="H_Satuan5"/>
      <sheetName val="Jam_Alat4"/>
      <sheetName val="Vol_Lining4"/>
      <sheetName val="Vol_K_2254"/>
      <sheetName val="Analisa_&amp;_Upah3"/>
      <sheetName val="Bill_2_Summary3"/>
      <sheetName val="HARGA_MATERIAL3"/>
      <sheetName val="D_1_73"/>
      <sheetName val="D_2_33"/>
      <sheetName val="3_Mob2"/>
      <sheetName val="Daf_Harga3"/>
      <sheetName val="An__Harga3"/>
      <sheetName val="Cash_Flow_bulanan3"/>
      <sheetName val="Cover_Daf-23"/>
      <sheetName val="D_BOARD_LAMA3"/>
      <sheetName val="HARGA_ALAT3"/>
      <sheetName val="Bill_5_Summary3"/>
      <sheetName val="HARSAT_BAHAN3"/>
      <sheetName val="Bill_4_Summary3"/>
      <sheetName val="Bill_3_Summary3"/>
      <sheetName val="Analisa_Harga3"/>
      <sheetName val="B_T3"/>
      <sheetName val="D_1_53"/>
      <sheetName val="D_2_23"/>
      <sheetName val="RAB_Arsitek3"/>
      <sheetName val="FORM_X_COST3"/>
      <sheetName val="Analisa_Upah_&amp;_Bahan_Plum3"/>
      <sheetName val="Unit_Rate3"/>
      <sheetName val="F_3-83"/>
      <sheetName val="BQ_ME3"/>
      <sheetName val="struktur_tdk_dipakai3"/>
      <sheetName val="Upah_&amp;_Bahan3"/>
      <sheetName val="Harsat_Upah3"/>
      <sheetName val="Harsat_Pekerjaan3"/>
      <sheetName val="Agregat_Halus_&amp;_Kasar3"/>
      <sheetName val="Analisa___Upah3"/>
      <sheetName val="GD_143"/>
      <sheetName val="Bill_2_4_6"/>
      <sheetName val="harga_bahan3"/>
      <sheetName val="harga_upah3"/>
      <sheetName val="ANALISA_PEK_UMUM2"/>
      <sheetName val="data_Masjid_Ksrn3"/>
      <sheetName val="RAB_Interior3"/>
      <sheetName val="Daft_Kuantitas2"/>
      <sheetName val="Bill_2_4_7"/>
      <sheetName val="Daftar_Harga3"/>
      <sheetName val="Daftar_Upah3"/>
      <sheetName val="ANALISA_GRS_TENGAH3"/>
      <sheetName val="ANALISA_ALAT_BERAT2"/>
      <sheetName val="Sat_Bahan3"/>
      <sheetName val="Sat_Alat3"/>
      <sheetName val="Sat_Upah3"/>
      <sheetName val="Sis_Hidrol2"/>
      <sheetName val="Brk_Dwn_Sipil2"/>
      <sheetName val="Pipa_10_mm2"/>
      <sheetName val="Pipa_8_mm2"/>
      <sheetName val="Pipa_Fiber2"/>
      <sheetName val="Pipa_PE2"/>
      <sheetName val="Rekap_Tot2"/>
      <sheetName val="HARGA_DASAR2"/>
      <sheetName val="Economic_Assumptions2"/>
      <sheetName val="Urai__Resap_pengikat2"/>
      <sheetName val="PRD_01-73"/>
      <sheetName val="PRD_01-83"/>
      <sheetName val="PRD_01-113"/>
      <sheetName val="PRD_01-103"/>
      <sheetName val="_Harsat_Baru3"/>
      <sheetName val="Rab_Struktur3"/>
      <sheetName val="perhitungan_indeks3"/>
      <sheetName val="Analisa_SNI3"/>
      <sheetName val="610_07A2"/>
      <sheetName val="D_BOARD2"/>
      <sheetName val="UPAH_BAHAN_ARST2"/>
      <sheetName val="met_bab32"/>
      <sheetName val="anal_bab82"/>
      <sheetName val="ANS_STR2"/>
      <sheetName val="HARGA_BAHAN_UPAH2"/>
      <sheetName val="Perhitungan_Besi2"/>
      <sheetName val="Analisa_Harga_Satuan2"/>
      <sheetName val="Hit_Vol_Str_Jambi2"/>
      <sheetName val="Als_Struk3"/>
      <sheetName val="Analisa_22"/>
      <sheetName val="HARDAS_PERKIM_22"/>
      <sheetName val="Data_Ktr_Bupati_Tapsel2"/>
      <sheetName val="Anl_Sipil2"/>
      <sheetName val="Upah_dan_Bahan2"/>
      <sheetName val="HB_2"/>
      <sheetName val="BQ_2"/>
      <sheetName val="Bangunan_Utama3"/>
      <sheetName val="Analisa_Gabungan2"/>
      <sheetName val="rab-str_Adm3"/>
      <sheetName val="Harga_Satuan2"/>
      <sheetName val="Perhit_Alat2"/>
      <sheetName val="TP_ALAT2"/>
      <sheetName val="REKAP_ANALISA_SESUAI_PU2"/>
      <sheetName val="ANALISA_STRUKTUR_2"/>
      <sheetName val="REKAP_ANALISA_TO_PRINT2"/>
      <sheetName val="Fill_this_out_first___2"/>
      <sheetName val="Pipa_2002"/>
      <sheetName val="Analisa_Quarry2"/>
      <sheetName val="Analisa_HSP2"/>
      <sheetName val="TE_TS_FA_LAN_MATV2"/>
      <sheetName val="COST_TOGO2"/>
      <sheetName val="Analisa_STR2"/>
      <sheetName val="R_A_B2"/>
      <sheetName val="Ans_Kom_Precast2"/>
      <sheetName val="progres_sub_unv2"/>
      <sheetName val="Bill_of_Qty2"/>
      <sheetName val="Rekap_Direct_Cost2"/>
      <sheetName val="Analisa_0212"/>
      <sheetName val="Bill_rekap2"/>
      <sheetName val="BILL_13"/>
      <sheetName val="BILL_OF_QUANTITY2"/>
      <sheetName val="_R_A_B2"/>
      <sheetName val="daf_harga_(reil)2"/>
      <sheetName val="_Biaya_alat_jam_(reil)2"/>
      <sheetName val="_Biaya_alat_jam2"/>
      <sheetName val="Based_KV,_palembang_&amp;_KJI2"/>
      <sheetName val="RPP01_62"/>
      <sheetName val="Alat_&amp;_Bahan2"/>
      <sheetName val="ANALISA_SM2"/>
      <sheetName val="Hrg_Bhn_(2)2"/>
      <sheetName val="II_1_STR_GED_A2"/>
      <sheetName val="REKAP_A_BESAR2"/>
      <sheetName val="DIV_12"/>
      <sheetName val="DCF_SD_JUNI_042"/>
      <sheetName val="Rekap_Anal2"/>
      <sheetName val="B_as2"/>
      <sheetName val="penawaran_baja2"/>
      <sheetName val="Pos_4-12"/>
      <sheetName val="Calcu_022"/>
      <sheetName val="Harga_Satuan_(T_P_)2"/>
      <sheetName val="Analisa_HSP_(T_P_)2"/>
      <sheetName val="H_Sat_Jembatan2"/>
      <sheetName val="H_SAT2"/>
      <sheetName val="Bor_Pile2"/>
      <sheetName val="DEPRE_05"/>
      <sheetName val="Accept__Letter"/>
      <sheetName val="BINA_GRAFINDO"/>
      <sheetName val="BINA_MITRA_"/>
      <sheetName val="DAOUD_MATULA"/>
      <sheetName val="MAHRUM_NISA"/>
      <sheetName val="RUDI_SAIFIN"/>
      <sheetName val="An_H_Sat_Pek_Ut"/>
      <sheetName val="01A-_RAB"/>
      <sheetName val="BT_KALI"/>
      <sheetName val="ANALISA_SNI'07(ubh_bgsting)"/>
      <sheetName val="2__MVAC_R1"/>
      <sheetName val="Mat_Elk1"/>
      <sheetName val="Mat_Mek1"/>
      <sheetName val="AHS_Isolasi1"/>
      <sheetName val="RAB_ME1"/>
      <sheetName val="sheet_21"/>
      <sheetName val="ANALISA_"/>
      <sheetName val="7_ASAT"/>
      <sheetName val="7_DATA"/>
      <sheetName val="5_RBKI"/>
      <sheetName val="6_RBKA"/>
      <sheetName val="Perm__Test"/>
      <sheetName val="River_Protect"/>
      <sheetName val="Rekap_Bill"/>
      <sheetName val="An_Struktur1"/>
      <sheetName val="Unit_Rate_(2)1"/>
      <sheetName val="Sat__Pek_"/>
      <sheetName val="RAB_AR&amp;STR"/>
      <sheetName val="Str_BT"/>
      <sheetName val="STR_PODIUM"/>
      <sheetName val="STR_PODIUM_(2)"/>
      <sheetName val="REKAP_STR"/>
      <sheetName val="REKAP_ME_CSPL"/>
      <sheetName val="tabel_berat"/>
      <sheetName val="IDLE_ALAT"/>
      <sheetName val="Ana_PasBatu_7_4"/>
      <sheetName val="Sec_I_ML"/>
      <sheetName val="Balance_sheet"/>
      <sheetName val="M_Pekerjaan"/>
      <sheetName val="Peralatan_(2)"/>
      <sheetName val="Daftar_Sewa"/>
      <sheetName val="Galian_1"/>
      <sheetName val="o_rekap#4"/>
      <sheetName val="MASTER_1"/>
      <sheetName val="Analisa_(ok_punya)"/>
      <sheetName val="Rekap_Vol"/>
      <sheetName val="dongia_(2)"/>
      <sheetName val="DON_GIA"/>
      <sheetName val="THPDMoi__(2)"/>
      <sheetName val="CHITIET_VL-NC"/>
      <sheetName val="CHITIET_VL-NC-TT_-1p"/>
      <sheetName val="TH_XL"/>
      <sheetName val="CHITIET_VL-NC-TT-3p"/>
      <sheetName val="t-h_HA_THE"/>
      <sheetName val="TONGKE3p_"/>
      <sheetName val="Rekap__ME"/>
      <sheetName val="R__Upah"/>
      <sheetName val="R__Bahan"/>
      <sheetName val="R__Alat"/>
      <sheetName val="R__Subkont"/>
      <sheetName val="Analis_harga"/>
      <sheetName val="dongia__2_"/>
      <sheetName val="THPDMoi___2_"/>
      <sheetName val="TONG_HOP_VL_NC"/>
      <sheetName val="TH_VL__NC__DDHT_Thanhphuoc"/>
      <sheetName val="t_h_HA_THE"/>
      <sheetName val="CHITIET_VL_NC_TT__1p"/>
      <sheetName val="TONG_HOP_VL_NC_TT"/>
      <sheetName val="CHITIET_VL_NC"/>
      <sheetName val="CHITIET_VL_NC_TT_3p"/>
      <sheetName val="KPVC_BD_"/>
      <sheetName val="Grading_Tahap_1"/>
      <sheetName val="SUMBER_DAYA"/>
      <sheetName val="REK_ADD"/>
      <sheetName val="Input_Data"/>
      <sheetName val="S_roomToyota"/>
      <sheetName val="A_1_Persiapan_non_std"/>
      <sheetName val="Ana__PU"/>
      <sheetName val="Master_1_0"/>
      <sheetName val="Owning_cost_Alat"/>
      <sheetName val="Balok_L_2"/>
      <sheetName val="Spec_ME"/>
      <sheetName val="anal_SNI"/>
      <sheetName val="1_Cover"/>
      <sheetName val="Anals_1"/>
      <sheetName val="rap_rinci"/>
      <sheetName val="Analisa_Mob__3"/>
      <sheetName val="Analisa_Mob_1"/>
      <sheetName val="Analisa_Alat"/>
      <sheetName val="RAB_(A)_(2)"/>
      <sheetName val="BOQ Mainroad IIA"/>
      <sheetName val="HRG_SAT_2006"/>
      <sheetName val="Asumsi2"/>
      <sheetName val="uraian peralatan"/>
      <sheetName val="ANALSUBKON"/>
      <sheetName val="kontol"/>
      <sheetName val="..."/>
      <sheetName val="hasat"/>
      <sheetName val="etraksi"/>
      <sheetName val="Terbilang"/>
      <sheetName val="Cover Daf_2"/>
      <sheetName val="Basic Price"/>
      <sheetName val="HRG BAHAN &amp; UPAH okk"/>
      <sheetName val="Analis Kusen okk"/>
      <sheetName val="LAL - PASAR PAGI "/>
      <sheetName val="terbilang1"/>
      <sheetName val="JAD-PEL"/>
      <sheetName val="GENERAL"/>
      <sheetName val="B"/>
      <sheetName val="PNT"/>
      <sheetName val="UPH_BHN_ALT"/>
      <sheetName val="EVAL-ANAL"/>
      <sheetName val="H Satuan Dasar"/>
      <sheetName val="ANHAS"/>
      <sheetName val="BYALAT"/>
      <sheetName val="HSDALAT"/>
      <sheetName val="hRG Stn Bhn,Uph, perl"/>
      <sheetName val="AN-MAJOR"/>
      <sheetName val="Rekap 1"/>
      <sheetName val="rp"/>
      <sheetName val="S.UPAH"/>
      <sheetName val="S.BAHAN"/>
      <sheetName val="HIT-BALOK "/>
      <sheetName val="HIT-BETON"/>
      <sheetName val="QSS"/>
      <sheetName val="Breakdown_ACS (Actual)"/>
      <sheetName val="Breakdown_ACS (Contract)"/>
      <sheetName val="Prog Imbalan"/>
      <sheetName val="PSC_Calc"/>
      <sheetName val="ANALISA BARU 40 M"/>
      <sheetName val="rab - persiapan &amp; lantai-1"/>
      <sheetName val="1. BQ"/>
      <sheetName val="LINK"/>
      <sheetName val="D3.4.4"/>
      <sheetName val="TABEL_DETASIR"/>
      <sheetName val="Front"/>
      <sheetName val="plumbing"/>
      <sheetName val="VAC"/>
      <sheetName val="Std-Prod KS"/>
      <sheetName val="H_BHN"/>
      <sheetName val="A_BANTU"/>
      <sheetName val="TUNJUK JASA"/>
      <sheetName val="2. PEMBUKAAN"/>
      <sheetName val="4.0 RESUM KEWAJ HARGA"/>
      <sheetName val="Bab10"/>
      <sheetName val="BHN-ALAT"/>
      <sheetName val="Bab12"/>
      <sheetName val="PG"/>
      <sheetName val="meth hsl nego"/>
      <sheetName val="Penjumlahan"/>
      <sheetName val="Judul"/>
      <sheetName val="Overlap"/>
      <sheetName val="WorkPlan2"/>
      <sheetName val="DailyWeeklyPlan"/>
      <sheetName val="Base-A"/>
      <sheetName val="ANALISA BAHAN"/>
      <sheetName val="schedulle"/>
      <sheetName val="Pri"/>
      <sheetName val="Qry"/>
      <sheetName val="Cur"/>
      <sheetName val="asumsi"/>
      <sheetName val="Agg Halus &amp; Kasar"/>
      <sheetName val="Df-Kuan"/>
      <sheetName val="UP_an"/>
      <sheetName val="AMP"/>
      <sheetName val="PRICE"/>
      <sheetName val="DKH"/>
      <sheetName val="Rate"/>
      <sheetName val="NP (2)"/>
      <sheetName val="Div3"/>
      <sheetName val="Div4"/>
      <sheetName val=" hrg bh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refreshError="1"/>
      <sheetData sheetId="318" refreshError="1"/>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sheetData sheetId="640"/>
      <sheetData sheetId="641"/>
      <sheetData sheetId="642"/>
      <sheetData sheetId="643"/>
      <sheetData sheetId="644"/>
      <sheetData sheetId="645"/>
      <sheetData sheetId="646"/>
      <sheetData sheetId="647"/>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sheetData sheetId="876"/>
      <sheetData sheetId="877"/>
      <sheetData sheetId="878"/>
      <sheetData sheetId="879"/>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refreshError="1"/>
      <sheetData sheetId="1082" refreshError="1"/>
      <sheetData sheetId="1083" refreshError="1"/>
      <sheetData sheetId="1084" refreshError="1"/>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refreshError="1"/>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CAT-HRG "/>
      <sheetName val="TOTAL"/>
      <sheetName val="DAF-1"/>
      <sheetName val="DAF-2"/>
      <sheetName val="DAF-3"/>
      <sheetName val="DAF- 4"/>
      <sheetName val="DAF-5"/>
      <sheetName val="DAF-6"/>
      <sheetName val="DAF-7"/>
      <sheetName val="DAF-8"/>
      <sheetName val="DAF-9"/>
      <sheetName val="DAF-10"/>
      <sheetName val="DAF-11"/>
      <sheetName val="DAFT-12"/>
      <sheetName val="DAF_2"/>
      <sheetName val="CATATAN-HARGA"/>
      <sheetName val="DAF-NO.1"/>
      <sheetName val="DAF-NO.2"/>
      <sheetName val="DAF NO.3"/>
      <sheetName val="DAF-NO.4"/>
      <sheetName val="komponen"/>
      <sheetName val="Isolasi Luar Dalam"/>
      <sheetName val="Isolasi Luar"/>
      <sheetName val="analisa Str"/>
      <sheetName val="Analisa"/>
      <sheetName val="dasboard"/>
      <sheetName val="upah"/>
      <sheetName val="Bhn"/>
      <sheetName val="ana drainase"/>
      <sheetName val="Data"/>
      <sheetName val="PT."/>
      <sheetName val="Input"/>
      <sheetName val="RAB"/>
      <sheetName val="Mon Upah+Alat+Material"/>
      <sheetName val="Sheet5"/>
      <sheetName val="FINISHING"/>
      <sheetName val="harsat"/>
      <sheetName val="Sat Bah &amp; Up"/>
      <sheetName val="NAMES"/>
      <sheetName val="Bill No.13.1"/>
      <sheetName val="AHS ASLI"/>
      <sheetName val="BQ mep"/>
      <sheetName val="Analisa &amp; Upah"/>
      <sheetName val="I-KAMAR"/>
      <sheetName val="CAT-HRG_"/>
      <sheetName val="DAF-_4"/>
      <sheetName val="DAF-NO_1"/>
      <sheetName val="DAF-NO_2"/>
      <sheetName val="DAF_NO_3"/>
      <sheetName val="DAF-NO_4"/>
      <sheetName val="Isolasi_Luar_Dalam"/>
      <sheetName val="Isolasi_Luar"/>
      <sheetName val="analisa_Str"/>
      <sheetName val="Anls"/>
      <sheetName val="BASEMENT"/>
      <sheetName val="Sat. Pek."/>
      <sheetName val="2_2"/>
      <sheetName val="CF"/>
      <sheetName val="DAFTAR (2)"/>
      <sheetName val="ANALISA ALAT BERAT"/>
      <sheetName val="hg sat 2"/>
      <sheetName val="hg sat BM"/>
      <sheetName val="REF.ONLY"/>
      <sheetName val="Bahan"/>
      <sheetName val="BU"/>
      <sheetName val="H.Satuan"/>
      <sheetName val="daf_3_OK_"/>
      <sheetName val="daf_7_OK_"/>
      <sheetName val="Daf 1"/>
      <sheetName val="DAF_1"/>
      <sheetName val="Bahan _ Upah"/>
      <sheetName val="PT_"/>
      <sheetName val="ana_drainase"/>
      <sheetName val="Sat_Bah_&amp;_Up"/>
      <sheetName val="Bill_No_13_1"/>
      <sheetName val="2.2"/>
      <sheetName val="Analisa Harga"/>
      <sheetName val="Summary"/>
      <sheetName val="4-MVAC"/>
      <sheetName val="Blk A"/>
      <sheetName val="FAKTOR"/>
      <sheetName val="Cover"/>
      <sheetName val="Pt"/>
      <sheetName val="Bill rekap"/>
      <sheetName val="Bill of Qty"/>
      <sheetName val="BAG-2"/>
      <sheetName val="STR"/>
      <sheetName val="DAF_3"/>
      <sheetName val="DAF_4"/>
      <sheetName val="I_KAMAR"/>
      <sheetName val="Code"/>
      <sheetName val="DAF)6"/>
      <sheetName val="DAF-NO._x0012_"/>
      <sheetName val="an. struktur"/>
      <sheetName val="Dashboard"/>
      <sheetName val="STRUKTUR"/>
      <sheetName val="Ahs.2"/>
      <sheetName val="Ahs.1"/>
      <sheetName val="REKAP"/>
      <sheetName val="Har_mat"/>
      <sheetName val="rumus"/>
      <sheetName val="Sat Bahan"/>
      <sheetName val="Sat Alat"/>
      <sheetName val="Sat Upah"/>
      <sheetName val="DHS"/>
      <sheetName val="Anal"/>
      <sheetName val="TAMKUR "/>
      <sheetName val="Brd Unit Rate"/>
      <sheetName val="Basic Price"/>
      <sheetName val="pricing"/>
      <sheetName val="BAG_2"/>
      <sheetName val="RAP"/>
      <sheetName val="MATERIAL"/>
      <sheetName val="ARSITEKTUR"/>
      <sheetName val="B.T"/>
      <sheetName val="daf-3(OK)"/>
      <sheetName val="daf-7(OK)"/>
      <sheetName val="ES_aLL"/>
      <sheetName val="Sub"/>
      <sheetName val="FORM X COST"/>
      <sheetName val="an mek"/>
      <sheetName val="4"/>
      <sheetName val="Elektrikal"/>
      <sheetName val="Analisa ME "/>
      <sheetName val="an_ struktur"/>
      <sheetName val="AHAS PANEL"/>
      <sheetName val="Unit-P"/>
      <sheetName val="Sheet1"/>
      <sheetName val="Ana"/>
      <sheetName val="DAF-4"/>
      <sheetName val="black_out"/>
      <sheetName val="BQ-Str"/>
      <sheetName val="BQ-Tenis"/>
      <sheetName val="BOQ_Aula"/>
      <sheetName val="BQ"/>
      <sheetName val="hsp-STR-ARS"/>
      <sheetName val="BIAYA UMUM"/>
      <sheetName val="SDM"/>
      <sheetName val="PAD-F"/>
      <sheetName val="HRG BHN"/>
      <sheetName val="PileClm"/>
      <sheetName val="2(SI-23mrt-PIT)"/>
      <sheetName val="An Arsitektur"/>
      <sheetName val="An Struktur"/>
      <sheetName val="BOQ"/>
      <sheetName val="Unit Rate"/>
      <sheetName val="CAT-HRG_1"/>
      <sheetName val="DAF-_41"/>
      <sheetName val="DAF-NO_11"/>
      <sheetName val="DAF-NO_21"/>
      <sheetName val="DAF_NO_31"/>
      <sheetName val="DAF-NO_41"/>
      <sheetName val="Isolasi_Luar_Dalam1"/>
      <sheetName val="Isolasi_Luar1"/>
      <sheetName val="analisa_Str1"/>
      <sheetName val="Mon_Upah+Alat+Material"/>
      <sheetName val="Sat__Pek_"/>
      <sheetName val="REF_ONLY"/>
      <sheetName val="Analisa_&amp;_Upah"/>
      <sheetName val="AHS_ASLI"/>
      <sheetName val="Har-mat"/>
      <sheetName val="PileCap"/>
      <sheetName val="#REF!"/>
      <sheetName val="lap-bulan"/>
      <sheetName val="Lap-Minggu"/>
      <sheetName val="Harsat Bahan"/>
      <sheetName val="Harsat Upah"/>
      <sheetName val="PRICE-COMP"/>
      <sheetName val="UPL"/>
      <sheetName val="NP"/>
      <sheetName val="AHS"/>
      <sheetName val="Listrik"/>
      <sheetName val="trial balance"/>
      <sheetName val="BQ29"/>
      <sheetName val="SD"/>
      <sheetName val="Batasan"/>
      <sheetName val="SAP"/>
      <sheetName val="HARGA ALAT"/>
      <sheetName val="BASE-PL1(H-shape)(OLD)"/>
      <sheetName val="ana-str"/>
      <sheetName val="By"/>
      <sheetName val="Gaji"/>
      <sheetName val="ANALISA MARET 09"/>
      <sheetName val="TOT_RAP"/>
      <sheetName val="Sheet3"/>
      <sheetName val="analisa SNI"/>
      <sheetName val="Als Struk"/>
      <sheetName val="2"/>
      <sheetName val="Ana-ALAT"/>
      <sheetName val="XL4Poppy"/>
      <sheetName val="Analisa _ Upah"/>
      <sheetName val="Daftar Harga"/>
      <sheetName val="Daftar Upah"/>
      <sheetName val="BQ-IABK"/>
      <sheetName val="An_hrg"/>
      <sheetName val="Harga Satuan"/>
      <sheetName val="Breakdown"/>
      <sheetName val="Rate"/>
      <sheetName val="Alat "/>
      <sheetName val="CH"/>
      <sheetName val="DAF-NO._x005f_x0012_"/>
      <sheetName val="DAF-NO._x005f_x005f_x005f_x0012_"/>
      <sheetName val="SUBKON"/>
      <sheetName val="RAB (A) (2)"/>
      <sheetName val="Bobot"/>
      <sheetName val="CASF LOW f"/>
      <sheetName val="Bahan Upah"/>
      <sheetName val="CashFlow"/>
      <sheetName val="Sat Bah _ Up"/>
      <sheetName val="bhn-upah"/>
      <sheetName val="Tabel"/>
      <sheetName val="TRANS"/>
      <sheetName val="320000 CABANG VI"/>
      <sheetName val="upah bahan"/>
      <sheetName val="HB"/>
      <sheetName val="STRUKTUR-1"/>
      <sheetName val="NM"/>
      <sheetName val="BASIC"/>
      <sheetName val="Rekapitulasi"/>
      <sheetName val="Cap DUL"/>
      <sheetName val="Sheet8"/>
      <sheetName val="Harga ME "/>
      <sheetName val="DAF-NO._x005f_x005f_x005f_x005f_x005f_x005f_x0012"/>
      <sheetName val="REKAP_Akap"/>
      <sheetName val="Traf&amp;Genst"/>
      <sheetName val="villa"/>
      <sheetName val="ref"/>
      <sheetName val="AHSbj"/>
      <sheetName val="Mat"/>
      <sheetName val="01A- RAB"/>
      <sheetName val="H Satuan Dasar"/>
      <sheetName val="ESCON"/>
      <sheetName val="CC"/>
      <sheetName val="BSC ENG"/>
      <sheetName val="LOG"/>
      <sheetName val="OPR"/>
      <sheetName val="QC"/>
      <sheetName val="SM"/>
      <sheetName val="SO"/>
      <sheetName val="alat CETAK"/>
      <sheetName val="IDC tahap II"/>
      <sheetName val="Bahan(WK)"/>
      <sheetName val="Price"/>
      <sheetName val="A_2"/>
      <sheetName val="Level"/>
      <sheetName val="gvl"/>
      <sheetName val="Bulanan"/>
      <sheetName val="LAB me"/>
      <sheetName val="Harga"/>
      <sheetName val="DONGIA"/>
      <sheetName val="SD (1)"/>
      <sheetName val="MK"/>
      <sheetName val="dt-bum"/>
      <sheetName val="notasi"/>
      <sheetName val="RAPA"/>
      <sheetName val="dt-sub"/>
      <sheetName val="Harga Bahan"/>
      <sheetName val="R A B"/>
      <sheetName val="Costing Tata suara"/>
      <sheetName val="BQ-Jawa"/>
      <sheetName val="mVAC"/>
      <sheetName val="MU"/>
      <sheetName val="ALAT_MKNK"/>
      <sheetName val="OH Transportasi"/>
      <sheetName val="OH Insentif"/>
      <sheetName val="ASAT"/>
      <sheetName val="D-ANS"/>
      <sheetName val="BIAYA SISA PEK."/>
      <sheetName val="M+MC"/>
      <sheetName val="daf isi (xref)"/>
      <sheetName val="Contract-Data"/>
      <sheetName val="Uph"/>
      <sheetName val="ANALISA GRS TENGA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sheetData sheetId="120"/>
      <sheetData sheetId="121"/>
      <sheetData sheetId="122" refreshError="1"/>
      <sheetData sheetId="123" refreshError="1"/>
      <sheetData sheetId="124"/>
      <sheetData sheetId="125"/>
      <sheetData sheetId="126" refreshError="1"/>
      <sheetData sheetId="127"/>
      <sheetData sheetId="128"/>
      <sheetData sheetId="129"/>
      <sheetData sheetId="130" refreshError="1"/>
      <sheetData sheetId="131" refreshError="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timasi Sumber Biaya"/>
      <sheetName val="ENTRY"/>
      <sheetName val="H Satuan"/>
      <sheetName val="Galian"/>
      <sheetName val="Urugan"/>
      <sheetName val="MAP"/>
      <sheetName val="SAP"/>
      <sheetName val="VAP"/>
      <sheetName val="Hit Jln"/>
      <sheetName val="RAB-Jln"/>
      <sheetName val="TOS TPT"/>
      <sheetName val="RAB TPT"/>
      <sheetName val="Fom Bantu"/>
      <sheetName val="Rekap Rab"/>
      <sheetName val="daftar harga"/>
      <sheetName val="GBR PLAT"/>
      <sheetName val="GBR PEDEL"/>
      <sheetName val="GBR GORONG"/>
      <sheetName val="ANALGR"/>
      <sheetName val="Jln Telasah"/>
      <sheetName val="situasi"/>
      <sheetName val="Sheet1"/>
    </sheetNames>
    <sheetDataSet>
      <sheetData sheetId="0"/>
      <sheetData sheetId="1"/>
      <sheetData sheetId="2">
        <row r="33">
          <cell r="F33">
            <v>25000</v>
          </cell>
        </row>
        <row r="34">
          <cell r="F34">
            <v>25000</v>
          </cell>
        </row>
        <row r="35">
          <cell r="F35">
            <v>50000</v>
          </cell>
        </row>
        <row r="36">
          <cell r="F36">
            <v>25000</v>
          </cell>
        </row>
        <row r="38">
          <cell r="F38">
            <v>5000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
      <sheetName val="AAAAAAAAA"/>
      <sheetName val="HARGA BESI PERLONJOR"/>
      <sheetName val="Analisa BOW 07"/>
      <sheetName val="ANALISA SNI'13 "/>
      <sheetName val="RAB"/>
      <sheetName val="VOL.GDG A"/>
      <sheetName val="BUTHANTIHINGAN"/>
      <sheetName val="KAYU"/>
      <sheetName val="H.Satuan"/>
      <sheetName val="Analisa Prov'07"/>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
      <sheetName val="ANALISA"/>
      <sheetName val="REKAP"/>
      <sheetName val="BANGUNAN UTAMA"/>
      <sheetName val="INSTALASI ME "/>
      <sheetName val="KANTOR"/>
      <sheetName val="MUSHOLLA"/>
      <sheetName val="POS JAGA"/>
      <sheetName val="KM&amp;WC musolla"/>
      <sheetName val="KM&amp;WC 2bh"/>
      <sheetName val="KM&amp;WC 3 bh"/>
      <sheetName val="PAGAR DEPAN"/>
      <sheetName val="PAGAR SAMP &amp; BEL"/>
      <sheetName val="HALAMAN"/>
      <sheetName val="DEPO SAMPAH"/>
      <sheetName val="REKAP (2)"/>
      <sheetName val="LOS LESEHAN"/>
      <sheetName val="KIOS SAMPING"/>
      <sheetName val="INSTALASI ME KIOS"/>
      <sheetName val="ANALISA GRS TENGAH"/>
      <sheetName val="an. struktur"/>
      <sheetName val="harsat"/>
      <sheetName val="Dashboard"/>
      <sheetName val="2_2"/>
      <sheetName val="satuan_pek"/>
      <sheetName val="Analisa SNI"/>
      <sheetName val="A"/>
      <sheetName val="HARGA BAHAN"/>
      <sheetName val="Uph&amp;bhn"/>
      <sheetName val="Harga Dasar"/>
      <sheetName val="Anals.1"/>
      <sheetName val="I-KAMAR"/>
      <sheetName val="anal"/>
      <sheetName val="HASAT DASAR"/>
      <sheetName val="an mek"/>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gka"/>
      <sheetName val="REKAP"/>
      <sheetName val="RAB"/>
      <sheetName val="volum"/>
      <sheetName val="ANALISA"/>
      <sheetName val="HARSAT"/>
    </sheetNames>
    <sheetDataSet>
      <sheetData sheetId="0" refreshError="1"/>
      <sheetData sheetId="1" refreshError="1"/>
      <sheetData sheetId="2" refreshError="1"/>
      <sheetData sheetId="3" refreshError="1"/>
      <sheetData sheetId="4" refreshError="1"/>
      <sheetData sheetId="5" refreshError="1">
        <row r="99">
          <cell r="G99">
            <v>22500</v>
          </cell>
        </row>
      </sheetData>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sheetName val="BANGUNAN Us"/>
      <sheetName val="BANGUNAN as"/>
      <sheetName val="ANALISA"/>
      <sheetName val="FARMASI"/>
      <sheetName val="FAR me"/>
      <sheetName val="REKAP FARMASI"/>
      <sheetName val="LABORAT"/>
      <sheetName val="LAB me"/>
      <sheetName val="REKAP LABORAT"/>
      <sheetName val="anaUTama"/>
      <sheetName val="REKAP  (3)"/>
      <sheetName val="Harga"/>
      <sheetName val="BANGUNAN_Us"/>
      <sheetName val="BANGUNAN_as"/>
      <sheetName val="FAR_me"/>
      <sheetName val="REKAP_FARMASI"/>
      <sheetName val="LAB_me"/>
      <sheetName val="REKAP_LABORAT"/>
      <sheetName val="RAB"/>
      <sheetName val="2"/>
      <sheetName val="Ana-ALAT"/>
      <sheetName val="4"/>
      <sheetName val="analisa SNI"/>
      <sheetName val="analisa Str"/>
      <sheetName val="Material"/>
      <sheetName val="harsat"/>
      <sheetName val="AHS DISKUSI"/>
      <sheetName val="BASEMENT"/>
      <sheetName val="harga bahan"/>
      <sheetName val="analisa rev"/>
      <sheetName val="upah"/>
      <sheetName val="Anal. Pancang"/>
      <sheetName val="Vender"/>
      <sheetName val="Analisa 1"/>
      <sheetName val="HARGA SAT KAMAL"/>
      <sheetName val="hg sat 2"/>
      <sheetName val="MasterSchedule"/>
      <sheetName val="BQ-Tenis"/>
      <sheetName val="Arsitektur"/>
      <sheetName val="BOQ_Aula"/>
      <sheetName val="Prelim"/>
      <sheetName val="ch"/>
      <sheetName val="BQ"/>
      <sheetName val="hsp-STR-ARS"/>
      <sheetName val="BRK INT"/>
      <sheetName val="Daftar Harga"/>
      <sheetName val="Analisa Harga"/>
      <sheetName val="Anal"/>
      <sheetName val="HB "/>
      <sheetName val="Summary"/>
      <sheetName val="HM.MEK."/>
      <sheetName val="Factor"/>
      <sheetName val="BASIC"/>
      <sheetName val="BIL"/>
      <sheetName val="BAHAN"/>
      <sheetName val="Daf_Anl"/>
      <sheetName val="bahan+upah"/>
      <sheetName val="pondasi"/>
      <sheetName val="bhn"/>
      <sheetName val="ANALISA PEK.UMUM"/>
      <sheetName val="An_hrg"/>
      <sheetName val="Sheet3"/>
      <sheetName val="Sheet1"/>
      <sheetName val="Breakdown"/>
      <sheetName val="Rate"/>
      <sheetName val="A"/>
      <sheetName val="BOQ"/>
      <sheetName val="B.T"/>
      <sheetName val="Analisa Harga Satuan"/>
      <sheetName val="STR"/>
      <sheetName val="DAF-BAHAN"/>
      <sheetName val="ANALISA STR D-3-3 "/>
      <sheetName val="AnalisSIPIL"/>
      <sheetName val="DAF-2"/>
      <sheetName val="Blk A"/>
      <sheetName val="Satdas"/>
      <sheetName val="Analis Kusen 1 ESKALASI"/>
      <sheetName val="HSPK"/>
      <sheetName val="HSPK-3"/>
      <sheetName val="REKAP 2"/>
      <sheetName val="RKP ANALISA"/>
      <sheetName val="VOL MUSHOLA"/>
      <sheetName val="RAB MUSHOLA"/>
      <sheetName val="RAB KAFETARIA"/>
      <sheetName val="HSPK-1"/>
      <sheetName val="RAB STR"/>
      <sheetName val="TIME SCHEDULE"/>
      <sheetName val="Volume Pucang"/>
      <sheetName val="H-SATUAN"/>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ELEKTRIKAL"/>
      <sheetName val="REKAP"/>
      <sheetName val="AC"/>
      <sheetName val="Plumbing"/>
      <sheetName val="Dafmat"/>
      <sheetName val="Pompa"/>
      <sheetName val="Ven Fan"/>
      <sheetName val="Ana Duct"/>
      <sheetName val="Hsd Duct"/>
      <sheetName val="Pipe"/>
      <sheetName val="Grille"/>
      <sheetName val="valve-20k"/>
      <sheetName val="valve-10k"/>
      <sheetName val="DAF-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play Quotation"/>
      <sheetName val="20180829 - Quotation 1"/>
      <sheetName val="Display_Quotation"/>
      <sheetName val="20180829_-_Quotation_1"/>
      <sheetName val="20180829_-_Quotation_11"/>
      <sheetName val="20180829_-_Quotation_12"/>
      <sheetName val="Display_Quotation1"/>
      <sheetName val="20180829_-_Quotation_13"/>
      <sheetName val="Display_Quotation2"/>
      <sheetName val="20180829_-_Quotation_14"/>
    </sheetNames>
    <definedNames>
      <definedName name="daysAndWks"/>
    </definedNames>
    <sheetDataSet>
      <sheetData sheetId="0"/>
      <sheetData sheetId="1" refreshError="1"/>
      <sheetData sheetId="2"/>
      <sheetData sheetId="3"/>
      <sheetData sheetId="4"/>
      <sheetData sheetId="5"/>
      <sheetData sheetId="6"/>
      <sheetData sheetId="7"/>
      <sheetData sheetId="8"/>
      <sheetData sheetId="9"/>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
      <sheetName val="BQ-MEC"/>
      <sheetName val="pr"/>
      <sheetName val="profit.Const"/>
      <sheetName val="SITE-E"/>
      <sheetName val="Sheet1"/>
      <sheetName val="MAKER"/>
      <sheetName val="SITE_E"/>
      <sheetName val="DAF-2"/>
      <sheetName val="harsat"/>
      <sheetName val="H.Satuan"/>
      <sheetName val="Fill this out first..."/>
      <sheetName val="ALEK"/>
      <sheetName val="boq"/>
      <sheetName val="analisa"/>
      <sheetName val="ANALISA SNI'13 "/>
      <sheetName val="Elektrikal"/>
      <sheetName val="bahan SNI"/>
      <sheetName val="villa"/>
      <sheetName val="Hardas"/>
      <sheetName val="MAPDC"/>
      <sheetName val="Teq.an"/>
      <sheetName val="Teq.an.ccrt"/>
      <sheetName val="Teq.an.Stone"/>
      <sheetName val="An.Earth"/>
      <sheetName val="An.Ls "/>
      <sheetName val="FORM X COST"/>
      <sheetName val="EST. SERVICEHEATEXCHANGER-ATD"/>
      <sheetName val="Cover Daf-2"/>
      <sheetName val="REF.ONLY"/>
      <sheetName val="Civil Costs"/>
      <sheetName val="Piperate"/>
      <sheetName val="LOADDAT"/>
      <sheetName val="Clm"/>
      <sheetName val="Balok Slab"/>
      <sheetName val="ESCON"/>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profit_Const"/>
      <sheetName val="FORM_X_COST"/>
      <sheetName val="H_Satuan"/>
      <sheetName val="EST__SERVICEHEATEXCHANGER-ATD"/>
      <sheetName val="Cover_Daf-2"/>
      <sheetName val="Fill_this_out_first___"/>
      <sheetName val="Civil_Costs"/>
      <sheetName val="ﾃｨｰﾁﾝｸﾞ"/>
      <sheetName val="Data"/>
      <sheetName val="New MADC"/>
      <sheetName val="Fill this out first___"/>
      <sheetName val="struktur tdk dipakai"/>
      <sheetName val="DAFTAR HARGA"/>
      <sheetName val="equipment"/>
      <sheetName val="Pile"/>
      <sheetName val="TB"/>
      <sheetName val="Breakdown Architecture"/>
      <sheetName val="Breakdown Structure"/>
      <sheetName val="GB"/>
      <sheetName val="Ring Balok"/>
      <sheetName val="Slab"/>
      <sheetName val="BAG_III"/>
      <sheetName val="Harga ME "/>
      <sheetName val="profit_Const1"/>
      <sheetName val="FORM_X_COST1"/>
      <sheetName val="H_Satuan1"/>
      <sheetName val="Fill_this_out_first___1"/>
      <sheetName val="EST__SERVICEHEATEXCHANGER-ATD1"/>
      <sheetName val="Cover_Daf-21"/>
      <sheetName val="Civil_Costs1"/>
      <sheetName val="BAHAN"/>
      <sheetName val="Foundation"/>
      <sheetName val="I-KAMAR"/>
      <sheetName val="Pipe"/>
      <sheetName val="Rekap"/>
      <sheetName val="Sag1"/>
      <sheetName val="SCHEDULE"/>
      <sheetName val="Database"/>
      <sheetName val="AN-ME"/>
      <sheetName val="BQ ME"/>
      <sheetName val="BQ Stdr"/>
      <sheetName val="inp.data"/>
      <sheetName val="AP-2_Ars"/>
      <sheetName val="MPH_Ars"/>
      <sheetName val="PKP_Ars"/>
      <sheetName val="PLN_Ars"/>
      <sheetName val="Tower_Ars"/>
      <sheetName val="Str-AP2"/>
      <sheetName val="Str-MPH"/>
      <sheetName val="Str-PKP"/>
      <sheetName val="Str-PLN"/>
      <sheetName val="Str-TWR"/>
      <sheetName val="harga"/>
      <sheetName val="BQ-ME"/>
      <sheetName val="DATA WP"/>
      <sheetName val="BAG-III"/>
      <sheetName val="Daf 1"/>
      <sheetName val="FINISHING"/>
      <sheetName val="STRUKTUR"/>
      <sheetName val="Total Load List"/>
      <sheetName val="RkpTotal"/>
      <sheetName val="data RSUD KIS"/>
      <sheetName val="Bahan-Upah"/>
      <sheetName val="BAU"/>
      <sheetName val="HSD"/>
      <sheetName val="SEX"/>
      <sheetName val="CONSUMABLE"/>
      <sheetName val="Daftar berat"/>
      <sheetName val="CashFlow"/>
      <sheetName val="Bhn"/>
      <sheetName val="ARSITEKTUR"/>
      <sheetName val="Pendahuluan"/>
      <sheetName val="ch"/>
      <sheetName val="Analisa _ Upah"/>
      <sheetName val="RAP"/>
      <sheetName val="Arc Analysis"/>
      <sheetName val="An Str"/>
      <sheetName val="HRG BHN"/>
      <sheetName val="Upah"/>
      <sheetName val="Bahan "/>
      <sheetName val="Penwrn"/>
      <sheetName val="PO-2"/>
      <sheetName val="BQ-IABK"/>
      <sheetName val="daf_3_OK_"/>
      <sheetName val="daf_7_OK_"/>
      <sheetName val="Fins-Beng&amp;Fas"/>
      <sheetName val="JAN2002"/>
      <sheetName val="Bill sipil"/>
      <sheetName val="Analisa &amp; Upah"/>
      <sheetName val="harsat_str"/>
      <sheetName val="Koef"/>
      <sheetName val="BQ"/>
      <sheetName val="Analisa _Baku"/>
      <sheetName val="BQNSC"/>
      <sheetName val="Rekap Direct Cost"/>
      <sheetName val="price"/>
      <sheetName val="A"/>
      <sheetName val="Material&amp;Alat"/>
      <sheetName val="DB"/>
      <sheetName val="Penunjang"/>
      <sheetName val="ANALIS"/>
      <sheetName val="BILL"/>
      <sheetName val="Unit Rate"/>
      <sheetName val="부하계산서"/>
      <sheetName val="Sheet"/>
      <sheetName val="co2_data"/>
      <sheetName val="ac_data"/>
      <sheetName val="PNT-QUOT-#3"/>
      <sheetName val="COAT&amp;WRAP-QIOT-#3"/>
      <sheetName val="Piping"/>
      <sheetName val="Currency Rate"/>
      <sheetName val="4"/>
      <sheetName val="An-Alat"/>
      <sheetName val="div7"/>
      <sheetName val="rab"/>
      <sheetName val="BAG-2"/>
      <sheetName val="Summary Sheets"/>
      <sheetName val="RFP007"/>
      <sheetName val="RFP006"/>
      <sheetName val="RFP002"/>
      <sheetName val="RFP009"/>
      <sheetName val="BQ-E20-02(Rp)"/>
      <sheetName val="Index"/>
      <sheetName val="E_TRIKAL"/>
      <sheetName val="E_TRONIK"/>
      <sheetName val="MEK"/>
      <sheetName val="ANAL_HPS"/>
      <sheetName val="Rekap1"/>
      <sheetName val="ARSITEK"/>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satuan_pek_ars"/>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div2"/>
      <sheetName val="analisa Str"/>
      <sheetName val="Material"/>
      <sheetName val="Daftar Upah"/>
      <sheetName val="Bill 5 Summary"/>
    </sheetNames>
    <sheetDataSet>
      <sheetData sheetId="0" refreshError="1"/>
      <sheetData sheetId="1" refreshError="1"/>
      <sheetData sheetId="2" refreshError="1"/>
      <sheetData sheetId="3" refreshError="1"/>
      <sheetData sheetId="4" refreshError="1">
        <row r="40">
          <cell r="AI40">
            <v>0</v>
          </cell>
        </row>
        <row r="47">
          <cell r="AI47">
            <v>0</v>
          </cell>
        </row>
        <row r="52">
          <cell r="AI52">
            <v>0</v>
          </cell>
        </row>
        <row r="60">
          <cell r="AI60">
            <v>0</v>
          </cell>
        </row>
        <row r="88">
          <cell r="AI88">
            <v>0</v>
          </cell>
        </row>
        <row r="95">
          <cell r="AI95">
            <v>0</v>
          </cell>
        </row>
        <row r="104">
          <cell r="AI104">
            <v>0</v>
          </cell>
        </row>
        <row r="113">
          <cell r="AI113">
            <v>0</v>
          </cell>
        </row>
        <row r="122">
          <cell r="AI122">
            <v>0</v>
          </cell>
        </row>
        <row r="129">
          <cell r="AI129">
            <v>0</v>
          </cell>
        </row>
        <row r="138">
          <cell r="AI138">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heetName val="Huruf (2)"/>
      <sheetName val="Huruf"/>
      <sheetName val=" "/>
      <sheetName val="Rekap (2)"/>
      <sheetName val="mpu"/>
      <sheetName val="Rekap"/>
      <sheetName val="BQ1"/>
      <sheetName val="HSD"/>
      <sheetName val="ANALISA-1"/>
      <sheetName val="metode "/>
      <sheetName val="scedule"/>
      <sheetName val="RKP-JEMB"/>
      <sheetName val="BQ-2"/>
      <sheetName val="ANALIS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rab"/>
      <sheetName val="analisa"/>
      <sheetName val="rekap"/>
      <sheetName val="DRUP (ASLI)"/>
      <sheetName val="cover"/>
      <sheetName val="Pengesahan"/>
      <sheetName val="Analis"/>
      <sheetName val="H.bh"/>
      <sheetName val="Du_lieu"/>
    </sheetNames>
    <sheetDataSet>
      <sheetData sheetId="0" refreshError="1">
        <row r="6">
          <cell r="D6">
            <v>25000</v>
          </cell>
        </row>
        <row r="77">
          <cell r="D77">
            <v>9030</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st-Advce"/>
      <sheetName val="Advce Cover"/>
      <sheetName val="Cert-Advce"/>
      <sheetName val="LampA-Advce"/>
      <sheetName val="Adv Paym Calc"/>
      <sheetName val="Checklist-1st"/>
      <sheetName val="Checklist-2nd "/>
      <sheetName val="Valn Cover"/>
      <sheetName val="Contract Part"/>
      <sheetName val="Certificate "/>
      <sheetName val="LampA"/>
      <sheetName val="Certificate-Release Retention"/>
      <sheetName val="LampA-Release Retention"/>
      <sheetName val="Prof Fee"/>
      <sheetName val="Prelim"/>
      <sheetName val="Assessment"/>
      <sheetName val="Advance Recoup"/>
      <sheetName val="Progress"/>
      <sheetName val="Structure"/>
      <sheetName val="CSA"/>
      <sheetName val="daf-3(OK)"/>
      <sheetName val="daf-7(OK)"/>
    </sheetNames>
    <sheetDataSet>
      <sheetData sheetId="0"/>
      <sheetData sheetId="1"/>
      <sheetData sheetId="2"/>
      <sheetData sheetId="3"/>
      <sheetData sheetId="4"/>
      <sheetData sheetId="5"/>
      <sheetData sheetId="6"/>
      <sheetData sheetId="7" refreshError="1"/>
      <sheetData sheetId="8"/>
      <sheetData sheetId="9" refreshError="1"/>
      <sheetData sheetId="10"/>
      <sheetData sheetId="11"/>
      <sheetData sheetId="12"/>
      <sheetData sheetId="13"/>
      <sheetData sheetId="14" refreshError="1">
        <row r="58">
          <cell r="C58">
            <v>83</v>
          </cell>
        </row>
      </sheetData>
      <sheetData sheetId="15" refreshError="1"/>
      <sheetData sheetId="16"/>
      <sheetData sheetId="17"/>
      <sheetData sheetId="18"/>
      <sheetData sheetId="19"/>
      <sheetData sheetId="20" refreshError="1"/>
      <sheetData sheetId="2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SPH"/>
      <sheetName val="Rekap "/>
      <sheetName val="RAB"/>
      <sheetName val="BASIC"/>
      <sheetName val="ANALIS"/>
      <sheetName val="ANAL lump sum"/>
      <sheetName val="TS"/>
      <sheetName val="RAP"/>
    </sheetNames>
    <sheetDataSet>
      <sheetData sheetId="0"/>
      <sheetData sheetId="1"/>
      <sheetData sheetId="2">
        <row r="44">
          <cell r="C44" t="str">
            <v>CV. DIAN</v>
          </cell>
        </row>
        <row r="50">
          <cell r="C50" t="str">
            <v>DIAN KOMARAWATI</v>
          </cell>
        </row>
      </sheetData>
      <sheetData sheetId="3"/>
      <sheetData sheetId="4"/>
      <sheetData sheetId="5"/>
      <sheetData sheetId="6"/>
      <sheetData sheetId="7"/>
      <sheetData sheetId="8"/>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4"/>
      <sheetName val="Isolasi Luar"/>
      <sheetName val="Isolasi Luar Dalam"/>
      <sheetName val="Tanpa Isolasi"/>
      <sheetName val="INFO"/>
      <sheetName val="CAT-HARGA"/>
      <sheetName val="TOTAL"/>
      <sheetName val="DAF-1"/>
      <sheetName val="DAF-2"/>
      <sheetName val="DAF-3"/>
      <sheetName val="Analisa"/>
      <sheetName val="Informasi"/>
      <sheetName val="STR"/>
      <sheetName val="D &amp; W sizes"/>
      <sheetName val="Pipe"/>
      <sheetName val="Price"/>
      <sheetName val="Isolasi_Luar1"/>
      <sheetName val="Isolasi_Luar_Dalam1"/>
      <sheetName val="Tanpa_Isolasi1"/>
      <sheetName val="D_&amp;_W_sizes1"/>
      <sheetName val="Isolasi_Luar"/>
      <sheetName val="Isolasi_Luar_Dalam"/>
      <sheetName val="Tanpa_Isolasi"/>
      <sheetName val="D_&amp;_W_sizes"/>
      <sheetName val="U&amp;B"/>
      <sheetName val=""/>
      <sheetName val="Analisa  (2)"/>
      <sheetName val="SELISIH HARGA"/>
      <sheetName val="UPY"/>
      <sheetName val="HR Detail"/>
      <sheetName val="HRPar"/>
      <sheetName val="DbCost"/>
      <sheetName val="Unit Rate"/>
      <sheetName val="ANAL.BOW"/>
      <sheetName val="Kuantitas _ Harga"/>
      <sheetName val="AHS Marka"/>
      <sheetName val="AHS Aspal"/>
      <sheetName val="INDEKS"/>
      <sheetName val="JABATAN"/>
      <sheetName val="DATA"/>
      <sheetName val="FAK"/>
      <sheetName val="PDMP"/>
      <sheetName val="PCE"/>
      <sheetName val="PRODUK"/>
      <sheetName val="TOOL-ME"/>
      <sheetName val="REMUNERASISTANDAR"/>
      <sheetName val="TABEL_DETASIR"/>
      <sheetName val="Code"/>
      <sheetName val="Alat"/>
      <sheetName val="Persiapan"/>
      <sheetName val="Summary"/>
      <sheetName val="Rkp"/>
      <sheetName val="BQ-AC"/>
      <sheetName val="Sheet1"/>
      <sheetName val="Tabel"/>
      <sheetName val="Sat Bahan"/>
      <sheetName val="Sat Alat"/>
      <sheetName val="Sat Upah"/>
      <sheetName val="wk prgs"/>
      <sheetName val="L3 An H Sat Mob"/>
      <sheetName val="Elektrikal"/>
      <sheetName val="Harga ME "/>
      <sheetName val="RAB"/>
      <sheetName val="BQ-4storey"/>
      <sheetName val="Material"/>
      <sheetName val="gvl"/>
      <sheetName val="ARSITEKTUR"/>
      <sheetName val="BQ-Tenis"/>
      <sheetName val="BOQ_Aula"/>
      <sheetName val="Prelim"/>
      <sheetName val="B _ Norelec"/>
      <sheetName val="A"/>
      <sheetName val="DAF_2"/>
      <sheetName val="Kuantitas &amp; Harga"/>
      <sheetName val="Kuan&amp;Har(PT)"/>
      <sheetName val="A-7"/>
      <sheetName val="Basic"/>
      <sheetName val="NAMES"/>
      <sheetName val="NAME"/>
      <sheetName val="Pile"/>
      <sheetName val="SAP"/>
      <sheetName val="TABEL-DETASIR"/>
      <sheetName val="REF.ONLY"/>
      <sheetName val="Anls"/>
      <sheetName val="An_1"/>
      <sheetName val="An_3"/>
      <sheetName val="An_2"/>
      <sheetName val="AHS_Kusen"/>
      <sheetName val="harsat&amp;upah"/>
      <sheetName val="STRUKTUR"/>
      <sheetName val="duct"/>
      <sheetName val="Daftmat"/>
      <sheetName val="Sales Rental"/>
      <sheetName val="Sales Parameter"/>
      <sheetName val="Sheet4"/>
      <sheetName val="Sheet2"/>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BASEMENT"/>
      <sheetName val="I-KAMAR"/>
      <sheetName val="Upah-Bahan"/>
      <sheetName val="koef"/>
      <sheetName val="ISIAN"/>
      <sheetName val="Harga S Dasar"/>
      <sheetName val="2-Genset print"/>
      <sheetName val="3Arch"/>
      <sheetName val="Mat.Mek"/>
      <sheetName val="Fill this out first___"/>
      <sheetName val="Bill of Quantity_ws_"/>
      <sheetName val="Ars"/>
      <sheetName val="BOQ"/>
      <sheetName val="BQ &amp; Harga"/>
      <sheetName val="RAW MATERIALS "/>
      <sheetName val="Plumbing"/>
      <sheetName val="RAB-STR"/>
      <sheetName val="Analisa  _2_"/>
      <sheetName val="ALEK"/>
      <sheetName val="ANALISA PEK.UMUM"/>
      <sheetName val="ASS-UNIT"/>
      <sheetName val="HSPK"/>
      <sheetName val="E.MedGas"/>
      <sheetName val="hsp-STR-ARS"/>
      <sheetName val="Profil"/>
      <sheetName val="COST-PERSON-J.O."/>
      <sheetName val="RENTAL1"/>
      <sheetName val="TOWN"/>
      <sheetName val="An. Beton"/>
      <sheetName val="Analisa Harga"/>
      <sheetName val="PL"/>
      <sheetName val="ANALIS.2"/>
      <sheetName val="ANALIS.1"/>
      <sheetName val="har-sat"/>
      <sheetName val="Bill 2.1 DW"/>
      <sheetName val="작성기준"/>
      <sheetName val="data-2"/>
      <sheetName val="Faktor Markup"/>
      <sheetName val="Upah"/>
      <sheetName val="Rek-Analisa"/>
      <sheetName val="BAG-2"/>
      <sheetName val="SEX"/>
      <sheetName val="Cover"/>
      <sheetName val="STD"/>
      <sheetName val="Fill this out first..."/>
      <sheetName val="Cover (WS)"/>
      <sheetName val="hub"/>
      <sheetName val="Bgt_Jun-05"/>
      <sheetName val="Memb Schd"/>
      <sheetName val="Fire Alarm"/>
      <sheetName val="sort2"/>
      <sheetName val="VAC"/>
      <sheetName val="Bill No 2.1 Cold Water System"/>
      <sheetName val="REKAP"/>
      <sheetName val="RAB_STR"/>
      <sheetName val="Hrg_Bahan"/>
      <sheetName val="hsp_STR_ARS"/>
      <sheetName val="Rekapitulasi"/>
      <sheetName val="Electrikal"/>
      <sheetName val="SITE-E"/>
      <sheetName val="4_MVAC"/>
      <sheetName val="ELEKTRONIK"/>
      <sheetName val="수입"/>
      <sheetName val="DAF-9"/>
      <sheetName val="2-JTW"/>
      <sheetName val="REKAP PEMATANGAN"/>
      <sheetName val="Man Power"/>
      <sheetName val="RAB_HREZ"/>
      <sheetName val="ANAL_HREZ"/>
      <sheetName val="BoQ "/>
      <sheetName val="DKH"/>
      <sheetName val="Lamp-2(Alat)"/>
      <sheetName val="Lamp-2(Bahan)"/>
      <sheetName val="Lamp-2(Upah)"/>
      <sheetName val="arp-3a"/>
      <sheetName val="ARP-10"/>
      <sheetName val="Schedule Yasmin"/>
      <sheetName val="Schedule Lingkar Barat"/>
      <sheetName val="Schedule Daan Mogot"/>
      <sheetName val="UPH BHN"/>
      <sheetName val="BoQ Major Item "/>
      <sheetName val="NP"/>
      <sheetName val="3_ Plumbing"/>
      <sheetName val="2_Hydrant"/>
      <sheetName val="Tuk Koef"/>
      <sheetName val="Ch"/>
      <sheetName val="ANALISA GWT"/>
      <sheetName val="ANALISA_DDG KOLAM &amp; PLANTER"/>
      <sheetName val="ANALISA LAIN-LAIN"/>
      <sheetName val="ANALISA_TANGGULAN&amp;LISPLANK"/>
      <sheetName val="PLAT &amp; BALOK TAMBAHAN"/>
      <sheetName val="ANALISA PONDASI"/>
      <sheetName val="ANALISA STP"/>
      <sheetName val="ANALISA_SUMPIT"/>
      <sheetName val="ANALISA PEK.TANAH"/>
      <sheetName val="BQ (by owner)"/>
      <sheetName val="rab me (fisik)"/>
      <sheetName val="rab me (by owner) "/>
      <sheetName val="Bill No 2.1 "/>
      <sheetName val="Bill 2.7"/>
      <sheetName val="FS"/>
      <sheetName val="4-Basic Price"/>
      <sheetName val="5-ALAT(1)"/>
      <sheetName val="Fire Fighting"/>
      <sheetName val="DAPRO"/>
      <sheetName val="BL"/>
      <sheetName val="FINAL"/>
      <sheetName val="HARGA ALAT"/>
      <sheetName val="Markup"/>
      <sheetName val="REQDELTA"/>
      <sheetName val="Cover Daf-2"/>
      <sheetName val="COST SUMM"/>
      <sheetName val="Kuantitas"/>
      <sheetName val="tulang"/>
      <sheetName val="hit_BKMM"/>
      <sheetName val="tul"/>
      <sheetName val="REKAP-BQ"/>
      <sheetName val="Metode 4"/>
      <sheetName val="Metode 8"/>
      <sheetName val="Metode 16"/>
      <sheetName val="Metode 11"/>
      <sheetName val="Metode 5"/>
      <sheetName val="harga"/>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dil"/>
      <sheetName val="Tab"/>
      <sheetName val="COA"/>
      <sheetName val="ES STG"/>
      <sheetName val="PEKERJAAN PERSIAPAN"/>
      <sheetName val="Ans Kom Precast"/>
      <sheetName val="PJ"/>
      <sheetName val="UPAH &amp; BHN"/>
      <sheetName val="Div2"/>
      <sheetName val="Daf 1"/>
      <sheetName val="BLOK A"/>
      <sheetName val="UTILITAS"/>
      <sheetName val="Slab"/>
      <sheetName val="Final Summary"/>
      <sheetName val="Bill No 6 Koord &amp; Attendance"/>
      <sheetName val="Informa®&quot;"/>
      <sheetName val="dia.pipe"/>
      <sheetName val="Informa�&quot;"/>
      <sheetName val="Bahan"/>
      <sheetName val="Daftar"/>
      <sheetName val="DAF_3"/>
      <sheetName val="DAF_4"/>
      <sheetName val="Bill 3.8"/>
      <sheetName val="Bill 3.7"/>
      <sheetName val="Analisarev"/>
      <sheetName val="BQ"/>
      <sheetName val="??"/>
      <sheetName val="sph"/>
      <sheetName val="sat das"/>
      <sheetName val="LISTRIK"/>
      <sheetName val="BQ_Tenis"/>
      <sheetName val="Pengalaman Per"/>
      <sheetName val="Valve"/>
      <sheetName val="DONGIA"/>
      <sheetName val="DHS AC"/>
      <sheetName val="HS"/>
      <sheetName val="BOQ-Indonesia"/>
      <sheetName val="K"/>
      <sheetName val="Input Data"/>
      <sheetName val="Isolasi_Luar2"/>
      <sheetName val="Isolasi_Luar_Dalam2"/>
      <sheetName val="Tanpa_Isolasi2"/>
      <sheetName val="D_&amp;_W_sizes2"/>
      <sheetName val="Analisa__(2)"/>
      <sheetName val="HR_Detail"/>
      <sheetName val="Unit_Rate"/>
      <sheetName val="ANAL_BOW"/>
      <sheetName val="Kuantitas___Harga"/>
      <sheetName val="AHS_Marka"/>
      <sheetName val="AHS_Aspal"/>
      <sheetName val="SELISIH_HARGA"/>
      <sheetName val="Sat_Bahan"/>
      <sheetName val="Sat_Alat"/>
      <sheetName val="Sat_Upah"/>
      <sheetName val="L3_An_H_Sat_Mob"/>
      <sheetName val="Bill_2_1_DW"/>
      <sheetName val="wk_prgs"/>
      <sheetName val="an. struktur"/>
      <sheetName val="harsat"/>
      <sheetName val="Dashboard"/>
      <sheetName val="WF "/>
      <sheetName val="mat-me pipa"/>
      <sheetName val="GAs Medis "/>
      <sheetName val="Master Schedule"/>
      <sheetName val="dasboard"/>
      <sheetName val="TOWER D"/>
      <sheetName val="__"/>
      <sheetName val="hsat-SD"/>
      <sheetName val="an-satuan"/>
      <sheetName val="Rekap-SD"/>
      <sheetName val="REKAP_MEKANIKAL"/>
      <sheetName val="Unit Rates"/>
      <sheetName val="Fee - Materials"/>
      <sheetName val="FINISHING"/>
      <sheetName val="H.Satuan"/>
      <sheetName val="BOQ 2"/>
      <sheetName val="HARGA SAT."/>
      <sheetName val="Inf®&quot;:wS("/>
      <sheetName val="Grand summary"/>
      <sheetName val="Div-2"/>
      <sheetName val="Analisa -Baku"/>
      <sheetName val="Rekap Direct Cost"/>
      <sheetName val="BQNSC"/>
      <sheetName val="Foundation"/>
      <sheetName val="DJUMANDJI"/>
      <sheetName val="PAR"/>
      <sheetName val="HSBU"/>
      <sheetName val="volume"/>
      <sheetName val="Lap"/>
      <sheetName val="Mat"/>
      <sheetName val="WI"/>
      <sheetName val="Cost"/>
      <sheetName val="TSS"/>
      <sheetName val="VLOOK"/>
      <sheetName val="A_2"/>
      <sheetName val="Level"/>
      <sheetName val="Basic Price"/>
      <sheetName val="SAA"/>
      <sheetName val="03.BoQ Architecture"/>
      <sheetName val="Deliverable"/>
      <sheetName val="Discipline"/>
      <sheetName val="Area"/>
      <sheetName val="Phase"/>
      <sheetName val="Type"/>
      <sheetName val="YesNo"/>
      <sheetName val="REKAP ANALISA TO PRINT"/>
      <sheetName val="ANALISA STRUKTUR "/>
      <sheetName val="ARP 10 2 BUL"/>
      <sheetName val="Du_lieu"/>
      <sheetName val="Analisa 2"/>
      <sheetName val="sat-pek"/>
      <sheetName val="B - Norelec"/>
      <sheetName val="analisa harga satuan"/>
      <sheetName val="PONDASI PANCANG"/>
      <sheetName val="KK2"/>
      <sheetName val="daf-3(OK)"/>
      <sheetName val="06b"/>
      <sheetName val="Rekap-L3"/>
      <sheetName val="SATUAN"/>
      <sheetName val="BQ-E20-02(Rp)"/>
      <sheetName val="material "/>
      <sheetName val="Dft Harga"/>
      <sheetName val="map"/>
      <sheetName val="AKUN"/>
      <sheetName val="D2.4"/>
      <sheetName val="D3-3"/>
      <sheetName val="D4.3 (TE)"/>
      <sheetName val="D5.3 (TF) "/>
      <sheetName val="D8.3 (TJ)"/>
      <sheetName val="ANSTAR"/>
      <sheetName val="DHSB"/>
      <sheetName val="DHSU"/>
      <sheetName val="Ref. Vínculos"/>
      <sheetName val="Filtering"/>
      <sheetName val="results"/>
      <sheetName val="Jadwal"/>
      <sheetName val="221"/>
      <sheetName val="222"/>
      <sheetName val="223"/>
      <sheetName val="224"/>
      <sheetName val="225"/>
      <sheetName val="226"/>
      <sheetName val="227"/>
      <sheetName val="228"/>
      <sheetName val="229"/>
      <sheetName val="230"/>
      <sheetName val="301"/>
      <sheetName val="302"/>
      <sheetName val="304"/>
      <sheetName val="305"/>
      <sheetName val="306"/>
      <sheetName val="307"/>
      <sheetName val="308"/>
      <sheetName val="309"/>
      <sheetName val="310"/>
      <sheetName val="311"/>
      <sheetName val="312"/>
      <sheetName val="313"/>
      <sheetName val="314"/>
      <sheetName val="315"/>
      <sheetName val="316"/>
      <sheetName val="317"/>
      <sheetName val="320"/>
      <sheetName val="501"/>
      <sheetName val="502"/>
      <sheetName val="503"/>
      <sheetName val="504"/>
      <sheetName val="505"/>
      <sheetName val="506"/>
      <sheetName val="507"/>
      <sheetName val="509"/>
      <sheetName val="510"/>
      <sheetName val="511"/>
      <sheetName val="513"/>
      <sheetName val="514"/>
      <sheetName val="515"/>
      <sheetName val="516"/>
      <sheetName val="517"/>
      <sheetName val="FAO 6"/>
      <sheetName val="FORMAT FAO 6"/>
      <sheetName val="Gol"/>
      <sheetName val="Aggr"/>
      <sheetName val="Data Konsultan"/>
      <sheetName val="INTERNAL"/>
      <sheetName val="SILICATE"/>
      <sheetName val="RFP006"/>
      <sheetName val="Header Data"/>
      <sheetName val="Metode"/>
      <sheetName val="WT-LIST"/>
      <sheetName val="REKAP TOTAL"/>
      <sheetName val="Rekap "/>
      <sheetName val="Bengkel_str"/>
      <sheetName val="Bengkel_fin"/>
      <sheetName val="Pagar_hal"/>
      <sheetName val="Fasilitas"/>
      <sheetName val="Price ARCH"/>
      <sheetName val="Matr'l"/>
      <sheetName val="Notes"/>
      <sheetName val="Config(Dont delete this sheet)"/>
      <sheetName val="Input"/>
      <sheetName val="ENG-101"/>
      <sheetName val="CMS"/>
      <sheetName val="61004"/>
      <sheetName val="H. Dasar"/>
      <sheetName val="Skedjul-Pelaksanaan"/>
      <sheetName val="UBA"/>
      <sheetName val="Schedule(S-Curve)"/>
      <sheetName val="dasar"/>
      <sheetName val="SD"/>
      <sheetName val="harsat_str"/>
      <sheetName val="ANS ALAT"/>
      <sheetName val="Informa?&quot;"/>
      <sheetName val="Pag_hal"/>
      <sheetName val="BAG_III"/>
      <sheetName val="D3.4.3"/>
      <sheetName val="D3.4.4"/>
      <sheetName val="Regulated Tariff"/>
      <sheetName val="formula"/>
      <sheetName val="An-Dinding"/>
      <sheetName val="An-Kusen"/>
      <sheetName val="Jurnal"/>
      <sheetName val="I_KAMAR"/>
      <sheetName val="exf"/>
      <sheetName val="FAKTOR"/>
      <sheetName val="BQ-Str"/>
      <sheetName val="#REF!"/>
      <sheetName val="AHSbj"/>
      <sheetName val="Analisa &amp; Upah"/>
      <sheetName val="PR"/>
      <sheetName val="BQ_&amp;_Harga"/>
      <sheetName val="REF_ONLY"/>
      <sheetName val="B___Norelec"/>
      <sheetName val="Kuantitas_&amp;_Harga"/>
      <sheetName val="Harga_ME_"/>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Sales_Rental"/>
      <sheetName val="Sales_Parameter"/>
      <sheetName val="2-Genset_print"/>
      <sheetName val="Schedule_Yasmin"/>
      <sheetName val="Schedule_Lingkar_Barat"/>
      <sheetName val="Schedule_Daan_Mogot"/>
      <sheetName val="RAW_MATERIALS_"/>
      <sheetName val="COST-PERSON-J_O_"/>
      <sheetName val="Ladder-Tray"/>
      <sheetName val="Fill_this_out_first___"/>
      <sheetName val="Analisa___2_"/>
      <sheetName val="ANALISA_PEK_UMUM"/>
      <sheetName val="Mat_Mek"/>
      <sheetName val="Bill_of_Quantity_ws_"/>
      <sheetName val="ANALIS_2"/>
      <sheetName val="ANALIS_1"/>
      <sheetName val="Analisa_Harga"/>
      <sheetName val="E_MedGas"/>
      <sheetName val="Harga_S_Dasar"/>
      <sheetName val="An__Beton"/>
      <sheetName val="Fire_Alarm"/>
      <sheetName val="Bill_No_2_1_"/>
      <sheetName val="Bill_2_7"/>
      <sheetName val="TOWER_D"/>
      <sheetName val="Memb_Schd"/>
      <sheetName val="Fill_this_out_first___1"/>
      <sheetName val="Cover_(WS)"/>
      <sheetName val="Fire_Fighting"/>
      <sheetName val="3__Plumbing"/>
      <sheetName val="Tuk_Koef"/>
      <sheetName val="Bill_No_2_1_Cold_Water_System"/>
      <sheetName val="COST_SUMM"/>
      <sheetName val="BoQ_Major_Item_"/>
      <sheetName val="BQ_(by_owner)"/>
      <sheetName val="rab_me_(fisik)"/>
      <sheetName val="rab_me_(by_owner)_"/>
      <sheetName val="HARGA_ALAT"/>
      <sheetName val="Cover_Daf-2"/>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ANALISA_GWT"/>
      <sheetName val="ANALISA_DDG_KOLAM_&amp;_PLANTER"/>
      <sheetName val="ANALISA_LAIN-LAIN"/>
      <sheetName val="PLAT_&amp;_BALOK_TAMBAHAN"/>
      <sheetName val="ANALISA_PONDASI"/>
      <sheetName val="ANALISA_STP"/>
      <sheetName val="ANALISA_PEK_TANAH"/>
      <sheetName val="Metode_4"/>
      <sheetName val="Metode_8"/>
      <sheetName val="Metode_16"/>
      <sheetName val="Metode_11"/>
      <sheetName val="Metode_5"/>
      <sheetName val="Isolasi_Luar3"/>
      <sheetName val="Isolasi_Luar_Dalam3"/>
      <sheetName val="Tanpa_Isolasi3"/>
      <sheetName val="D_&amp;_W_sizes3"/>
      <sheetName val="HR_Detail1"/>
      <sheetName val="Unit_Rate1"/>
      <sheetName val="ANAL_BOW1"/>
      <sheetName val="Kuantitas___Harga1"/>
      <sheetName val="AHS_Marka1"/>
      <sheetName val="AHS_Aspal1"/>
      <sheetName val="Analisa__(2)1"/>
      <sheetName val="SELISIH_HARGA1"/>
      <sheetName val="Sat_Bahan1"/>
      <sheetName val="Sat_Alat1"/>
      <sheetName val="Sat_Upah1"/>
      <sheetName val="wk_prgs1"/>
      <sheetName val="L3_An_H_Sat_Mob1"/>
      <sheetName val="B___Norelec1"/>
      <sheetName val="Kuantitas_&amp;_Harga1"/>
      <sheetName val="2-Genset_print1"/>
      <sheetName val="Harga_ME_1"/>
      <sheetName val="REF_ONLY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GASATAGG.XLS"/>
      <sheetName val="Elect (3)"/>
      <sheetName val="Perm. Test"/>
      <sheetName val="Kode"/>
      <sheetName val="Data-Masukan"/>
      <sheetName val="H.DASAR"/>
      <sheetName val="SP17"/>
      <sheetName val="Pintu-Jend."/>
      <sheetName val="D4"/>
      <sheetName val="D5"/>
      <sheetName val="D6"/>
      <sheetName val="D7"/>
      <sheetName val="D8"/>
      <sheetName val="Rumus"/>
      <sheetName val="KODE BAHAN"/>
      <sheetName val="KODE UPAH"/>
      <sheetName val="INPUT AGST"/>
      <sheetName val="Penwrn"/>
      <sheetName val="Scd_RAB"/>
      <sheetName val="BAG_2"/>
      <sheetName val="DSBDY"/>
      <sheetName val="BASIC-PRICE"/>
      <sheetName val="SAT-DAS"/>
      <sheetName val="Upah&amp;Bahan"/>
      <sheetName val="BQNK"/>
      <sheetName val="BA_ADD"/>
      <sheetName val="Harsat Elektrikal "/>
      <sheetName val="Trafo"/>
      <sheetName val="BoQ C4"/>
      <sheetName val="Gudang non AC-AC Struktur"/>
      <sheetName val="Informa_&quot;"/>
      <sheetName val="Uph&amp;bhn"/>
      <sheetName val="DATA_KUI"/>
      <sheetName val="B-BLOW.1"/>
      <sheetName val="B-BLOW.2"/>
      <sheetName val="Villa A"/>
      <sheetName val="anal"/>
      <sheetName val="Comp"/>
      <sheetName val="Sub"/>
      <sheetName val="PENJUMLAHAN TOTAL"/>
      <sheetName val="Prod-CS"/>
      <sheetName val="ANGGARAN"/>
      <sheetName val="An.1"/>
      <sheetName val="An.3"/>
      <sheetName val="An.2"/>
      <sheetName val="Page2"/>
      <sheetName val="[BQ-AC.xls][BQ-AC.xls]Inf®&quot;:wS("/>
      <sheetName val="[BQ-AC.xls]Inf®&quot;:wS("/>
      <sheetName val="KURVA S"/>
      <sheetName val="PercenDiv"/>
      <sheetName val="[BQ-AC.xls][BQ-AC.xls][BQ-AC.xl"/>
      <sheetName val="Sales_Rental1"/>
      <sheetName val="Sales_Parameter1"/>
      <sheetName val="Fill_this_out_first___2"/>
      <sheetName val="Analisa___2_1"/>
      <sheetName val="ANALISA_PEK_UMUM1"/>
      <sheetName val="BQ_&amp;_Harga1"/>
      <sheetName val="RAW_MATERIALS_1"/>
      <sheetName val="Mat_Mek1"/>
      <sheetName val="Bill_of_Quantity_ws_1"/>
      <sheetName val="ANALIS_21"/>
      <sheetName val="ANALIS_11"/>
      <sheetName val="Bill_2_1_DW1"/>
      <sheetName val="Analisa_Harga1"/>
      <sheetName val="COST-PERSON-J_O_1"/>
      <sheetName val="E_MedGas1"/>
      <sheetName val="Harga_S_Dasar1"/>
      <sheetName val="An__Beton1"/>
      <sheetName val="Fire_Alarm1"/>
      <sheetName val="Bill_No_2_1_1"/>
      <sheetName val="Bill_2_71"/>
      <sheetName val="TOWER_D1"/>
      <sheetName val="Memb_Schd1"/>
      <sheetName val="Fill_this_out_first___3"/>
      <sheetName val="Cover_(WS)1"/>
      <sheetName val="Fire_Fighting1"/>
      <sheetName val="3__Plumbing1"/>
      <sheetName val="Tuk_Koef1"/>
      <sheetName val="Bill_No_2_1_Cold_Water_System1"/>
      <sheetName val="Schedule_Yasmin1"/>
      <sheetName val="Schedule_Lingkar_Barat1"/>
      <sheetName val="Schedule_Daan_Mogot1"/>
      <sheetName val="COST_SUMM1"/>
      <sheetName val="data-pendukung"/>
      <sheetName val="Analisa-Harga"/>
      <sheetName val="Analisa1-10"/>
      <sheetName val="R A B1"/>
      <sheetName val="HrgUpahBahan"/>
      <sheetName val="Energy Model"/>
      <sheetName val="PHU 05"/>
      <sheetName val="SAPON"/>
      <sheetName val="Inf®&quot;_wS("/>
      <sheetName val="BoQ_Major_Item_1"/>
      <sheetName val="BQ_(by_owner)1"/>
      <sheetName val="Ref. V�nculos"/>
      <sheetName val="BACK UP VOL. RELOKASI"/>
      <sheetName val="rab_me_(fisik)1"/>
      <sheetName val="rab_me_(by_owner)_1"/>
      <sheetName val="HARGA_ALAT1"/>
      <sheetName val="Cover_Daf-2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ANALISA_GWT1"/>
      <sheetName val="ANALISA_DDG_KOLAM_&amp;_PLANTER1"/>
      <sheetName val="ANALISA_LAIN-LAIN1"/>
      <sheetName val="PLAT_&amp;_BALOK_TAMBAHAN1"/>
      <sheetName val="ANALISA_PONDASI1"/>
      <sheetName val="Lists"/>
      <sheetName val="Subkon"/>
      <sheetName val="KET"/>
      <sheetName val="Equip"/>
      <sheetName val="Rekap AZBIL"/>
      <sheetName val="HRG BHN"/>
      <sheetName val="R.A.B."/>
      <sheetName val="PIK_QUO"/>
      <sheetName val="data-1"/>
      <sheetName val="finalisasi"/>
      <sheetName val="330000 CABANG VII"/>
      <sheetName val="LMKC"/>
      <sheetName val="Laba JO"/>
      <sheetName val="CF"/>
      <sheetName val="D &amp; W_x000c_âwHe"/>
      <sheetName val="INDEX"/>
      <sheetName val="Bill sipil"/>
      <sheetName val="ANALISA_STP1"/>
      <sheetName val="ANALISA_PEK_TANAH1"/>
      <sheetName val="Metode_41"/>
      <sheetName val="Metode_81"/>
      <sheetName val="Metode_161"/>
      <sheetName val="Metode_111"/>
      <sheetName val="head Jan"/>
      <sheetName val="anal_hs"/>
      <sheetName val="TBL_BANTU"/>
      <sheetName val="TBL_PROYEK"/>
      <sheetName val="SUM"/>
      <sheetName val="anal_alat"/>
      <sheetName val="hsd"/>
      <sheetName val="Bhn+Uph"/>
      <sheetName val="Master Edit"/>
      <sheetName val="huruf (2)"/>
      <sheetName val="Bill_Qua"/>
      <sheetName val="penawaran baja"/>
      <sheetName val="Pos 4-1"/>
      <sheetName val="R.S_KELAS"/>
      <sheetName val="R.S_GSG"/>
      <sheetName val="PC"/>
      <sheetName val="TB &amp; PLAT 1"/>
      <sheetName val="BL &amp; PLAT 2"/>
      <sheetName val="BESI"/>
      <sheetName val="BL &amp; PLAT 3"/>
      <sheetName val="BL &amp; PLAT 4"/>
      <sheetName val="BL &amp; PLAT MEP"/>
      <sheetName val="TANGGA"/>
      <sheetName val="ITEM PEK"/>
      <sheetName val="ITEM PEK."/>
      <sheetName val="V.Din POLNEP"/>
      <sheetName val="ATAP"/>
      <sheetName val="ATAP (2)"/>
      <sheetName val="MASTER DATA STR"/>
      <sheetName val="V.Din.PH (2)"/>
      <sheetName val="Ker. PH (2)"/>
      <sheetName val="."/>
      <sheetName val="Calc."/>
      <sheetName val="Produksi &amp; Scedule"/>
      <sheetName val="INCOME"/>
      <sheetName val="Jual Mtr 07"/>
      <sheetName val="Beli Mtr 07"/>
      <sheetName val="Jual Mtr 06"/>
      <sheetName val="Beli Mtr 06"/>
      <sheetName val="Assumptions"/>
      <sheetName val="Admin"/>
      <sheetName val="WACC"/>
      <sheetName val="OFFICE 2 LT"/>
      <sheetName val="AC-2"/>
      <sheetName val="dinding Spilway lama"/>
      <sheetName val="3-DIV7"/>
      <sheetName val="MASTER"/>
      <sheetName val="Cover page"/>
      <sheetName val="Komposisi"/>
      <sheetName val="WC . SG"/>
      <sheetName val="RAB ARSITEKTUR &amp; struktur"/>
      <sheetName val="Kurv. S, Skema Bhn, Alat,tenaga"/>
      <sheetName val="REK"/>
      <sheetName val="Customize Your Invoice"/>
      <sheetName val="G_SUMMARY"/>
      <sheetName val="HARGA MATERIAL"/>
      <sheetName val="Metode_51"/>
      <sheetName val="4-Basic_Price"/>
      <sheetName val="dia_pipe"/>
      <sheetName val="Summary 6.4"/>
      <sheetName val="HPP"/>
      <sheetName val="FORM"/>
      <sheetName val="Sum_Intern"/>
      <sheetName val="Panel,feeder,elek"/>
      <sheetName val="Probbl - Production"/>
      <sheetName val="A+Supl."/>
      <sheetName val="7"/>
      <sheetName val="Material-mr"/>
      <sheetName val="sub-total.bag-7"/>
      <sheetName val="HASAT DASAR"/>
      <sheetName val="310000 CABANG V"/>
      <sheetName val="ANALISA GSE"/>
      <sheetName val="REKAP GSE ROAD"/>
      <sheetName val="daf-7(OK)"/>
      <sheetName val="DaftarHarga"/>
      <sheetName val="Monitor"/>
      <sheetName val="lam_moi"/>
      <sheetName val="TH XL"/>
      <sheetName val="TNHCHINH"/>
      <sheetName val="TONGKE3p "/>
      <sheetName val="gtrinh"/>
      <sheetName val="CHITIET VL_NC"/>
      <sheetName val="_REF"/>
      <sheetName val="THPDMoi  _2_"/>
      <sheetName val="t_h HA THE"/>
      <sheetName val="chitiet"/>
      <sheetName val="DON GIA"/>
      <sheetName val="thao_go"/>
      <sheetName val="CHITIET VL_NC_TT _1p"/>
      <sheetName val="VC"/>
      <sheetName val="dongia _2_"/>
      <sheetName val="giathanh1"/>
      <sheetName val="Tiepdia"/>
      <sheetName val="CHITIET VL_NC_TT_3p"/>
      <sheetName val="TONGKE_HT"/>
      <sheetName val="TDTKP"/>
      <sheetName val="TDTKP1"/>
      <sheetName val="KPVC_BD "/>
      <sheetName val="VCV_BE_TONG"/>
      <sheetName val="DCF"/>
      <sheetName val="DHT"/>
      <sheetName val="Satuan Pek."/>
      <sheetName val="DAF.ALAT"/>
      <sheetName val="Proj'n(Piping Big Crew)"/>
      <sheetName val="BQ List"/>
      <sheetName val="BoQ_"/>
      <sheetName val="Ref__Vínculos"/>
      <sheetName val="Proj'n(Piping_Big_Crew)"/>
      <sheetName val="BQ_List"/>
      <sheetName val="Detail Subcon Status"/>
      <sheetName val="MP MOB"/>
      <sheetName val="kki"/>
      <sheetName val="fin pro centers"/>
      <sheetName val="Rencana Anggaran Biaya"/>
      <sheetName val="Harga Satuan"/>
      <sheetName val="Qty"/>
      <sheetName val="Bsc"/>
      <sheetName val="kerb-Marka"/>
      <sheetName val="7a"/>
      <sheetName val="m"/>
      <sheetName val="Hargasatuan"/>
      <sheetName val="sat-jadi"/>
      <sheetName val="DIV.5"/>
      <sheetName val="DIV.6"/>
      <sheetName val="DIV.7.1"/>
      <sheetName val="ASMSI.5"/>
      <sheetName val="ASMSI.6"/>
      <sheetName val="ASMSI.7"/>
      <sheetName val="3.1 (1)"/>
      <sheetName val="5.1(1)"/>
      <sheetName val="5.1(2)"/>
      <sheetName val="5.2(1)"/>
      <sheetName val="Agg. Hls-Ksr"/>
      <sheetName val="umum"/>
      <sheetName val="112-885"/>
      <sheetName val="srtberkas"/>
      <sheetName val="TPI"/>
      <sheetName val="RAB Gedung Utama"/>
      <sheetName val="notasi"/>
      <sheetName val="STRUKTUR-1"/>
      <sheetName val="CashFlow"/>
      <sheetName val="APP-9"/>
      <sheetName val="SP"/>
      <sheetName val="Isolasi_Luar5"/>
      <sheetName val="Isolasi_Luar_Dalam5"/>
      <sheetName val="Tanpa_Isolasi5"/>
      <sheetName val="D_&amp;_W_sizes5"/>
      <sheetName val="Unit_Rate3"/>
      <sheetName val="HR_Detail3"/>
      <sheetName val="ANAL_BOW3"/>
      <sheetName val="Kuantitas___Harga3"/>
      <sheetName val="AHS_Marka3"/>
      <sheetName val="AHS_Aspal3"/>
      <sheetName val="Analisa__(2)3"/>
      <sheetName val="SELISIH_HARGA3"/>
      <sheetName val="REF_ONLY3"/>
      <sheetName val="wk_prgs3"/>
      <sheetName val="2-Genset_print3"/>
      <sheetName val="Sat_Bahan3"/>
      <sheetName val="Sat_Alat3"/>
      <sheetName val="Sat_Upah3"/>
      <sheetName val="L3_An_H_Sat_Mob3"/>
      <sheetName val="Harga_ME_3"/>
      <sheetName val="B___Norelec3"/>
      <sheetName val="Kuantitas_&amp;_Harga3"/>
      <sheetName val="Sales_Rental3"/>
      <sheetName val="Sales_Parameter3"/>
      <sheetName val="BQ_&amp;_Harga3"/>
      <sheetName val="Schedule_Yasmin3"/>
      <sheetName val="Schedule_Lingkar_Barat3"/>
      <sheetName val="Schedule_Daan_Mogot3"/>
      <sheetName val="GRAND_REKAPITULASI3"/>
      <sheetName val="RAB_G_ADM__PUSAT_(1)3"/>
      <sheetName val="RAB_R__GENSET_&amp;_PANEL_(10)_3"/>
      <sheetName val="RAB_R__DNS__PENGLL_T_54_(11_A_3"/>
      <sheetName val="RAB_R__DNS__PENGLL_T_54_(11_B_3"/>
      <sheetName val="RAB_R__DNS__PENGLL_T_54_(11_C_3"/>
      <sheetName val="RAB_R__DNS__PENGLL_T_70_(12_A_3"/>
      <sheetName val="RAB_R__DNS__PENGLL_T_70_(12_B_3"/>
      <sheetName val="RAB_R__DNS__PENGLL_T_70_(12_C_3"/>
      <sheetName val="RAB_SPORT_CLUB_(14)3"/>
      <sheetName val="RAB_MASJID_&amp;_T_WUDLU_(15)3"/>
      <sheetName val="RAB_LOUNDRY_&amp;_WORKSHOP_(16)3"/>
      <sheetName val="RAB_MINIMARKET_&amp;_KANTIN_(17_)3"/>
      <sheetName val="RAB_RMH__PENJAGA_(18)3"/>
      <sheetName val="RAB_POS_JAGA_(19__A_)3"/>
      <sheetName val="RAB_POS_JAGA_(19__B_)3"/>
      <sheetName val="RAB_R__POMPA_(20)3"/>
      <sheetName val="RAB_R__KELAS_(2_A)3"/>
      <sheetName val="RAB_R__KELAS_(2_B)3"/>
      <sheetName val="RAB_AULA_UTAMA_(5)3"/>
      <sheetName val="RAB_AULA_SEDANG_(6)3"/>
      <sheetName val="RAB_ASRAMA_(7__B_)3"/>
      <sheetName val="RAB_ASRAMA_(7__C_)3"/>
      <sheetName val="RAB_ASRAMA_(7__D_)3"/>
      <sheetName val="RAB_R__MAKAN_(8)3"/>
      <sheetName val="RAB_GUEST_HOUSE_(9__A_)3"/>
      <sheetName val="RAB_GUEST_HOUSE_(9__B_)3"/>
      <sheetName val="RAW_MATERIALS_3"/>
      <sheetName val="COST-PERSON-J_O_3"/>
      <sheetName val="BoQ_Major_Item_3"/>
      <sheetName val="UPH_BHN1"/>
      <sheetName val="Analisa___2_3"/>
      <sheetName val="ANALISA_PEK_UMUM3"/>
      <sheetName val="ANALISA_GWT3"/>
      <sheetName val="ANALISA_DDG_KOLAM_&amp;_PLANTER3"/>
      <sheetName val="ANALISA_LAIN-LAIN3"/>
      <sheetName val="PLAT_&amp;_BALOK_TAMBAHAN3"/>
      <sheetName val="ANALISA_PONDASI3"/>
      <sheetName val="ANALISA_STP3"/>
      <sheetName val="ANALISA_PEK_TANAH3"/>
      <sheetName val="ANALIS_23"/>
      <sheetName val="ANALIS_13"/>
      <sheetName val="BQ_(by_owner)3"/>
      <sheetName val="rab_me_(fisik)3"/>
      <sheetName val="rab_me_(by_owner)_3"/>
      <sheetName val="Fill_this_out_first___6"/>
      <sheetName val="ES_STG1"/>
      <sheetName val="PEKERJAAN_PERSIAPAN1"/>
      <sheetName val="Ans_Kom_Precast1"/>
      <sheetName val="UPAH_&amp;_BHN1"/>
      <sheetName val="Bill_No_2_1_3"/>
      <sheetName val="Bill_2_73"/>
      <sheetName val="Mat_Mek3"/>
      <sheetName val="Bill_of_Quantity_ws_3"/>
      <sheetName val="Bill_2_1_DW3"/>
      <sheetName val="Analisa_Harga3"/>
      <sheetName val="Harga_S_Dasar3"/>
      <sheetName val="E_MedGas3"/>
      <sheetName val="Bill_No_2_1_Cold_Water_System3"/>
      <sheetName val="An__Beton3"/>
      <sheetName val="Unit_Rates1"/>
      <sheetName val="Fee_-_Materials1"/>
      <sheetName val="HARGA_ALAT3"/>
      <sheetName val="BoQ_1"/>
      <sheetName val="Memb_Schd3"/>
      <sheetName val="Fire_Alarm3"/>
      <sheetName val="3__Plumbing3"/>
      <sheetName val="Fill_this_out_first___7"/>
      <sheetName val="Cover_(WS)3"/>
      <sheetName val="Tuk_Koef3"/>
      <sheetName val="Basic_Price1"/>
      <sheetName val="Fire_Fighting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an__struktur1"/>
      <sheetName val="Metode_43"/>
      <sheetName val="Metode_83"/>
      <sheetName val="Metode_163"/>
      <sheetName val="Metode_113"/>
      <sheetName val="Metode_52"/>
      <sheetName val="REKAP_PEMATANGAN1"/>
      <sheetName val="Man_Power1"/>
      <sheetName val="03_BoQ_Architecture1"/>
      <sheetName val="REKAP_ANALISA_TO_PRINT1"/>
      <sheetName val="ANALISA_STRUKTUR_1"/>
      <sheetName val="4-Basic_Price1"/>
      <sheetName val="Cover_Daf-23"/>
      <sheetName val="ARP_10_2_BUL1"/>
      <sheetName val="COST_SUMM3"/>
      <sheetName val="DHS_AC1"/>
      <sheetName val="dia_pipe1"/>
      <sheetName val="Final_Summary1"/>
      <sheetName val="Bill_3_81"/>
      <sheetName val="Bill_3_71"/>
      <sheetName val="sat_das1"/>
      <sheetName val="Dft_Harga1"/>
      <sheetName val="material_1"/>
      <sheetName val="D_781"/>
      <sheetName val="D_791"/>
      <sheetName val="Pengalaman_Per1"/>
      <sheetName val="D3_4_31"/>
      <sheetName val="D3_4_41"/>
      <sheetName val="Bill_No_6_Koord_&amp;_Attendance1"/>
      <sheetName val="Master_Schedule1"/>
      <sheetName val="mat-me_pipa1"/>
      <sheetName val="HRG_BHN1"/>
      <sheetName val="GAs_Medis_1"/>
      <sheetName val="TOWER_D3"/>
      <sheetName val="H_Satuan1"/>
      <sheetName val="Input_Data1"/>
      <sheetName val="WF_1"/>
      <sheetName val="BOQ_21"/>
      <sheetName val="R_A_B_1"/>
      <sheetName val="H_DASAR1"/>
      <sheetName val="Daf_11"/>
      <sheetName val="BLOK_A1"/>
      <sheetName val="Analisa_-Baku1"/>
      <sheetName val="Rekap_Direct_Cost1"/>
      <sheetName val="analisa_harga_satuan1"/>
      <sheetName val="PONDASI_PANCANG1"/>
      <sheetName val="Grand_summary1"/>
      <sheetName val="B_-_Norelec1"/>
      <sheetName val="Regulated_Tariff1"/>
      <sheetName val="Perm__Test1"/>
      <sheetName val="Gudang_non_AC-AC_Struktur1"/>
      <sheetName val="Analisa_21"/>
      <sheetName val="Master_Edit1"/>
      <sheetName val="huruf_(2)1"/>
      <sheetName val="ANS_ALAT1"/>
      <sheetName val="Pintu-Jend_1"/>
      <sheetName val="GASATAGG_XLS1"/>
      <sheetName val="fin_pro_centers1"/>
      <sheetName val="Villa_A1"/>
      <sheetName val="Ref__Vínculos1"/>
      <sheetName val="Energy_Model1"/>
      <sheetName val="PHU_051"/>
      <sheetName val="R_A_B11"/>
      <sheetName val="H__Dasar1"/>
      <sheetName val="Rencana_Anggaran_Biaya1"/>
      <sheetName val="Harga_Satuan1"/>
      <sheetName val="_1"/>
      <sheetName val="Calc_1"/>
      <sheetName val="Produksi_&amp;_Scedule1"/>
      <sheetName val="Jual_Mtr_071"/>
      <sheetName val="Beli_Mtr_071"/>
      <sheetName val="Jual_Mtr_061"/>
      <sheetName val="Beli_Mtr_061"/>
      <sheetName val="KURVA_S1"/>
      <sheetName val="D2_41"/>
      <sheetName val="D4_3_(TE)1"/>
      <sheetName val="D5_3_(TF)_1"/>
      <sheetName val="D8_3_(TJ)1"/>
      <sheetName val="Analisa_&amp;_Upah1"/>
      <sheetName val="BoQ_C41"/>
      <sheetName val="KODE_BAHAN1"/>
      <sheetName val="KODE_UPAH1"/>
      <sheetName val="INPUT_AGST1"/>
      <sheetName val="Harsat_Elektrikal_1"/>
      <sheetName val="PENJUMLAHAN_TOTAL1"/>
      <sheetName val="BACK_UP_VOL__RELOKASI1"/>
      <sheetName val="DIV_51"/>
      <sheetName val="DIV_61"/>
      <sheetName val="DIV_7_11"/>
      <sheetName val="ASMSI_51"/>
      <sheetName val="ASMSI_61"/>
      <sheetName val="ASMSI_71"/>
      <sheetName val="3_1_(1)1"/>
      <sheetName val="5_1(1)1"/>
      <sheetName val="5_1(2)1"/>
      <sheetName val="5_2(1)1"/>
      <sheetName val="Agg__Hls-Ksr1"/>
      <sheetName val="RAB_Gedung_Utama1"/>
      <sheetName val="Isolasi_Luar4"/>
      <sheetName val="Isolasi_Luar_Dalam4"/>
      <sheetName val="Tanpa_Isolasi4"/>
      <sheetName val="D_&amp;_W_sizes4"/>
      <sheetName val="Unit_Rate2"/>
      <sheetName val="HR_Detail2"/>
      <sheetName val="ANAL_BOW2"/>
      <sheetName val="Kuantitas___Harga2"/>
      <sheetName val="AHS_Marka2"/>
      <sheetName val="AHS_Aspal2"/>
      <sheetName val="Analisa__(2)2"/>
      <sheetName val="SELISIH_HARGA2"/>
      <sheetName val="REF_ONLY2"/>
      <sheetName val="wk_prgs2"/>
      <sheetName val="2-Genset_print2"/>
      <sheetName val="Sat_Bahan2"/>
      <sheetName val="Sat_Alat2"/>
      <sheetName val="Sat_Upah2"/>
      <sheetName val="L3_An_H_Sat_Mob2"/>
      <sheetName val="Harga_ME_2"/>
      <sheetName val="B___Norelec2"/>
      <sheetName val="Kuantitas_&amp;_Harga2"/>
      <sheetName val="Sales_Rental2"/>
      <sheetName val="Sales_Parameter2"/>
      <sheetName val="BQ_&amp;_Harga2"/>
      <sheetName val="Schedule_Yasmin2"/>
      <sheetName val="Schedule_Lingkar_Barat2"/>
      <sheetName val="Schedule_Daan_Mogot2"/>
      <sheetName val="GRAND_REKAPITULASI2"/>
      <sheetName val="RAB_G_ADM__PUSAT_(1)2"/>
      <sheetName val="RAB_R__GENSET_&amp;_PANEL_(10)_2"/>
      <sheetName val="RAB_R__DNS__PENGLL_T_54_(11_A_2"/>
      <sheetName val="RAB_R__DNS__PENGLL_T_54_(11_B_2"/>
      <sheetName val="RAB_R__DNS__PENGLL_T_54_(11_C_2"/>
      <sheetName val="RAB_R__DNS__PENGLL_T_70_(12_A_2"/>
      <sheetName val="RAB_R__DNS__PENGLL_T_70_(12_B_2"/>
      <sheetName val="RAB_R__DNS__PENGLL_T_70_(12_C_2"/>
      <sheetName val="RAB_SPORT_CLUB_(14)2"/>
      <sheetName val="RAB_MASJID_&amp;_T_WUDLU_(15)2"/>
      <sheetName val="RAB_LOUNDRY_&amp;_WORKSHOP_(16)2"/>
      <sheetName val="RAB_MINIMARKET_&amp;_KANTIN_(17_)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RAW_MATERIALS_2"/>
      <sheetName val="COST-PERSON-J_O_2"/>
      <sheetName val="BoQ_Major_Item_2"/>
      <sheetName val="UPH_BHN"/>
      <sheetName val="Analisa___2_2"/>
      <sheetName val="ANALISA_PEK_UMUM2"/>
      <sheetName val="ANALISA_GWT2"/>
      <sheetName val="ANALISA_DDG_KOLAM_&amp;_PLANTER2"/>
      <sheetName val="ANALISA_LAIN-LAIN2"/>
      <sheetName val="PLAT_&amp;_BALOK_TAMBAHAN2"/>
      <sheetName val="ANALISA_PONDASI2"/>
      <sheetName val="ANALISA_STP2"/>
      <sheetName val="ANALISA_PEK_TANAH2"/>
      <sheetName val="ANALIS_22"/>
      <sheetName val="ANALIS_12"/>
      <sheetName val="BQ_(by_owner)2"/>
      <sheetName val="rab_me_(fisik)2"/>
      <sheetName val="rab_me_(by_owner)_2"/>
      <sheetName val="Fill_this_out_first___4"/>
      <sheetName val="ES_STG"/>
      <sheetName val="PEKERJAAN_PERSIAPAN"/>
      <sheetName val="Ans_Kom_Precast"/>
      <sheetName val="UPAH_&amp;_BHN"/>
      <sheetName val="Bill_No_2_1_2"/>
      <sheetName val="Bill_2_72"/>
      <sheetName val="Mat_Mek2"/>
      <sheetName val="Bill_of_Quantity_ws_2"/>
      <sheetName val="Bill_2_1_DW2"/>
      <sheetName val="Analisa_Harga2"/>
      <sheetName val="Harga_S_Dasar2"/>
      <sheetName val="E_MedGas2"/>
      <sheetName val="Bill_No_2_1_Cold_Water_System2"/>
      <sheetName val="An__Beton2"/>
      <sheetName val="Unit_Rates"/>
      <sheetName val="Fee_-_Materials"/>
      <sheetName val="HARGA_ALAT2"/>
      <sheetName val="Memb_Schd2"/>
      <sheetName val="Fire_Alarm2"/>
      <sheetName val="3__Plumbing2"/>
      <sheetName val="Fill_this_out_first___5"/>
      <sheetName val="Cover_(WS)2"/>
      <sheetName val="Tuk_Koef2"/>
      <sheetName val="Basic_Price"/>
      <sheetName val="Fire_Fighting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an__struktur"/>
      <sheetName val="Metode_42"/>
      <sheetName val="Metode_82"/>
      <sheetName val="Metode_162"/>
      <sheetName val="Metode_112"/>
      <sheetName val="REKAP_PEMATANGAN"/>
      <sheetName val="Man_Power"/>
      <sheetName val="03_BoQ_Architecture"/>
      <sheetName val="REKAP_ANALISA_TO_PRINT"/>
      <sheetName val="ANALISA_STRUKTUR_"/>
      <sheetName val="Cover_Daf-22"/>
      <sheetName val="ARP_10_2_BUL"/>
      <sheetName val="COST_SUMM2"/>
      <sheetName val="DHS_AC"/>
      <sheetName val="Final_Summary"/>
      <sheetName val="Bill_3_8"/>
      <sheetName val="Bill_3_7"/>
      <sheetName val="sat_das"/>
      <sheetName val="Dft_Harga"/>
      <sheetName val="material_"/>
      <sheetName val="D_78"/>
      <sheetName val="D_79"/>
      <sheetName val="Pengalaman_Per"/>
      <sheetName val="D3_4_3"/>
      <sheetName val="D3_4_4"/>
      <sheetName val="Bill_No_6_Koord_&amp;_Attendance"/>
      <sheetName val="Master_Schedule"/>
      <sheetName val="mat-me_pipa"/>
      <sheetName val="HRG_BHN"/>
      <sheetName val="GAs_Medis_"/>
      <sheetName val="TOWER_D2"/>
      <sheetName val="H_Satuan"/>
      <sheetName val="Input_Data"/>
      <sheetName val="WF_"/>
      <sheetName val="BOQ_2"/>
      <sheetName val="R_A_B_"/>
      <sheetName val="H_DASAR"/>
      <sheetName val="Daf_1"/>
      <sheetName val="BLOK_A"/>
      <sheetName val="Analisa_-Baku"/>
      <sheetName val="Rekap_Direct_Cost"/>
      <sheetName val="analisa_harga_satuan"/>
      <sheetName val="PONDASI_PANCANG"/>
      <sheetName val="Grand_summary"/>
      <sheetName val="B_-_Norelec"/>
      <sheetName val="Regulated_Tariff"/>
      <sheetName val="Perm__Test"/>
      <sheetName val="Gudang_non_AC-AC_Struktur"/>
      <sheetName val="Analisa_2"/>
      <sheetName val="Master_Edit"/>
      <sheetName val="huruf_(2)"/>
      <sheetName val="ANS_ALAT"/>
      <sheetName val="Pintu-Jend_"/>
      <sheetName val="GASATAGG_XLS"/>
      <sheetName val="fin_pro_centers"/>
      <sheetName val="Villa_A"/>
      <sheetName val="Energy_Model"/>
      <sheetName val="PHU_05"/>
      <sheetName val="R_A_B1"/>
      <sheetName val="H__Dasar"/>
      <sheetName val="Rencana_Anggaran_Biaya"/>
      <sheetName val="Harga_Satuan"/>
      <sheetName val="D2_4"/>
      <sheetName val="D4_3_(TE)"/>
      <sheetName val="D5_3_(TF)_"/>
      <sheetName val="D8_3_(TJ)"/>
      <sheetName val="_"/>
      <sheetName val="Calc_"/>
      <sheetName val="Produksi_&amp;_Scedule"/>
      <sheetName val="Jual_Mtr_07"/>
      <sheetName val="Beli_Mtr_07"/>
      <sheetName val="Jual_Mtr_06"/>
      <sheetName val="Beli_Mtr_06"/>
      <sheetName val="KURVA_S"/>
      <sheetName val="Analisa_&amp;_Upah"/>
      <sheetName val="BoQ_C4"/>
      <sheetName val="KODE_BAHAN"/>
      <sheetName val="KODE_UPAH"/>
      <sheetName val="INPUT_AGST"/>
      <sheetName val="Harsat_Elektrikal_"/>
      <sheetName val="PENJUMLAHAN_TOTAL"/>
      <sheetName val="BACK_UP_VOL__RELOKASI"/>
      <sheetName val="DIV_5"/>
      <sheetName val="DIV_6"/>
      <sheetName val="DIV_7_1"/>
      <sheetName val="ASMSI_5"/>
      <sheetName val="ASMSI_6"/>
      <sheetName val="ASMSI_7"/>
      <sheetName val="3_1_(1)"/>
      <sheetName val="5_1(1)"/>
      <sheetName val="5_1(2)"/>
      <sheetName val="5_2(1)"/>
      <sheetName val="Agg__Hls-Ksr"/>
      <sheetName val="RAB_Gedung_Utama"/>
      <sheetName val="B-BLOW_1"/>
      <sheetName val="B-BLOW_2"/>
      <sheetName val="B-BLOW_11"/>
      <sheetName val="B-BLOW_21"/>
      <sheetName val="Isolasi_Luar6"/>
      <sheetName val="Isolasi_Luar_Dalam6"/>
      <sheetName val="Tanpa_Isolasi6"/>
      <sheetName val="D_&amp;_W_sizes6"/>
      <sheetName val="Unit_Rate4"/>
      <sheetName val="HR_Detail4"/>
      <sheetName val="ANAL_BOW4"/>
      <sheetName val="Kuantitas___Harga4"/>
      <sheetName val="AHS_Marka4"/>
      <sheetName val="AHS_Aspal4"/>
      <sheetName val="Analisa__(2)4"/>
      <sheetName val="SELISIH_HARGA4"/>
      <sheetName val="REF_ONLY4"/>
      <sheetName val="wk_prgs4"/>
      <sheetName val="2-Genset_print4"/>
      <sheetName val="Sat_Bahan4"/>
      <sheetName val="Sat_Alat4"/>
      <sheetName val="Sat_Upah4"/>
      <sheetName val="L3_An_H_Sat_Mob4"/>
      <sheetName val="Harga_ME_4"/>
      <sheetName val="B___Norelec4"/>
      <sheetName val="Kuantitas_&amp;_Harga4"/>
      <sheetName val="Sales_Rental4"/>
      <sheetName val="Sales_Parameter4"/>
      <sheetName val="BQ_&amp;_Harga4"/>
      <sheetName val="Schedule_Yasmin4"/>
      <sheetName val="Schedule_Lingkar_Barat4"/>
      <sheetName val="Schedule_Daan_Mogot4"/>
      <sheetName val="GRAND_REKAPITULASI4"/>
      <sheetName val="RAB_G_ADM__PUSAT_(1)4"/>
      <sheetName val="RAB_R__GENSET_&amp;_PANEL_(10)_4"/>
      <sheetName val="RAB_R__DNS__PENGLL_T_54_(11_A_4"/>
      <sheetName val="RAB_R__DNS__PENGLL_T_54_(11_B_4"/>
      <sheetName val="RAB_R__DNS__PENGLL_T_54_(11_C_4"/>
      <sheetName val="RAB_R__DNS__PENGLL_T_70_(12_A_4"/>
      <sheetName val="RAB_R__DNS__PENGLL_T_70_(12_B_4"/>
      <sheetName val="RAB_R__DNS__PENGLL_T_70_(12_C_4"/>
      <sheetName val="RAB_SPORT_CLUB_(14)4"/>
      <sheetName val="RAB_MASJID_&amp;_T_WUDLU_(15)4"/>
      <sheetName val="RAB_LOUNDRY_&amp;_WORKSHOP_(16)4"/>
      <sheetName val="RAB_MINIMARKET_&amp;_KANTIN_(17_)4"/>
      <sheetName val="RAB_RMH__PENJAGA_(18)4"/>
      <sheetName val="RAB_POS_JAGA_(19__A_)4"/>
      <sheetName val="RAB_POS_JAGA_(19__B_)4"/>
      <sheetName val="RAB_R__POMPA_(20)4"/>
      <sheetName val="RAB_R__KELAS_(2_A)4"/>
      <sheetName val="RAB_R__KELAS_(2_B)4"/>
      <sheetName val="RAB_AULA_UTAMA_(5)4"/>
      <sheetName val="RAB_AULA_SEDANG_(6)4"/>
      <sheetName val="RAB_ASRAMA_(7__B_)4"/>
      <sheetName val="RAB_ASRAMA_(7__C_)4"/>
      <sheetName val="RAB_ASRAMA_(7__D_)4"/>
      <sheetName val="RAB_R__MAKAN_(8)4"/>
      <sheetName val="RAB_GUEST_HOUSE_(9__A_)4"/>
      <sheetName val="RAB_GUEST_HOUSE_(9__B_)4"/>
      <sheetName val="RAW_MATERIALS_4"/>
      <sheetName val="COST-PERSON-J_O_4"/>
      <sheetName val="BoQ_Major_Item_4"/>
      <sheetName val="UPH_BHN2"/>
      <sheetName val="Analisa___2_4"/>
      <sheetName val="ANALISA_PEK_UMUM4"/>
      <sheetName val="ANALISA_GWT4"/>
      <sheetName val="ANALISA_DDG_KOLAM_&amp;_PLANTER4"/>
      <sheetName val="ANALISA_LAIN-LAIN4"/>
      <sheetName val="PLAT_&amp;_BALOK_TAMBAHAN4"/>
      <sheetName val="ANALISA_PONDASI4"/>
      <sheetName val="ANALISA_STP4"/>
      <sheetName val="ANALISA_PEK_TANAH4"/>
      <sheetName val="ANALIS_24"/>
      <sheetName val="ANALIS_14"/>
      <sheetName val="BQ_(by_owner)4"/>
      <sheetName val="rab_me_(fisik)4"/>
      <sheetName val="rab_me_(by_owner)_4"/>
      <sheetName val="Fill_this_out_first___8"/>
      <sheetName val="ES_STG2"/>
      <sheetName val="PEKERJAAN_PERSIAPAN2"/>
      <sheetName val="Ans_Kom_Precast2"/>
      <sheetName val="UPAH_&amp;_BHN2"/>
      <sheetName val="Bill_No_2_1_4"/>
      <sheetName val="Bill_2_74"/>
      <sheetName val="Mat_Mek4"/>
      <sheetName val="Bill_of_Quantity_ws_4"/>
      <sheetName val="Bill_2_1_DW4"/>
      <sheetName val="Analisa_Harga4"/>
      <sheetName val="Harga_S_Dasar4"/>
      <sheetName val="E_MedGas4"/>
      <sheetName val="Bill_No_2_1_Cold_Water_System4"/>
      <sheetName val="An__Beton4"/>
      <sheetName val="Unit_Rates2"/>
      <sheetName val="Fee_-_Materials2"/>
      <sheetName val="HARGA_ALAT4"/>
      <sheetName val="Memb_Schd4"/>
      <sheetName val="Fire_Alarm4"/>
      <sheetName val="3__Plumbing4"/>
      <sheetName val="Fill_this_out_first___9"/>
      <sheetName val="Cover_(WS)4"/>
      <sheetName val="Tuk_Koef4"/>
      <sheetName val="Basic_Price2"/>
      <sheetName val="Fire_Fighting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an__struktur2"/>
      <sheetName val="Metode_44"/>
      <sheetName val="Metode_84"/>
      <sheetName val="Metode_164"/>
      <sheetName val="Metode_114"/>
      <sheetName val="Metode_53"/>
      <sheetName val="REKAP_PEMATANGAN2"/>
      <sheetName val="Man_Power2"/>
      <sheetName val="03_BoQ_Architecture2"/>
      <sheetName val="REKAP_ANALISA_TO_PRINT2"/>
      <sheetName val="ANALISA_STRUKTUR_2"/>
      <sheetName val="4-Basic_Price2"/>
      <sheetName val="Cover_Daf-24"/>
      <sheetName val="ARP_10_2_BUL2"/>
      <sheetName val="COST_SUMM4"/>
      <sheetName val="DHS_AC2"/>
      <sheetName val="dia_pipe2"/>
      <sheetName val="Final_Summary2"/>
      <sheetName val="Bill_3_82"/>
      <sheetName val="Bill_3_72"/>
      <sheetName val="sat_das2"/>
      <sheetName val="Dft_Harga2"/>
      <sheetName val="material_2"/>
      <sheetName val="D_782"/>
      <sheetName val="D_792"/>
      <sheetName val="Pengalaman_Per2"/>
      <sheetName val="D3_4_32"/>
      <sheetName val="D3_4_42"/>
      <sheetName val="Bill_No_6_Koord_&amp;_Attendance2"/>
      <sheetName val="Master_Schedule2"/>
      <sheetName val="mat-me_pipa2"/>
      <sheetName val="HRG_BHN2"/>
      <sheetName val="GAs_Medis_2"/>
      <sheetName val="TOWER_D4"/>
      <sheetName val="H_Satuan2"/>
      <sheetName val="Input_Data2"/>
      <sheetName val="WF_2"/>
      <sheetName val="BOQ_22"/>
      <sheetName val="R_A_B_2"/>
      <sheetName val="H_DASAR2"/>
      <sheetName val="Daf_12"/>
      <sheetName val="BLOK_A2"/>
      <sheetName val="Analisa_-Baku2"/>
      <sheetName val="Rekap_Direct_Cost2"/>
      <sheetName val="analisa_harga_satuan2"/>
      <sheetName val="PONDASI_PANCANG2"/>
      <sheetName val="Grand_summary2"/>
      <sheetName val="B_-_Norelec2"/>
      <sheetName val="Regulated_Tariff2"/>
      <sheetName val="Perm__Test2"/>
      <sheetName val="Gudang_non_AC-AC_Struktur2"/>
      <sheetName val="Analisa_22"/>
      <sheetName val="Master_Edit2"/>
      <sheetName val="huruf_(2)2"/>
      <sheetName val="ANS_ALAT2"/>
      <sheetName val="Pintu-Jend_2"/>
      <sheetName val="GASATAGG_XLS2"/>
      <sheetName val="fin_pro_centers2"/>
      <sheetName val="Villa_A2"/>
      <sheetName val="Ref__Vínculos2"/>
      <sheetName val="Energy_Model2"/>
      <sheetName val="PHU_052"/>
      <sheetName val="R_A_B12"/>
      <sheetName val="H__Dasar2"/>
      <sheetName val="Rencana_Anggaran_Biaya2"/>
      <sheetName val="Harga_Satuan2"/>
      <sheetName val="_2"/>
      <sheetName val="Calc_2"/>
      <sheetName val="Produksi_&amp;_Scedule2"/>
      <sheetName val="Jual_Mtr_072"/>
      <sheetName val="Beli_Mtr_072"/>
      <sheetName val="Jual_Mtr_062"/>
      <sheetName val="Beli_Mtr_062"/>
      <sheetName val="KURVA_S2"/>
      <sheetName val="D2_42"/>
      <sheetName val="D4_3_(TE)2"/>
      <sheetName val="D5_3_(TF)_2"/>
      <sheetName val="D8_3_(TJ)2"/>
      <sheetName val="Analisa_&amp;_Upah2"/>
      <sheetName val="BoQ_C42"/>
      <sheetName val="KODE_BAHAN2"/>
      <sheetName val="KODE_UPAH2"/>
      <sheetName val="INPUT_AGST2"/>
      <sheetName val="Harsat_Elektrikal_2"/>
      <sheetName val="PENJUMLAHAN_TOTAL2"/>
      <sheetName val="BACK_UP_VOL__RELOKASI2"/>
      <sheetName val="DIV_52"/>
      <sheetName val="DIV_62"/>
      <sheetName val="DIV_7_12"/>
      <sheetName val="ASMSI_52"/>
      <sheetName val="ASMSI_62"/>
      <sheetName val="ASMSI_72"/>
      <sheetName val="3_1_(1)2"/>
      <sheetName val="5_1(1)2"/>
      <sheetName val="5_1(2)2"/>
      <sheetName val="5_2(1)2"/>
      <sheetName val="Agg__Hls-Ksr2"/>
      <sheetName val="RAB_Gedung_Utama2"/>
      <sheetName val="B-BLOW_12"/>
      <sheetName val="B-BLOW_22"/>
      <sheetName val="Isolasi_Luar7"/>
      <sheetName val="Isolasi_Luar_Dalam7"/>
      <sheetName val="Tanpa_Isolasi7"/>
      <sheetName val="D_&amp;_W_sizes7"/>
      <sheetName val="Unit_Rate5"/>
      <sheetName val="HR_Detail5"/>
      <sheetName val="ANAL_BOW5"/>
      <sheetName val="Kuantitas___Harga5"/>
      <sheetName val="AHS_Marka5"/>
      <sheetName val="AHS_Aspal5"/>
      <sheetName val="Analisa__(2)5"/>
      <sheetName val="SELISIH_HARGA5"/>
      <sheetName val="REF_ONLY5"/>
      <sheetName val="wk_prgs5"/>
      <sheetName val="2-Genset_print5"/>
      <sheetName val="Sat_Bahan5"/>
      <sheetName val="Sat_Alat5"/>
      <sheetName val="Sat_Upah5"/>
      <sheetName val="L3_An_H_Sat_Mob5"/>
      <sheetName val="Harga_ME_5"/>
      <sheetName val="B___Norelec5"/>
      <sheetName val="Kuantitas_&amp;_Harga5"/>
      <sheetName val="Sales_Rental5"/>
      <sheetName val="Sales_Parameter5"/>
      <sheetName val="BQ_&amp;_Harga5"/>
      <sheetName val="Schedule_Yasmin5"/>
      <sheetName val="Schedule_Lingkar_Barat5"/>
      <sheetName val="Schedule_Daan_Mogot5"/>
      <sheetName val="GRAND_REKAPITULASI5"/>
      <sheetName val="RAB_G_ADM__PUSAT_(1)5"/>
      <sheetName val="RAB_R__GENSET_&amp;_PANEL_(10)_5"/>
      <sheetName val="RAB_R__DNS__PENGLL_T_54_(11_A_5"/>
      <sheetName val="RAB_R__DNS__PENGLL_T_54_(11_B_5"/>
      <sheetName val="RAB_R__DNS__PENGLL_T_54_(11_C_5"/>
      <sheetName val="RAB_R__DNS__PENGLL_T_70_(12_A_5"/>
      <sheetName val="RAB_R__DNS__PENGLL_T_70_(12_B_5"/>
      <sheetName val="RAB_R__DNS__PENGLL_T_70_(12_C_5"/>
      <sheetName val="RAB_SPORT_CLUB_(14)5"/>
      <sheetName val="RAB_MASJID_&amp;_T_WUDLU_(15)5"/>
      <sheetName val="RAB_LOUNDRY_&amp;_WORKSHOP_(16)5"/>
      <sheetName val="RAB_MINIMARKET_&amp;_KANTIN_(17_)5"/>
      <sheetName val="RAB_RMH__PENJAGA_(18)5"/>
      <sheetName val="RAB_POS_JAGA_(19__A_)5"/>
      <sheetName val="RAB_POS_JAGA_(19__B_)5"/>
      <sheetName val="RAB_R__POMPA_(20)5"/>
      <sheetName val="RAB_R__KELAS_(2_A)5"/>
      <sheetName val="RAB_R__KELAS_(2_B)5"/>
      <sheetName val="RAB_AULA_UTAMA_(5)5"/>
      <sheetName val="RAB_AULA_SEDANG_(6)5"/>
      <sheetName val="RAB_ASRAMA_(7__B_)5"/>
      <sheetName val="RAB_ASRAMA_(7__C_)5"/>
      <sheetName val="RAB_ASRAMA_(7__D_)5"/>
      <sheetName val="RAB_R__MAKAN_(8)5"/>
      <sheetName val="RAB_GUEST_HOUSE_(9__A_)5"/>
      <sheetName val="RAB_GUEST_HOUSE_(9__B_)5"/>
      <sheetName val="RAW_MATERIALS_5"/>
      <sheetName val="COST-PERSON-J_O_5"/>
      <sheetName val="BoQ_Major_Item_5"/>
      <sheetName val="UPH_BHN3"/>
      <sheetName val="Analisa___2_5"/>
      <sheetName val="ANALISA_PEK_UMUM5"/>
      <sheetName val="ANALISA_GWT5"/>
      <sheetName val="ANALISA_DDG_KOLAM_&amp;_PLANTER5"/>
      <sheetName val="ANALISA_LAIN-LAIN5"/>
      <sheetName val="PLAT_&amp;_BALOK_TAMBAHAN5"/>
      <sheetName val="ANALISA_PONDASI5"/>
      <sheetName val="ANALISA_STP5"/>
      <sheetName val="ANALISA_PEK_TANAH5"/>
      <sheetName val="ANALIS_25"/>
      <sheetName val="ANALIS_15"/>
      <sheetName val="BQ_(by_owner)5"/>
      <sheetName val="rab_me_(fisik)5"/>
      <sheetName val="rab_me_(by_owner)_5"/>
      <sheetName val="Fill_this_out_first___10"/>
      <sheetName val="ES_STG3"/>
      <sheetName val="PEKERJAAN_PERSIAPAN3"/>
      <sheetName val="Ans_Kom_Precast3"/>
      <sheetName val="UPAH_&amp;_BHN3"/>
      <sheetName val="Bill_No_2_1_5"/>
      <sheetName val="Bill_2_75"/>
      <sheetName val="Mat_Mek5"/>
      <sheetName val="Bill_of_Quantity_ws_5"/>
      <sheetName val="Bill_2_1_DW5"/>
      <sheetName val="Analisa_Harga5"/>
      <sheetName val="Harga_S_Dasar5"/>
      <sheetName val="E_MedGas5"/>
      <sheetName val="Bill_No_2_1_Cold_Water_System5"/>
      <sheetName val="An__Beton5"/>
      <sheetName val="Unit_Rates3"/>
      <sheetName val="Fee_-_Materials3"/>
      <sheetName val="HARGA_ALAT5"/>
      <sheetName val="Memb_Schd5"/>
      <sheetName val="Fire_Alarm5"/>
      <sheetName val="3__Plumbing5"/>
      <sheetName val="Fill_this_out_first___11"/>
      <sheetName val="Cover_(WS)5"/>
      <sheetName val="Tuk_Koef5"/>
      <sheetName val="Basic_Price3"/>
      <sheetName val="Fire_Fighting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an__struktur3"/>
      <sheetName val="Metode_45"/>
      <sheetName val="Metode_85"/>
      <sheetName val="Metode_165"/>
      <sheetName val="Metode_115"/>
      <sheetName val="Metode_54"/>
      <sheetName val="REKAP_PEMATANGAN3"/>
      <sheetName val="Man_Power3"/>
      <sheetName val="03_BoQ_Architecture3"/>
      <sheetName val="REKAP_ANALISA_TO_PRINT3"/>
      <sheetName val="ANALISA_STRUKTUR_3"/>
      <sheetName val="4-Basic_Price3"/>
      <sheetName val="Cover_Daf-25"/>
      <sheetName val="ARP_10_2_BUL3"/>
      <sheetName val="COST_SUMM5"/>
      <sheetName val="DHS_AC3"/>
      <sheetName val="dia_pipe3"/>
      <sheetName val="Final_Summary3"/>
      <sheetName val="Bill_3_83"/>
      <sheetName val="Bill_3_73"/>
      <sheetName val="sat_das3"/>
      <sheetName val="Dft_Harga3"/>
      <sheetName val="material_3"/>
      <sheetName val="D_783"/>
      <sheetName val="D_793"/>
      <sheetName val="Pengalaman_Per3"/>
      <sheetName val="D3_4_33"/>
      <sheetName val="D3_4_43"/>
      <sheetName val="Bill_No_6_Koord_&amp;_Attendance3"/>
      <sheetName val="Master_Schedule3"/>
      <sheetName val="mat-me_pipa3"/>
      <sheetName val="HRG_BHN3"/>
      <sheetName val="GAs_Medis_3"/>
      <sheetName val="TOWER_D5"/>
      <sheetName val="H_Satuan3"/>
      <sheetName val="Input_Data3"/>
      <sheetName val="WF_3"/>
      <sheetName val="BOQ_23"/>
      <sheetName val="R_A_B_3"/>
      <sheetName val="H_DASAR3"/>
      <sheetName val="Daf_13"/>
      <sheetName val="BLOK_A3"/>
      <sheetName val="Analisa_-Baku3"/>
      <sheetName val="Rekap_Direct_Cost3"/>
      <sheetName val="analisa_harga_satuan3"/>
      <sheetName val="PONDASI_PANCANG3"/>
      <sheetName val="Grand_summary3"/>
      <sheetName val="B_-_Norelec3"/>
      <sheetName val="Regulated_Tariff3"/>
      <sheetName val="Perm__Test3"/>
      <sheetName val="Gudang_non_AC-AC_Struktur3"/>
      <sheetName val="Analisa_23"/>
      <sheetName val="Master_Edit3"/>
      <sheetName val="huruf_(2)3"/>
      <sheetName val="ANS_ALAT3"/>
      <sheetName val="Pintu-Jend_3"/>
      <sheetName val="GASATAGG_XLS3"/>
      <sheetName val="fin_pro_centers3"/>
      <sheetName val="Villa_A3"/>
      <sheetName val="Ref__Vínculos3"/>
      <sheetName val="Energy_Model3"/>
      <sheetName val="PHU_053"/>
      <sheetName val="R_A_B13"/>
      <sheetName val="H__Dasar3"/>
      <sheetName val="Rencana_Anggaran_Biaya3"/>
      <sheetName val="Harga_Satuan3"/>
      <sheetName val="D2_43"/>
      <sheetName val="D4_3_(TE)3"/>
      <sheetName val="D5_3_(TF)_3"/>
      <sheetName val="D8_3_(TJ)3"/>
      <sheetName val="_3"/>
      <sheetName val="Calc_3"/>
      <sheetName val="Produksi_&amp;_Scedule3"/>
      <sheetName val="Jual_Mtr_073"/>
      <sheetName val="Beli_Mtr_073"/>
      <sheetName val="Jual_Mtr_063"/>
      <sheetName val="Beli_Mtr_063"/>
      <sheetName val="KURVA_S3"/>
      <sheetName val="Analisa_&amp;_Upah3"/>
      <sheetName val="BoQ_C43"/>
      <sheetName val="KODE_BAHAN3"/>
      <sheetName val="KODE_UPAH3"/>
      <sheetName val="INPUT_AGST3"/>
      <sheetName val="Harsat_Elektrikal_3"/>
      <sheetName val="PENJUMLAHAN_TOTAL3"/>
      <sheetName val="BACK_UP_VOL__RELOKASI3"/>
      <sheetName val="DIV_53"/>
      <sheetName val="DIV_63"/>
      <sheetName val="DIV_7_13"/>
      <sheetName val="ASMSI_53"/>
      <sheetName val="ASMSI_63"/>
      <sheetName val="ASMSI_73"/>
      <sheetName val="3_1_(1)3"/>
      <sheetName val="5_1(1)3"/>
      <sheetName val="5_1(2)3"/>
      <sheetName val="5_2(1)3"/>
      <sheetName val="Agg__Hls-Ksr3"/>
      <sheetName val="RAB_Gedung_Utama3"/>
      <sheetName val="B-BLOW_13"/>
      <sheetName val="B-BLOW_23"/>
      <sheetName val="3-DIV2"/>
      <sheetName val="3-DIV3"/>
      <sheetName val="3-DIV8"/>
      <sheetName val="3-DIV10"/>
      <sheetName val="BoQ(APBN)"/>
      <sheetName val="Quarry"/>
      <sheetName val="SAT-BHN"/>
      <sheetName val="41,9&amp;36,3"/>
      <sheetName val="MATERIAL ANALISA"/>
      <sheetName val="All"/>
      <sheetName val="Bill 1 - 9"/>
      <sheetName val="Bill 12"/>
      <sheetName val="Bill 10"/>
      <sheetName val="Prod"/>
      <sheetName val="Anal Alat Type II A"/>
      <sheetName val="BOQ - ARS"/>
      <sheetName val="B_7"/>
      <sheetName val="B_6"/>
      <sheetName val="Accueil"/>
      <sheetName val="DKONSOL"/>
      <sheetName val="TABEL2"/>
      <sheetName val="BQ29"/>
      <sheetName val="BCP.1"/>
      <sheetName val="ISI1107A"/>
      <sheetName val="ISI1107B"/>
      <sheetName val="CekList"/>
      <sheetName val="Re-Mill Building  "/>
      <sheetName val="FORM-X-1"/>
      <sheetName val="RESIDU"/>
      <sheetName val="DISCLAIMER"/>
      <sheetName val="K.000"/>
      <sheetName val="hallo"/>
      <sheetName val="AN-ALAT"/>
      <sheetName val="SPK (2)"/>
      <sheetName val="S.UPAH"/>
      <sheetName val="S.BAHAN"/>
      <sheetName val="DG"/>
      <sheetName val="Appendix 2(SatDas)"/>
      <sheetName val="610.07A"/>
      <sheetName val="Als Struk"/>
      <sheetName val="D3"/>
      <sheetName val="10.1 (1)"/>
      <sheetName val="10.1 (2)"/>
      <sheetName val="10.1 (3)"/>
      <sheetName val="10.1 (4)"/>
      <sheetName val="10.1 (5)"/>
      <sheetName val="ESCON"/>
      <sheetName val="Lt. 1 (A)"/>
      <sheetName val="QSS"/>
      <sheetName val="DASHB"/>
      <sheetName val="RAB_G_ADM_ PUSAT__1_"/>
      <sheetName val="RAB_R_ GENSET _ PANEL__10_ "/>
      <sheetName val="RAB_R_ DNS_ PENGLL T_54__11_A__"/>
      <sheetName val="RAB_R_ DNS_ PENGLL T_54__11_B__"/>
      <sheetName val="RAB_R_ DNS_ PENGLL T_54 _11_C__"/>
      <sheetName val="RAB_R_ DNS_ PENGLL T_70__12_A__"/>
      <sheetName val="RAB_R_ DNS_ PENGLL T_70__12_B__"/>
      <sheetName val="RAB_R_ DNS_ PENGLL T_70__12_C__"/>
      <sheetName val="RAB_SPORT CLUB__14_"/>
      <sheetName val="RAB_MASJID _ T_WUDLU__15_"/>
      <sheetName val="RAB_LOUNDRY _ WORKSHOP__16_"/>
      <sheetName val="RAB_MINIMARKET _ KANTIN__17__"/>
      <sheetName val="RAB_RMH_ PENJAGA__18_"/>
      <sheetName val="RAB_POS JAGA__19_ A__"/>
      <sheetName val="RAB_POS JAGA__19_ B__"/>
      <sheetName val="RAB_R_ POMPA__20_"/>
      <sheetName val="RAB_GARASI__21_"/>
      <sheetName val="RAB_POLIKLINIK__22_"/>
      <sheetName val="RAB_R_ KELAS__2_A_"/>
      <sheetName val="RAB_R_ KELAS__2_B_"/>
      <sheetName val="RAB_PERPUST__4_"/>
      <sheetName val="RAB_AULA UTAMA__5_"/>
      <sheetName val="RAB_AULA SEDANG__6_"/>
      <sheetName val="RAB_ASRAMA__7_ B__"/>
      <sheetName val="RAB_ASRAMA__7_ C__"/>
      <sheetName val="RAB_ASRAMA__7_ D__"/>
      <sheetName val="RAB_R_ MAKAN__8_"/>
      <sheetName val="RAB_GUEST HOUSE__9_ A__"/>
      <sheetName val="RAB_GUEST HOUSE__9_ B__"/>
      <sheetName val="TA"/>
      <sheetName val="LIST (2)"/>
      <sheetName val="An_11"/>
      <sheetName val="An_31"/>
      <sheetName val="An_21"/>
      <sheetName val="Sat Bah &amp; Up"/>
      <sheetName val="ITB COST"/>
      <sheetName val="Summary Sheets"/>
      <sheetName val="Preface"/>
      <sheetName val="Source"/>
      <sheetName val="BasicPrice"/>
      <sheetName val="HM"/>
      <sheetName val="nama PT."/>
      <sheetName val="AC"/>
      <sheetName val="Waktu"/>
      <sheetName val="keb-BHN"/>
      <sheetName val="db"/>
      <sheetName val="MC_Qty"/>
      <sheetName val="Analisa SNI"/>
      <sheetName val="Anls FA (Inst)"/>
      <sheetName val="Bhn,Alat&amp;Upah"/>
      <sheetName val="H Satuan Dasar"/>
      <sheetName val="Fin-Sum"/>
      <sheetName val="II.5"/>
      <sheetName val="inst.pemrintah"/>
      <sheetName val="Harga Dasar"/>
      <sheetName val="Data Pendukung"/>
      <sheetName val="R.A.B"/>
      <sheetName val="Harga Bahan"/>
      <sheetName val="bs-abut"/>
      <sheetName val="abut"/>
      <sheetName val="BILL 4"/>
      <sheetName val="dinding_Spilway_lama"/>
      <sheetName val="dinding_Spilway_lama1"/>
      <sheetName val="dinding_Spilway_lama2"/>
      <sheetName val="Isolasi_Luar8"/>
      <sheetName val="Isolasi_Luar_Dalam8"/>
      <sheetName val="Tanpa_Isolasi8"/>
      <sheetName val="D_&amp;_W_sizes8"/>
      <sheetName val="Analisa__(2)6"/>
      <sheetName val="HR_Detail6"/>
      <sheetName val="Unit_Rate6"/>
      <sheetName val="ANAL_BOW6"/>
      <sheetName val="Kuantitas___Harga6"/>
      <sheetName val="AHS_Marka6"/>
      <sheetName val="AHS_Aspal6"/>
      <sheetName val="SELISIH_HARGA6"/>
      <sheetName val="Sat_Bahan6"/>
      <sheetName val="Sat_Alat6"/>
      <sheetName val="Sat_Upah6"/>
      <sheetName val="REF_ONLY6"/>
      <sheetName val="wk_prgs6"/>
      <sheetName val="L3_An_H_Sat_Mob6"/>
      <sheetName val="Harga_ME_6"/>
      <sheetName val="B___Norelec6"/>
      <sheetName val="Kuantitas_&amp;_Harga6"/>
      <sheetName val="Sales_Rental6"/>
      <sheetName val="Sales_Parameter6"/>
      <sheetName val="GRAND_REKAPITULASI6"/>
      <sheetName val="RAB_G_ADM__PUSAT_(1)6"/>
      <sheetName val="RAB_R__GENSET_&amp;_PANEL_(10)_6"/>
      <sheetName val="RAB_R__DNS__PENGLL_T_54_(11_A_6"/>
      <sheetName val="RAB_R__DNS__PENGLL_T_54_(11_B_6"/>
      <sheetName val="RAB_R__DNS__PENGLL_T_54_(11_C_6"/>
      <sheetName val="RAB_R__DNS__PENGLL_T_70_(12_A_6"/>
      <sheetName val="RAB_R__DNS__PENGLL_T_70_(12_B_6"/>
      <sheetName val="RAB_R__DNS__PENGLL_T_70_(12_C_6"/>
      <sheetName val="RAB_SPORT_CLUB_(14)6"/>
      <sheetName val="RAB_MASJID_&amp;_T_WUDLU_(15)6"/>
      <sheetName val="RAB_LOUNDRY_&amp;_WORKSHOP_(16)6"/>
      <sheetName val="RAB_MINIMARKET_&amp;_KANTIN_(17_)6"/>
      <sheetName val="RAB_RMH__PENJAGA_(18)6"/>
      <sheetName val="RAB_POS_JAGA_(19__A_)6"/>
      <sheetName val="RAB_POS_JAGA_(19__B_)6"/>
      <sheetName val="RAB_R__POMPA_(20)6"/>
      <sheetName val="RAB_R__KELAS_(2_A)6"/>
      <sheetName val="RAB_R__KELAS_(2_B)6"/>
      <sheetName val="RAB_AULA_UTAMA_(5)6"/>
      <sheetName val="RAB_AULA_SEDANG_(6)6"/>
      <sheetName val="RAB_ASRAMA_(7__B_)6"/>
      <sheetName val="RAB_ASRAMA_(7__C_)6"/>
      <sheetName val="RAB_ASRAMA_(7__D_)6"/>
      <sheetName val="RAB_R__MAKAN_(8)6"/>
      <sheetName val="RAB_GUEST_HOUSE_(9__A_)6"/>
      <sheetName val="RAB_GUEST_HOUSE_(9__B_)6"/>
      <sheetName val="2-Genset_print6"/>
      <sheetName val="BQ_&amp;_Harga6"/>
      <sheetName val="ANALIS_26"/>
      <sheetName val="ANALIS_16"/>
      <sheetName val="Fill_this_out_first___12"/>
      <sheetName val="BQ_(by_owner)6"/>
      <sheetName val="rab_me_(fisik)6"/>
      <sheetName val="rab_me_(by_owner)_6"/>
      <sheetName val="BoQ_Major_Item_6"/>
      <sheetName val="ANALISA_PEK_UMUM6"/>
      <sheetName val="RAW_MATERIALS_6"/>
      <sheetName val="Mat_Mek6"/>
      <sheetName val="Bill_of_Quantity_ws_6"/>
      <sheetName val="Harga_S_Dasar6"/>
      <sheetName val="ES_STG4"/>
      <sheetName val="PEKERJAAN_PERSIAPAN4"/>
      <sheetName val="Ans_Kom_Precast4"/>
      <sheetName val="UPAH_&amp;_BHN4"/>
      <sheetName val="Schedule_Yasmin6"/>
      <sheetName val="Schedule_Lingkar_Barat6"/>
      <sheetName val="Schedule_Daan_Mogot6"/>
      <sheetName val="COST-PERSON-J_O_6"/>
      <sheetName val="Bill_2_1_DW6"/>
      <sheetName val="Analisa_Harga6"/>
      <sheetName val="E_MedGas6"/>
      <sheetName val="Analisa___2_6"/>
      <sheetName val="Bill_No_2_1_Cold_Water_System6"/>
      <sheetName val="Metode_46"/>
      <sheetName val="Metode_86"/>
      <sheetName val="Metode_166"/>
      <sheetName val="Metode_116"/>
      <sheetName val="Metode_55"/>
      <sheetName val="Analisa_24"/>
      <sheetName val="An__Beton6"/>
      <sheetName val="Fire_Alarm6"/>
      <sheetName val="Cover_(WS)6"/>
      <sheetName val="Fire_Fighting6"/>
      <sheetName val="Fill_this_out_first___13"/>
      <sheetName val="ANALISA_GWT6"/>
      <sheetName val="ANALISA_DDG_KOLAM_&amp;_PLANTER6"/>
      <sheetName val="ANALISA_LAIN-LAIN6"/>
      <sheetName val="PLAT_&amp;_BALOK_TAMBAHAN6"/>
      <sheetName val="ANALISA_PONDASI6"/>
      <sheetName val="ANALISA_STP6"/>
      <sheetName val="ANALISA_PEK_TANAH6"/>
      <sheetName val="Memb_Schd6"/>
      <sheetName val="3__Plumbing6"/>
      <sheetName val="Tuk_Koef6"/>
      <sheetName val="4-Basic_Price4"/>
      <sheetName val="Bill_No_2_1_6"/>
      <sheetName val="Bill_2_76"/>
      <sheetName val="COST_SUMM6"/>
      <sheetName val="HARGA_ALAT6"/>
      <sheetName val="Cover_Daf-26"/>
      <sheetName val="DHS_AC4"/>
      <sheetName val="dia_pipe4"/>
      <sheetName val="D_806"/>
      <sheetName val="D_816"/>
      <sheetName val="D_826"/>
      <sheetName val="D_836"/>
      <sheetName val="D_846"/>
      <sheetName val="D_856"/>
      <sheetName val="D_866"/>
      <sheetName val="D_876"/>
      <sheetName val="D_886"/>
      <sheetName val="D_896"/>
      <sheetName val="D_916"/>
      <sheetName val="D_926"/>
      <sheetName val="D_936"/>
      <sheetName val="D_946"/>
      <sheetName val="D_956"/>
      <sheetName val="D_966"/>
      <sheetName val="Final_Summary4"/>
      <sheetName val="Bill_3_84"/>
      <sheetName val="Bill_3_74"/>
      <sheetName val="REKAP_PEMATANGAN4"/>
      <sheetName val="sat_das4"/>
      <sheetName val="Man_Power4"/>
      <sheetName val="UPH_BHN4"/>
      <sheetName val="an__struktur4"/>
      <sheetName val="Energy_Model4"/>
      <sheetName val="mat-me_pipa4"/>
      <sheetName val="PHU_054"/>
      <sheetName val="D_784"/>
      <sheetName val="D_794"/>
      <sheetName val="KODE_BAHAN4"/>
      <sheetName val="KODE_UPAH4"/>
      <sheetName val="INPUT_AGST4"/>
      <sheetName val="D3_4_34"/>
      <sheetName val="D3_4_44"/>
      <sheetName val="Bill_No_6_Koord_&amp;_Attendance4"/>
      <sheetName val="Master_Schedule4"/>
      <sheetName val="Input_Data4"/>
      <sheetName val="BOQ_24"/>
      <sheetName val="WF_4"/>
      <sheetName val="Daf_14"/>
      <sheetName val="BLOK_A4"/>
      <sheetName val="Pengalaman_Per4"/>
      <sheetName val="Grand_summary4"/>
      <sheetName val="GAs_Medis_4"/>
      <sheetName val="TOWER_D6"/>
      <sheetName val="H_Satuan4"/>
      <sheetName val="Analisa_-Baku4"/>
      <sheetName val="Rekap_Direct_Cost4"/>
      <sheetName val="Unit_Rates4"/>
      <sheetName val="Fee_-_Materials4"/>
      <sheetName val="B_-_Norelec4"/>
      <sheetName val="analisa_harga_satuan4"/>
      <sheetName val="PONDASI_PANCANG4"/>
      <sheetName val="Regulated_Tariff4"/>
      <sheetName val="D2_44"/>
      <sheetName val="D4_3_(TE)4"/>
      <sheetName val="D5_3_(TF)_4"/>
      <sheetName val="D8_3_(TJ)4"/>
      <sheetName val="A+Supl_"/>
      <sheetName val="ANS_ALAT4"/>
      <sheetName val="Ref__Vínculos4"/>
      <sheetName val="Basic_Price4"/>
      <sheetName val="03_BoQ_Architecture4"/>
      <sheetName val="REKAP_ANALISA_TO_PRINT4"/>
      <sheetName val="ANALISA_STRUKTUR_4"/>
      <sheetName val="ARP_10_2_BUL4"/>
      <sheetName val="[BQ-AC_xls]Inf®&quot;:wS("/>
      <sheetName val="H_DASAR4"/>
      <sheetName val="Perm__Test4"/>
      <sheetName val="Gudang_non_AC-AC_Struktur4"/>
      <sheetName val="Pintu-Jend_4"/>
      <sheetName val="BoQ_C44"/>
      <sheetName val="PENJUMLAHAN_TOTAL4"/>
      <sheetName val="Villa_A4"/>
      <sheetName val="KURVA_S4"/>
      <sheetName val="R_A_B14"/>
      <sheetName val="Analisa_&amp;_Upah4"/>
      <sheetName val="material_4"/>
      <sheetName val="H__Dasar4"/>
      <sheetName val="huruf_(2)4"/>
      <sheetName val="Dft_Harga4"/>
      <sheetName val="Header_Data"/>
      <sheetName val="sub-total_bag-7"/>
      <sheetName val="FAO_6"/>
      <sheetName val="FORMAT_FAO_6"/>
      <sheetName val="BACK_UP_VOL__RELOKASI4"/>
      <sheetName val="GASATAGG_XLS4"/>
      <sheetName val="Faktor_Markup"/>
      <sheetName val="HRG_BHN4"/>
      <sheetName val="R_A_B_4"/>
      <sheetName val="Master_Edit4"/>
      <sheetName val="_4"/>
      <sheetName val="Calc_4"/>
      <sheetName val="Produksi_&amp;_Scedule4"/>
      <sheetName val="Jual_Mtr_074"/>
      <sheetName val="Beli_Mtr_074"/>
      <sheetName val="Jual_Mtr_064"/>
      <sheetName val="Beli_Mtr_064"/>
      <sheetName val="HASAT_DASAR"/>
      <sheetName val="Rekap_"/>
      <sheetName val="Price_ARCH"/>
      <sheetName val="B-BLOW_14"/>
      <sheetName val="B-BLOW_24"/>
      <sheetName val="Ref__V�nculos"/>
      <sheetName val="OFFICE_2_LT"/>
      <sheetName val="Harsat_Elektrikal_4"/>
      <sheetName val="An_12"/>
      <sheetName val="An_32"/>
      <sheetName val="An_22"/>
      <sheetName val="REKAP_TOTAL"/>
      <sheetName val="330000_CABANG_VII"/>
      <sheetName val="Laba_JO"/>
      <sheetName val="310000_CABANG_V"/>
      <sheetName val="D_&amp;_WâwHe"/>
      <sheetName val="dinding_Spilway_lama3"/>
      <sheetName val="ANALISA_GSE"/>
      <sheetName val="REKAP_GSE_ROAD"/>
      <sheetName val="TH_XL"/>
      <sheetName val="TONGKE3p_"/>
      <sheetName val="CHITIET_VL_NC"/>
      <sheetName val="THPDMoi___2_"/>
      <sheetName val="t_h_HA_THE"/>
      <sheetName val="DON_GIA"/>
      <sheetName val="CHITIET_VL_NC_TT__1p"/>
      <sheetName val="dongia__2_"/>
      <sheetName val="CHITIET_VL_NC_TT_3p"/>
      <sheetName val="KPVC_BD_"/>
      <sheetName val="Satuan_Pek_"/>
      <sheetName val="DAF_ALAT"/>
      <sheetName val="Config(Dont_delete_this_sheet)"/>
      <sheetName val="Elect_(3)"/>
      <sheetName val="Data_Konsultan"/>
      <sheetName val="[BQ-AC_xls][BQ-AC_xls]Inf®&quot;:wS("/>
      <sheetName val="Rekap_AZBIL"/>
      <sheetName val="[BQ-AC_xls][BQ-AC_xls][BQ-AC_xl"/>
      <sheetName val="Bill_sipil"/>
      <sheetName val="head_Jan"/>
      <sheetName val="penawaran_baja"/>
      <sheetName val="Pos_4-1"/>
      <sheetName val="R_S_KELAS"/>
      <sheetName val="R_S_GSG"/>
      <sheetName val="TB_&amp;_PLAT_1"/>
      <sheetName val="BL_&amp;_PLAT_2"/>
      <sheetName val="BL_&amp;_PLAT_3"/>
      <sheetName val="BL_&amp;_PLAT_4"/>
      <sheetName val="BL_&amp;_PLAT_MEP"/>
      <sheetName val="ITEM_PEK"/>
      <sheetName val="ITEM_PEK_"/>
      <sheetName val="V_Din_POLNEP"/>
      <sheetName val="ATAP_(2)"/>
      <sheetName val="MASTER_DATA_STR"/>
      <sheetName val="V_Din_PH_(2)"/>
      <sheetName val="Ker__PH_(2)"/>
      <sheetName val="Cover_page"/>
      <sheetName val="WC___SG"/>
      <sheetName val="RAB_ARSITEKTUR_&amp;_struktur"/>
      <sheetName val="Kurv__S,_Skema_Bhn,_Alat,tenaga"/>
      <sheetName val="Customize_Your_Invoice"/>
      <sheetName val="HARGA_MATERIAL"/>
      <sheetName val="Summary_6_4"/>
      <sheetName val="Proj'n(Piping_Big_Crew)1"/>
      <sheetName val="BQ_List1"/>
      <sheetName val="Detail_Subcon_Status"/>
      <sheetName val="MP_MOB"/>
      <sheetName val="fin_pro_centers4"/>
      <sheetName val="Rencana_Anggaran_Biaya4"/>
      <sheetName val="Harga_Satuan4"/>
      <sheetName val="DIV_54"/>
      <sheetName val="DIV_64"/>
      <sheetName val="DIV_7_14"/>
      <sheetName val="ASMSI_54"/>
      <sheetName val="ASMSI_64"/>
      <sheetName val="ASMSI_74"/>
      <sheetName val="3_1_(1)4"/>
      <sheetName val="5_1(1)4"/>
      <sheetName val="5_1(2)4"/>
      <sheetName val="5_2(1)4"/>
      <sheetName val="Agg__Hls-Ksr4"/>
      <sheetName val="RAB_Gedung_Utama4"/>
      <sheetName val="MATERIAL_ANALISA"/>
      <sheetName val="Bill_1_-_9"/>
      <sheetName val="Bill_12"/>
      <sheetName val="Bill_10"/>
      <sheetName val="Anal_Alat_Type_II_A"/>
      <sheetName val="BOQ_-_ARS"/>
      <sheetName val="BCP_1"/>
      <sheetName val="Re-Mill_Building__"/>
      <sheetName val="Probbl_-_Production"/>
      <sheetName val="K_000"/>
      <sheetName val="SPK_(2)"/>
      <sheetName val="S_UPAH"/>
      <sheetName val="S_BAHAN"/>
      <sheetName val="Appendix_2(SatDas)"/>
      <sheetName val="610_07A"/>
      <sheetName val="Als_Struk"/>
      <sheetName val="10_1_(1)"/>
      <sheetName val="10_1_(2)"/>
      <sheetName val="10_1_(3)"/>
      <sheetName val="10_1_(4)"/>
      <sheetName val="10_1_(5)"/>
      <sheetName val="Lt__1_(A)"/>
      <sheetName val="RAB_G_ADM__PUSAT__1_"/>
      <sheetName val="RAB_R__GENSET___PANEL__10__"/>
      <sheetName val="RAB_R__DNS__PENGLL_T_54__11_A__"/>
      <sheetName val="RAB_R__DNS__PENGLL_T_54__11_B__"/>
      <sheetName val="RAB_R__DNS__PENGLL_T_54__11_C__"/>
      <sheetName val="RAB_R__DNS__PENGLL_T_70__12_A__"/>
      <sheetName val="RAB_R__DNS__PENGLL_T_70__12_B__"/>
      <sheetName val="RAB_R__DNS__PENGLL_T_70__12_C__"/>
      <sheetName val="RAB_SPORT_CLUB__14_"/>
      <sheetName val="RAB_MASJID___T_WUDLU__15_"/>
      <sheetName val="RAB_LOUNDRY___WORKSHOP__16_"/>
      <sheetName val="RAB_MINIMARKET___KANTIN__17__"/>
      <sheetName val="RAB_RMH__PENJAGA__18_"/>
      <sheetName val="RAB_POS_JAGA__19__A__"/>
      <sheetName val="RAB_POS_JAGA__19__B__"/>
      <sheetName val="RAB_R__POMPA__20_"/>
      <sheetName val="RAB_R__KELAS__2_A_"/>
      <sheetName val="RAB_R__KELAS__2_B_"/>
      <sheetName val="RAB_AULA_UTAMA__5_"/>
      <sheetName val="RAB_AULA_SEDANG__6_"/>
      <sheetName val="RAB_ASRAMA__7__B__"/>
      <sheetName val="RAB_ASRAMA__7__C__"/>
      <sheetName val="RAB_ASRAMA__7__D__"/>
      <sheetName val="RAB_R__MAKAN__8_"/>
      <sheetName val="RAB_GUEST_HOUSE__9__A__"/>
      <sheetName val="RAB_GUEST_HOUSE__9__B__"/>
      <sheetName val="LIST_(2)"/>
      <sheetName val="Sat_Bah_&amp;_Up"/>
      <sheetName val="ITB_COST"/>
      <sheetName val="Summary_Sheets"/>
      <sheetName val="nama_PT_"/>
      <sheetName val="Analisa_SNI"/>
      <sheetName val="Anls_FA_(Inst)"/>
      <sheetName val="H_Satuan_Dasar"/>
      <sheetName val="II_5"/>
      <sheetName val="inst_pemrintah"/>
      <sheetName val="Harga_Dasar"/>
      <sheetName val="Data_Pendukung"/>
      <sheetName val="R_A_B"/>
      <sheetName val="Harga_Bahan"/>
      <sheetName val="BILL_4"/>
      <sheetName val="Rekap-link"/>
      <sheetName val="AnProd"/>
      <sheetName val="Bill 2.3"/>
      <sheetName val="Bill 2.5B"/>
      <sheetName val="Bill 2.1"/>
      <sheetName val="UNITPRICE"/>
      <sheetName val="Direct Cost"/>
      <sheetName val="#REF"/>
      <sheetName val="RIDOUT"/>
      <sheetName val="p3Ros"/>
      <sheetName val="Analisa Baku ME"/>
      <sheetName val="Rekap Prelim"/>
      <sheetName val="Data Input"/>
      <sheetName val="Asumsi"/>
      <sheetName val="BUL"/>
      <sheetName val="_BQ-AC.xls_Inf®&quot;_wS("/>
      <sheetName val="COVER BASEMEN"/>
      <sheetName val="COVER PODIUM"/>
      <sheetName val="COVER APARTEMEN"/>
      <sheetName val="COVER HOTEL"/>
      <sheetName val="ub"/>
      <sheetName val="D.1.7"/>
      <sheetName val="D.1.5"/>
      <sheetName val="D.2.3"/>
      <sheetName val="D.2.2"/>
      <sheetName val="dwa-01"/>
      <sheetName val="LO"/>
      <sheetName val="SCH2"/>
      <sheetName val="Harsat Bahan"/>
      <sheetName val="Harsat Upah"/>
      <sheetName val="Sat Bah _ Up"/>
      <sheetName val="DAF-5"/>
      <sheetName val="Currency Rate"/>
      <sheetName val="TYPE A1"/>
      <sheetName val="a.h ars"/>
      <sheetName val="MB"/>
      <sheetName val="MAP-S"/>
      <sheetName val="Lamp. 3.Analisa"/>
      <sheetName val="Agg Halus &amp; Kasar"/>
      <sheetName val="DIV1"/>
      <sheetName val="Sheet3"/>
      <sheetName val="BOI+harga"/>
      <sheetName val="TJ1Q47"/>
      <sheetName val="M.Pekerjaan"/>
      <sheetName val="Jagorawi"/>
      <sheetName val="Galian 1"/>
      <sheetName val="compaction"/>
      <sheetName val="daf_3_OK_"/>
      <sheetName val="U.div.6"/>
      <sheetName val="Des-Penysut-Manager"/>
      <sheetName val="Database"/>
      <sheetName val="DSBD_x000c_"/>
      <sheetName val="DSBD_x0000_"/>
      <sheetName val="ALS5"/>
      <sheetName val="ALS3"/>
      <sheetName val="ALS4"/>
      <sheetName val="ALS1"/>
      <sheetName val="_BQ-AC.xls__BQ-AC.xls_Inf®&quot;_wS("/>
      <sheetName val="Income S"/>
      <sheetName val="balance sheet"/>
      <sheetName val="Deep Well"/>
      <sheetName val="Pek Luar"/>
      <sheetName val="Mall"/>
      <sheetName val="Parkir"/>
      <sheetName val="ANHAS"/>
      <sheetName val="AI"/>
      <sheetName val="KH Bahagia"/>
      <sheetName val="anal-drainase,tanah&amp;ps batu"/>
      <sheetName val="anal-beton"/>
      <sheetName val="anal-mos"/>
      <sheetName val="CASHdi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sheetData sheetId="543">
        <row r="342">
          <cell r="K342">
            <v>1092.3399999999997</v>
          </cell>
        </row>
      </sheetData>
      <sheetData sheetId="544">
        <row r="23">
          <cell r="N23">
            <v>28.799999999999997</v>
          </cell>
        </row>
      </sheetData>
      <sheetData sheetId="545">
        <row r="23">
          <cell r="N23">
            <v>28.799999999999997</v>
          </cell>
        </row>
      </sheetData>
      <sheetData sheetId="546">
        <row r="23">
          <cell r="N23">
            <v>28.799999999999997</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ow r="342">
          <cell r="K342">
            <v>1092.3399999999997</v>
          </cell>
        </row>
      </sheetData>
      <sheetData sheetId="562">
        <row r="23">
          <cell r="N23">
            <v>28.799999999999997</v>
          </cell>
        </row>
      </sheetData>
      <sheetData sheetId="563">
        <row r="23">
          <cell r="N23">
            <v>28.799999999999997</v>
          </cell>
        </row>
      </sheetData>
      <sheetData sheetId="564">
        <row r="23">
          <cell r="N23">
            <v>28.799999999999997</v>
          </cell>
        </row>
      </sheetData>
      <sheetData sheetId="565"/>
      <sheetData sheetId="566">
        <row r="342">
          <cell r="K342">
            <v>1092.3399999999997</v>
          </cell>
        </row>
      </sheetData>
      <sheetData sheetId="567">
        <row r="23">
          <cell r="N23">
            <v>28.799999999999997</v>
          </cell>
        </row>
      </sheetData>
      <sheetData sheetId="568">
        <row r="23">
          <cell r="N23">
            <v>28.799999999999997</v>
          </cell>
        </row>
      </sheetData>
      <sheetData sheetId="569">
        <row r="23">
          <cell r="N23">
            <v>28.799999999999997</v>
          </cell>
        </row>
      </sheetData>
      <sheetData sheetId="570"/>
      <sheetData sheetId="571">
        <row r="342">
          <cell r="K342">
            <v>1092.3399999999997</v>
          </cell>
        </row>
      </sheetData>
      <sheetData sheetId="572">
        <row r="23">
          <cell r="N23">
            <v>28.799999999999997</v>
          </cell>
        </row>
      </sheetData>
      <sheetData sheetId="573">
        <row r="23">
          <cell r="N23">
            <v>28.799999999999997</v>
          </cell>
        </row>
      </sheetData>
      <sheetData sheetId="574">
        <row r="23">
          <cell r="N23">
            <v>28.799999999999997</v>
          </cell>
        </row>
      </sheetData>
      <sheetData sheetId="575"/>
      <sheetData sheetId="576"/>
      <sheetData sheetId="577"/>
      <sheetData sheetId="578"/>
      <sheetData sheetId="579"/>
      <sheetData sheetId="580"/>
      <sheetData sheetId="581"/>
      <sheetData sheetId="582"/>
      <sheetData sheetId="583"/>
      <sheetData sheetId="584">
        <row r="342">
          <cell r="K342">
            <v>1092.3399999999997</v>
          </cell>
        </row>
      </sheetData>
      <sheetData sheetId="585">
        <row r="23">
          <cell r="N23">
            <v>28.799999999999997</v>
          </cell>
        </row>
      </sheetData>
      <sheetData sheetId="586">
        <row r="23">
          <cell r="N23">
            <v>28.799999999999997</v>
          </cell>
        </row>
      </sheetData>
      <sheetData sheetId="587">
        <row r="23">
          <cell r="N23">
            <v>28.799999999999997</v>
          </cell>
        </row>
      </sheetData>
      <sheetData sheetId="588"/>
      <sheetData sheetId="589">
        <row r="342">
          <cell r="K342">
            <v>1092.3399999999997</v>
          </cell>
        </row>
      </sheetData>
      <sheetData sheetId="590">
        <row r="23">
          <cell r="N23">
            <v>28.799999999999997</v>
          </cell>
        </row>
      </sheetData>
      <sheetData sheetId="591">
        <row r="23">
          <cell r="N23">
            <v>28.799999999999997</v>
          </cell>
        </row>
      </sheetData>
      <sheetData sheetId="592">
        <row r="23">
          <cell r="N23">
            <v>28.799999999999997</v>
          </cell>
        </row>
      </sheetData>
      <sheetData sheetId="593"/>
      <sheetData sheetId="594">
        <row r="342">
          <cell r="K342">
            <v>1092.3399999999997</v>
          </cell>
        </row>
      </sheetData>
      <sheetData sheetId="595">
        <row r="23">
          <cell r="N23">
            <v>28.799999999999997</v>
          </cell>
        </row>
      </sheetData>
      <sheetData sheetId="596">
        <row r="23">
          <cell r="N23">
            <v>28.799999999999997</v>
          </cell>
        </row>
      </sheetData>
      <sheetData sheetId="597">
        <row r="23">
          <cell r="N23">
            <v>28.799999999999997</v>
          </cell>
        </row>
      </sheetData>
      <sheetData sheetId="598">
        <row r="23">
          <cell r="N23">
            <v>28.799999999999997</v>
          </cell>
        </row>
      </sheetData>
      <sheetData sheetId="599"/>
      <sheetData sheetId="600">
        <row r="23">
          <cell r="N23">
            <v>28.799999999999997</v>
          </cell>
        </row>
      </sheetData>
      <sheetData sheetId="601">
        <row r="23">
          <cell r="N23">
            <v>28.799999999999997</v>
          </cell>
        </row>
      </sheetData>
      <sheetData sheetId="602">
        <row r="23">
          <cell r="N23">
            <v>28.799999999999997</v>
          </cell>
        </row>
      </sheetData>
      <sheetData sheetId="603">
        <row r="23">
          <cell r="N23">
            <v>28.799999999999997</v>
          </cell>
        </row>
      </sheetData>
      <sheetData sheetId="604">
        <row r="23">
          <cell r="N23">
            <v>28.799999999999997</v>
          </cell>
        </row>
      </sheetData>
      <sheetData sheetId="605">
        <row r="23">
          <cell r="N23">
            <v>28.799999999999997</v>
          </cell>
        </row>
      </sheetData>
      <sheetData sheetId="606">
        <row r="23">
          <cell r="N23">
            <v>28.799999999999997</v>
          </cell>
        </row>
      </sheetData>
      <sheetData sheetId="607">
        <row r="23">
          <cell r="N23">
            <v>28.799999999999997</v>
          </cell>
        </row>
      </sheetData>
      <sheetData sheetId="608">
        <row r="23">
          <cell r="N23">
            <v>28.799999999999997</v>
          </cell>
        </row>
      </sheetData>
      <sheetData sheetId="609">
        <row r="23">
          <cell r="N23">
            <v>28.799999999999997</v>
          </cell>
        </row>
      </sheetData>
      <sheetData sheetId="610">
        <row r="23">
          <cell r="N23">
            <v>28.799999999999997</v>
          </cell>
        </row>
      </sheetData>
      <sheetData sheetId="611">
        <row r="23">
          <cell r="N23">
            <v>28.799999999999997</v>
          </cell>
        </row>
      </sheetData>
      <sheetData sheetId="612">
        <row r="23">
          <cell r="N23">
            <v>28.799999999999997</v>
          </cell>
        </row>
      </sheetData>
      <sheetData sheetId="613">
        <row r="23">
          <cell r="N23">
            <v>28.799999999999997</v>
          </cell>
        </row>
      </sheetData>
      <sheetData sheetId="614">
        <row r="23">
          <cell r="N23">
            <v>28.799999999999997</v>
          </cell>
        </row>
      </sheetData>
      <sheetData sheetId="615">
        <row r="23">
          <cell r="N23">
            <v>28.799999999999997</v>
          </cell>
        </row>
      </sheetData>
      <sheetData sheetId="616"/>
      <sheetData sheetId="617">
        <row r="342">
          <cell r="K342">
            <v>1092.3399999999997</v>
          </cell>
        </row>
      </sheetData>
      <sheetData sheetId="618">
        <row r="23">
          <cell r="N23">
            <v>28.799999999999997</v>
          </cell>
        </row>
      </sheetData>
      <sheetData sheetId="619">
        <row r="23">
          <cell r="N23">
            <v>28.799999999999997</v>
          </cell>
        </row>
      </sheetData>
      <sheetData sheetId="620">
        <row r="23">
          <cell r="N23">
            <v>28.799999999999997</v>
          </cell>
        </row>
      </sheetData>
      <sheetData sheetId="621">
        <row r="23">
          <cell r="N23">
            <v>28.799999999999997</v>
          </cell>
        </row>
      </sheetData>
      <sheetData sheetId="622">
        <row r="23">
          <cell r="N23">
            <v>28.799999999999997</v>
          </cell>
        </row>
      </sheetData>
      <sheetData sheetId="623">
        <row r="23">
          <cell r="N23">
            <v>28.799999999999997</v>
          </cell>
        </row>
      </sheetData>
      <sheetData sheetId="624">
        <row r="23">
          <cell r="N23">
            <v>28.799999999999997</v>
          </cell>
        </row>
      </sheetData>
      <sheetData sheetId="625">
        <row r="23">
          <cell r="N23">
            <v>28.799999999999997</v>
          </cell>
        </row>
      </sheetData>
      <sheetData sheetId="626">
        <row r="23">
          <cell r="N23">
            <v>28.799999999999997</v>
          </cell>
        </row>
      </sheetData>
      <sheetData sheetId="627">
        <row r="23">
          <cell r="N23">
            <v>28.799999999999997</v>
          </cell>
        </row>
      </sheetData>
      <sheetData sheetId="628"/>
      <sheetData sheetId="629"/>
      <sheetData sheetId="630">
        <row r="23">
          <cell r="N23">
            <v>28.799999999999997</v>
          </cell>
        </row>
      </sheetData>
      <sheetData sheetId="631">
        <row r="23">
          <cell r="N23">
            <v>28.799999999999997</v>
          </cell>
        </row>
      </sheetData>
      <sheetData sheetId="632"/>
      <sheetData sheetId="633"/>
      <sheetData sheetId="634">
        <row r="23">
          <cell r="N23">
            <v>28.799999999999997</v>
          </cell>
        </row>
      </sheetData>
      <sheetData sheetId="635">
        <row r="23">
          <cell r="N23">
            <v>28.799999999999997</v>
          </cell>
        </row>
      </sheetData>
      <sheetData sheetId="636"/>
      <sheetData sheetId="637">
        <row r="23">
          <cell r="N23">
            <v>28.799999999999997</v>
          </cell>
        </row>
      </sheetData>
      <sheetData sheetId="638">
        <row r="23">
          <cell r="N23">
            <v>28.799999999999997</v>
          </cell>
        </row>
      </sheetData>
      <sheetData sheetId="639">
        <row r="23">
          <cell r="N23">
            <v>28.799999999999997</v>
          </cell>
        </row>
      </sheetData>
      <sheetData sheetId="640">
        <row r="23">
          <cell r="N23">
            <v>28.799999999999997</v>
          </cell>
        </row>
      </sheetData>
      <sheetData sheetId="641"/>
      <sheetData sheetId="642" refreshError="1"/>
      <sheetData sheetId="643" refreshError="1"/>
      <sheetData sheetId="644"/>
      <sheetData sheetId="645"/>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row r="23">
          <cell r="N23">
            <v>28.799999999999997</v>
          </cell>
        </row>
      </sheetData>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ow r="23">
          <cell r="N23">
            <v>28.799999999999997</v>
          </cell>
        </row>
      </sheetData>
      <sheetData sheetId="694"/>
      <sheetData sheetId="695">
        <row r="23">
          <cell r="N23">
            <v>28.799999999999997</v>
          </cell>
        </row>
      </sheetData>
      <sheetData sheetId="696">
        <row r="23">
          <cell r="N23">
            <v>28.799999999999997</v>
          </cell>
        </row>
      </sheetData>
      <sheetData sheetId="697">
        <row r="23">
          <cell r="N23">
            <v>28.799999999999997</v>
          </cell>
        </row>
      </sheetData>
      <sheetData sheetId="698"/>
      <sheetData sheetId="699"/>
      <sheetData sheetId="700"/>
      <sheetData sheetId="701"/>
      <sheetData sheetId="702"/>
      <sheetData sheetId="703"/>
      <sheetData sheetId="704"/>
      <sheetData sheetId="705">
        <row r="23">
          <cell r="N23">
            <v>28.799999999999997</v>
          </cell>
        </row>
      </sheetData>
      <sheetData sheetId="706">
        <row r="23">
          <cell r="N23">
            <v>28.799999999999997</v>
          </cell>
        </row>
      </sheetData>
      <sheetData sheetId="707"/>
      <sheetData sheetId="708"/>
      <sheetData sheetId="709"/>
      <sheetData sheetId="710"/>
      <sheetData sheetId="711"/>
      <sheetData sheetId="712"/>
      <sheetData sheetId="713">
        <row r="23">
          <cell r="N23">
            <v>28.799999999999997</v>
          </cell>
        </row>
      </sheetData>
      <sheetData sheetId="714">
        <row r="23">
          <cell r="N23">
            <v>28.799999999999997</v>
          </cell>
        </row>
      </sheetData>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sheetData sheetId="845"/>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ow r="23">
          <cell r="N23">
            <v>28.799999999999997</v>
          </cell>
        </row>
      </sheetData>
      <sheetData sheetId="901">
        <row r="23">
          <cell r="N23">
            <v>28.799999999999997</v>
          </cell>
        </row>
      </sheetData>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ow r="23">
          <cell r="N23">
            <v>28.799999999999997</v>
          </cell>
        </row>
      </sheetData>
      <sheetData sheetId="956">
        <row r="23">
          <cell r="N23">
            <v>28.799999999999997</v>
          </cell>
        </row>
      </sheetData>
      <sheetData sheetId="957">
        <row r="23">
          <cell r="N23">
            <v>28.799999999999997</v>
          </cell>
        </row>
      </sheetData>
      <sheetData sheetId="958">
        <row r="23">
          <cell r="N23">
            <v>28.799999999999997</v>
          </cell>
        </row>
      </sheetData>
      <sheetData sheetId="959">
        <row r="23">
          <cell r="N23">
            <v>28.799999999999997</v>
          </cell>
        </row>
      </sheetData>
      <sheetData sheetId="960">
        <row r="23">
          <cell r="N23">
            <v>28.799999999999997</v>
          </cell>
        </row>
      </sheetData>
      <sheetData sheetId="961">
        <row r="23">
          <cell r="N23">
            <v>28.799999999999997</v>
          </cell>
        </row>
      </sheetData>
      <sheetData sheetId="962">
        <row r="23">
          <cell r="N23">
            <v>28.799999999999997</v>
          </cell>
        </row>
      </sheetData>
      <sheetData sheetId="963">
        <row r="23">
          <cell r="N23">
            <v>28.799999999999997</v>
          </cell>
        </row>
      </sheetData>
      <sheetData sheetId="964">
        <row r="23">
          <cell r="N23">
            <v>28.799999999999997</v>
          </cell>
        </row>
      </sheetData>
      <sheetData sheetId="965">
        <row r="23">
          <cell r="N23">
            <v>28.799999999999997</v>
          </cell>
        </row>
      </sheetData>
      <sheetData sheetId="966">
        <row r="23">
          <cell r="N23">
            <v>28.799999999999997</v>
          </cell>
        </row>
      </sheetData>
      <sheetData sheetId="967">
        <row r="23">
          <cell r="N23">
            <v>28.799999999999997</v>
          </cell>
        </row>
      </sheetData>
      <sheetData sheetId="968">
        <row r="23">
          <cell r="N23">
            <v>28.799999999999997</v>
          </cell>
        </row>
      </sheetData>
      <sheetData sheetId="969">
        <row r="23">
          <cell r="N23">
            <v>28.799999999999997</v>
          </cell>
        </row>
      </sheetData>
      <sheetData sheetId="970">
        <row r="23">
          <cell r="N23">
            <v>28.799999999999997</v>
          </cell>
        </row>
      </sheetData>
      <sheetData sheetId="971">
        <row r="23">
          <cell r="N23">
            <v>28.799999999999997</v>
          </cell>
        </row>
      </sheetData>
      <sheetData sheetId="972">
        <row r="23">
          <cell r="N23">
            <v>28.799999999999997</v>
          </cell>
        </row>
      </sheetData>
      <sheetData sheetId="973">
        <row r="23">
          <cell r="N23">
            <v>28.799999999999997</v>
          </cell>
        </row>
      </sheetData>
      <sheetData sheetId="974">
        <row r="23">
          <cell r="N23">
            <v>28.799999999999997</v>
          </cell>
        </row>
      </sheetData>
      <sheetData sheetId="975">
        <row r="23">
          <cell r="N23">
            <v>28.799999999999997</v>
          </cell>
        </row>
      </sheetData>
      <sheetData sheetId="976">
        <row r="23">
          <cell r="N23">
            <v>28.799999999999997</v>
          </cell>
        </row>
      </sheetData>
      <sheetData sheetId="977">
        <row r="23">
          <cell r="N23">
            <v>28.799999999999997</v>
          </cell>
        </row>
      </sheetData>
      <sheetData sheetId="978">
        <row r="23">
          <cell r="N23">
            <v>28.799999999999997</v>
          </cell>
        </row>
      </sheetData>
      <sheetData sheetId="979">
        <row r="23">
          <cell r="N23">
            <v>28.799999999999997</v>
          </cell>
        </row>
      </sheetData>
      <sheetData sheetId="980">
        <row r="23">
          <cell r="N23">
            <v>28.799999999999997</v>
          </cell>
        </row>
      </sheetData>
      <sheetData sheetId="981">
        <row r="23">
          <cell r="N23">
            <v>28.799999999999997</v>
          </cell>
        </row>
      </sheetData>
      <sheetData sheetId="982">
        <row r="23">
          <cell r="N23">
            <v>28.799999999999997</v>
          </cell>
        </row>
      </sheetData>
      <sheetData sheetId="983">
        <row r="23">
          <cell r="N23">
            <v>28.799999999999997</v>
          </cell>
        </row>
      </sheetData>
      <sheetData sheetId="984">
        <row r="23">
          <cell r="N23">
            <v>28.799999999999997</v>
          </cell>
        </row>
      </sheetData>
      <sheetData sheetId="985">
        <row r="23">
          <cell r="N23">
            <v>28.799999999999997</v>
          </cell>
        </row>
      </sheetData>
      <sheetData sheetId="986">
        <row r="23">
          <cell r="N23">
            <v>28.799999999999997</v>
          </cell>
        </row>
      </sheetData>
      <sheetData sheetId="987">
        <row r="23">
          <cell r="N23">
            <v>28.799999999999997</v>
          </cell>
        </row>
      </sheetData>
      <sheetData sheetId="988">
        <row r="23">
          <cell r="N23">
            <v>28.799999999999997</v>
          </cell>
        </row>
      </sheetData>
      <sheetData sheetId="989">
        <row r="23">
          <cell r="N23">
            <v>28.799999999999997</v>
          </cell>
        </row>
      </sheetData>
      <sheetData sheetId="990">
        <row r="23">
          <cell r="N23">
            <v>28.799999999999997</v>
          </cell>
        </row>
      </sheetData>
      <sheetData sheetId="991">
        <row r="23">
          <cell r="N23">
            <v>28.799999999999997</v>
          </cell>
        </row>
      </sheetData>
      <sheetData sheetId="992">
        <row r="23">
          <cell r="N23">
            <v>28.799999999999997</v>
          </cell>
        </row>
      </sheetData>
      <sheetData sheetId="993">
        <row r="23">
          <cell r="N23">
            <v>28.799999999999997</v>
          </cell>
        </row>
      </sheetData>
      <sheetData sheetId="994">
        <row r="23">
          <cell r="N23">
            <v>28.799999999999997</v>
          </cell>
        </row>
      </sheetData>
      <sheetData sheetId="995">
        <row r="23">
          <cell r="N23">
            <v>28.799999999999997</v>
          </cell>
        </row>
      </sheetData>
      <sheetData sheetId="996">
        <row r="23">
          <cell r="N23">
            <v>28.799999999999997</v>
          </cell>
        </row>
      </sheetData>
      <sheetData sheetId="997">
        <row r="23">
          <cell r="N23">
            <v>28.799999999999997</v>
          </cell>
        </row>
      </sheetData>
      <sheetData sheetId="998">
        <row r="23">
          <cell r="N23">
            <v>28.799999999999997</v>
          </cell>
        </row>
      </sheetData>
      <sheetData sheetId="999">
        <row r="23">
          <cell r="N23">
            <v>28.799999999999997</v>
          </cell>
        </row>
      </sheetData>
      <sheetData sheetId="1000">
        <row r="23">
          <cell r="N23">
            <v>28.799999999999997</v>
          </cell>
        </row>
      </sheetData>
      <sheetData sheetId="1001">
        <row r="23">
          <cell r="N23">
            <v>28.799999999999997</v>
          </cell>
        </row>
      </sheetData>
      <sheetData sheetId="1002">
        <row r="23">
          <cell r="N23">
            <v>28.799999999999997</v>
          </cell>
        </row>
      </sheetData>
      <sheetData sheetId="1003">
        <row r="23">
          <cell r="N23">
            <v>28.799999999999997</v>
          </cell>
        </row>
      </sheetData>
      <sheetData sheetId="1004">
        <row r="23">
          <cell r="N23">
            <v>28.799999999999997</v>
          </cell>
        </row>
      </sheetData>
      <sheetData sheetId="1005">
        <row r="23">
          <cell r="N23">
            <v>28.799999999999997</v>
          </cell>
        </row>
      </sheetData>
      <sheetData sheetId="1006">
        <row r="23">
          <cell r="N23">
            <v>28.799999999999997</v>
          </cell>
        </row>
      </sheetData>
      <sheetData sheetId="1007">
        <row r="23">
          <cell r="N23">
            <v>28.799999999999997</v>
          </cell>
        </row>
      </sheetData>
      <sheetData sheetId="1008">
        <row r="23">
          <cell r="N23">
            <v>28.799999999999997</v>
          </cell>
        </row>
      </sheetData>
      <sheetData sheetId="1009">
        <row r="23">
          <cell r="N23">
            <v>28.799999999999997</v>
          </cell>
        </row>
      </sheetData>
      <sheetData sheetId="1010">
        <row r="23">
          <cell r="N23">
            <v>28.799999999999997</v>
          </cell>
        </row>
      </sheetData>
      <sheetData sheetId="1011">
        <row r="23">
          <cell r="N23">
            <v>28.799999999999997</v>
          </cell>
        </row>
      </sheetData>
      <sheetData sheetId="1012">
        <row r="23">
          <cell r="N23">
            <v>28.799999999999997</v>
          </cell>
        </row>
      </sheetData>
      <sheetData sheetId="1013">
        <row r="23">
          <cell r="N23">
            <v>28.799999999999997</v>
          </cell>
        </row>
      </sheetData>
      <sheetData sheetId="1014">
        <row r="23">
          <cell r="N23">
            <v>28.799999999999997</v>
          </cell>
        </row>
      </sheetData>
      <sheetData sheetId="1015">
        <row r="23">
          <cell r="N23">
            <v>28.799999999999997</v>
          </cell>
        </row>
      </sheetData>
      <sheetData sheetId="1016">
        <row r="23">
          <cell r="N23">
            <v>28.799999999999997</v>
          </cell>
        </row>
      </sheetData>
      <sheetData sheetId="1017">
        <row r="23">
          <cell r="N23">
            <v>28.799999999999997</v>
          </cell>
        </row>
      </sheetData>
      <sheetData sheetId="1018">
        <row r="23">
          <cell r="N23">
            <v>28.799999999999997</v>
          </cell>
        </row>
      </sheetData>
      <sheetData sheetId="1019">
        <row r="23">
          <cell r="N23">
            <v>28.799999999999997</v>
          </cell>
        </row>
      </sheetData>
      <sheetData sheetId="1020">
        <row r="23">
          <cell r="N23">
            <v>28.799999999999997</v>
          </cell>
        </row>
      </sheetData>
      <sheetData sheetId="1021">
        <row r="23">
          <cell r="N23">
            <v>28.799999999999997</v>
          </cell>
        </row>
      </sheetData>
      <sheetData sheetId="1022">
        <row r="23">
          <cell r="N23">
            <v>28.799999999999997</v>
          </cell>
        </row>
      </sheetData>
      <sheetData sheetId="1023">
        <row r="23">
          <cell r="N23">
            <v>28.799999999999997</v>
          </cell>
        </row>
      </sheetData>
      <sheetData sheetId="1024">
        <row r="23">
          <cell r="N23">
            <v>28.799999999999997</v>
          </cell>
        </row>
      </sheetData>
      <sheetData sheetId="1025">
        <row r="23">
          <cell r="N23">
            <v>28.799999999999997</v>
          </cell>
        </row>
      </sheetData>
      <sheetData sheetId="1026">
        <row r="23">
          <cell r="N23">
            <v>28.799999999999997</v>
          </cell>
        </row>
      </sheetData>
      <sheetData sheetId="1027">
        <row r="23">
          <cell r="N23">
            <v>28.799999999999997</v>
          </cell>
        </row>
      </sheetData>
      <sheetData sheetId="1028">
        <row r="23">
          <cell r="N23">
            <v>28.799999999999997</v>
          </cell>
        </row>
      </sheetData>
      <sheetData sheetId="1029">
        <row r="23">
          <cell r="N23">
            <v>28.799999999999997</v>
          </cell>
        </row>
      </sheetData>
      <sheetData sheetId="1030">
        <row r="23">
          <cell r="N23">
            <v>28.799999999999997</v>
          </cell>
        </row>
      </sheetData>
      <sheetData sheetId="1031">
        <row r="23">
          <cell r="N23">
            <v>28.799999999999997</v>
          </cell>
        </row>
      </sheetData>
      <sheetData sheetId="1032">
        <row r="23">
          <cell r="N23">
            <v>28.799999999999997</v>
          </cell>
        </row>
      </sheetData>
      <sheetData sheetId="1033">
        <row r="23">
          <cell r="N23">
            <v>28.799999999999997</v>
          </cell>
        </row>
      </sheetData>
      <sheetData sheetId="1034">
        <row r="23">
          <cell r="N23">
            <v>28.799999999999997</v>
          </cell>
        </row>
      </sheetData>
      <sheetData sheetId="1035">
        <row r="23">
          <cell r="N23">
            <v>28.799999999999997</v>
          </cell>
        </row>
      </sheetData>
      <sheetData sheetId="1036">
        <row r="23">
          <cell r="N23">
            <v>28.799999999999997</v>
          </cell>
        </row>
      </sheetData>
      <sheetData sheetId="1037">
        <row r="23">
          <cell r="N23">
            <v>28.799999999999997</v>
          </cell>
        </row>
      </sheetData>
      <sheetData sheetId="1038">
        <row r="23">
          <cell r="N23">
            <v>28.799999999999997</v>
          </cell>
        </row>
      </sheetData>
      <sheetData sheetId="1039">
        <row r="23">
          <cell r="N23">
            <v>28.799999999999997</v>
          </cell>
        </row>
      </sheetData>
      <sheetData sheetId="1040">
        <row r="23">
          <cell r="N23">
            <v>28.799999999999997</v>
          </cell>
        </row>
      </sheetData>
      <sheetData sheetId="1041">
        <row r="23">
          <cell r="N23">
            <v>28.799999999999997</v>
          </cell>
        </row>
      </sheetData>
      <sheetData sheetId="1042">
        <row r="23">
          <cell r="N23">
            <v>28.799999999999997</v>
          </cell>
        </row>
      </sheetData>
      <sheetData sheetId="1043">
        <row r="23">
          <cell r="N23">
            <v>28.799999999999997</v>
          </cell>
        </row>
      </sheetData>
      <sheetData sheetId="1044">
        <row r="23">
          <cell r="N23">
            <v>28.799999999999997</v>
          </cell>
        </row>
      </sheetData>
      <sheetData sheetId="1045">
        <row r="23">
          <cell r="N23">
            <v>28.799999999999997</v>
          </cell>
        </row>
      </sheetData>
      <sheetData sheetId="1046">
        <row r="23">
          <cell r="N23">
            <v>28.799999999999997</v>
          </cell>
        </row>
      </sheetData>
      <sheetData sheetId="1047">
        <row r="23">
          <cell r="N23">
            <v>28.799999999999997</v>
          </cell>
        </row>
      </sheetData>
      <sheetData sheetId="1048">
        <row r="23">
          <cell r="N23">
            <v>28.799999999999997</v>
          </cell>
        </row>
      </sheetData>
      <sheetData sheetId="1049">
        <row r="23">
          <cell r="N23">
            <v>28.799999999999997</v>
          </cell>
        </row>
      </sheetData>
      <sheetData sheetId="1050">
        <row r="23">
          <cell r="N23">
            <v>28.799999999999997</v>
          </cell>
        </row>
      </sheetData>
      <sheetData sheetId="1051">
        <row r="23">
          <cell r="N23">
            <v>28.799999999999997</v>
          </cell>
        </row>
      </sheetData>
      <sheetData sheetId="1052">
        <row r="23">
          <cell r="N23">
            <v>28.799999999999997</v>
          </cell>
        </row>
      </sheetData>
      <sheetData sheetId="1053">
        <row r="23">
          <cell r="N23">
            <v>28.799999999999997</v>
          </cell>
        </row>
      </sheetData>
      <sheetData sheetId="1054">
        <row r="23">
          <cell r="N23">
            <v>28.799999999999997</v>
          </cell>
        </row>
      </sheetData>
      <sheetData sheetId="1055">
        <row r="23">
          <cell r="N23">
            <v>28.799999999999997</v>
          </cell>
        </row>
      </sheetData>
      <sheetData sheetId="1056">
        <row r="23">
          <cell r="N23">
            <v>28.799999999999997</v>
          </cell>
        </row>
      </sheetData>
      <sheetData sheetId="1057">
        <row r="23">
          <cell r="N23">
            <v>28.799999999999997</v>
          </cell>
        </row>
      </sheetData>
      <sheetData sheetId="1058">
        <row r="23">
          <cell r="N23">
            <v>28.799999999999997</v>
          </cell>
        </row>
      </sheetData>
      <sheetData sheetId="1059">
        <row r="23">
          <cell r="N23">
            <v>28.799999999999997</v>
          </cell>
        </row>
      </sheetData>
      <sheetData sheetId="1060">
        <row r="23">
          <cell r="N23">
            <v>28.799999999999997</v>
          </cell>
        </row>
      </sheetData>
      <sheetData sheetId="1061">
        <row r="23">
          <cell r="N23">
            <v>28.799999999999997</v>
          </cell>
        </row>
      </sheetData>
      <sheetData sheetId="1062">
        <row r="23">
          <cell r="N23">
            <v>28.799999999999997</v>
          </cell>
        </row>
      </sheetData>
      <sheetData sheetId="1063">
        <row r="23">
          <cell r="N23">
            <v>28.799999999999997</v>
          </cell>
        </row>
      </sheetData>
      <sheetData sheetId="1064">
        <row r="23">
          <cell r="N23">
            <v>28.799999999999997</v>
          </cell>
        </row>
      </sheetData>
      <sheetData sheetId="1065">
        <row r="23">
          <cell r="N23">
            <v>28.799999999999997</v>
          </cell>
        </row>
      </sheetData>
      <sheetData sheetId="1066">
        <row r="23">
          <cell r="N23">
            <v>28.799999999999997</v>
          </cell>
        </row>
      </sheetData>
      <sheetData sheetId="1067">
        <row r="23">
          <cell r="N23">
            <v>28.799999999999997</v>
          </cell>
        </row>
      </sheetData>
      <sheetData sheetId="1068">
        <row r="23">
          <cell r="N23">
            <v>28.799999999999997</v>
          </cell>
        </row>
      </sheetData>
      <sheetData sheetId="1069">
        <row r="23">
          <cell r="N23">
            <v>28.799999999999997</v>
          </cell>
        </row>
      </sheetData>
      <sheetData sheetId="1070">
        <row r="23">
          <cell r="N23">
            <v>28.799999999999997</v>
          </cell>
        </row>
      </sheetData>
      <sheetData sheetId="1071">
        <row r="23">
          <cell r="N23">
            <v>28.799999999999997</v>
          </cell>
        </row>
      </sheetData>
      <sheetData sheetId="1072">
        <row r="23">
          <cell r="N23">
            <v>28.799999999999997</v>
          </cell>
        </row>
      </sheetData>
      <sheetData sheetId="1073">
        <row r="23">
          <cell r="N23">
            <v>28.799999999999997</v>
          </cell>
        </row>
      </sheetData>
      <sheetData sheetId="1074">
        <row r="23">
          <cell r="N23">
            <v>28.799999999999997</v>
          </cell>
        </row>
      </sheetData>
      <sheetData sheetId="1075">
        <row r="23">
          <cell r="N23">
            <v>28.799999999999997</v>
          </cell>
        </row>
      </sheetData>
      <sheetData sheetId="1076">
        <row r="23">
          <cell r="N23">
            <v>28.799999999999997</v>
          </cell>
        </row>
      </sheetData>
      <sheetData sheetId="1077">
        <row r="23">
          <cell r="N23">
            <v>28.799999999999997</v>
          </cell>
        </row>
      </sheetData>
      <sheetData sheetId="1078">
        <row r="23">
          <cell r="N23">
            <v>28.799999999999997</v>
          </cell>
        </row>
      </sheetData>
      <sheetData sheetId="1079">
        <row r="23">
          <cell r="N23">
            <v>28.799999999999997</v>
          </cell>
        </row>
      </sheetData>
      <sheetData sheetId="1080">
        <row r="23">
          <cell r="N23">
            <v>28.799999999999997</v>
          </cell>
        </row>
      </sheetData>
      <sheetData sheetId="1081">
        <row r="23">
          <cell r="N23">
            <v>28.799999999999997</v>
          </cell>
        </row>
      </sheetData>
      <sheetData sheetId="1082">
        <row r="23">
          <cell r="N23">
            <v>28.799999999999997</v>
          </cell>
        </row>
      </sheetData>
      <sheetData sheetId="1083">
        <row r="23">
          <cell r="N23">
            <v>28.799999999999997</v>
          </cell>
        </row>
      </sheetData>
      <sheetData sheetId="1084">
        <row r="23">
          <cell r="N23">
            <v>28.799999999999997</v>
          </cell>
        </row>
      </sheetData>
      <sheetData sheetId="1085">
        <row r="23">
          <cell r="N23">
            <v>28.799999999999997</v>
          </cell>
        </row>
      </sheetData>
      <sheetData sheetId="1086">
        <row r="23">
          <cell r="N23">
            <v>28.799999999999997</v>
          </cell>
        </row>
      </sheetData>
      <sheetData sheetId="1087">
        <row r="23">
          <cell r="N23">
            <v>28.799999999999997</v>
          </cell>
        </row>
      </sheetData>
      <sheetData sheetId="1088">
        <row r="23">
          <cell r="N23">
            <v>28.799999999999997</v>
          </cell>
        </row>
      </sheetData>
      <sheetData sheetId="1089">
        <row r="23">
          <cell r="N23">
            <v>28.799999999999997</v>
          </cell>
        </row>
      </sheetData>
      <sheetData sheetId="1090">
        <row r="23">
          <cell r="N23">
            <v>28.799999999999997</v>
          </cell>
        </row>
      </sheetData>
      <sheetData sheetId="1091">
        <row r="23">
          <cell r="N23">
            <v>28.799999999999997</v>
          </cell>
        </row>
      </sheetData>
      <sheetData sheetId="1092">
        <row r="23">
          <cell r="N23">
            <v>28.799999999999997</v>
          </cell>
        </row>
      </sheetData>
      <sheetData sheetId="1093">
        <row r="23">
          <cell r="N23">
            <v>28.799999999999997</v>
          </cell>
        </row>
      </sheetData>
      <sheetData sheetId="1094">
        <row r="23">
          <cell r="N23">
            <v>28.799999999999997</v>
          </cell>
        </row>
      </sheetData>
      <sheetData sheetId="1095">
        <row r="23">
          <cell r="N23">
            <v>28.799999999999997</v>
          </cell>
        </row>
      </sheetData>
      <sheetData sheetId="1096">
        <row r="23">
          <cell r="N23">
            <v>28.799999999999997</v>
          </cell>
        </row>
      </sheetData>
      <sheetData sheetId="1097">
        <row r="23">
          <cell r="N23">
            <v>28.799999999999997</v>
          </cell>
        </row>
      </sheetData>
      <sheetData sheetId="1098">
        <row r="23">
          <cell r="N23">
            <v>28.799999999999997</v>
          </cell>
        </row>
      </sheetData>
      <sheetData sheetId="1099">
        <row r="23">
          <cell r="N23">
            <v>28.799999999999997</v>
          </cell>
        </row>
      </sheetData>
      <sheetData sheetId="1100">
        <row r="23">
          <cell r="N23">
            <v>28.799999999999997</v>
          </cell>
        </row>
      </sheetData>
      <sheetData sheetId="1101">
        <row r="23">
          <cell r="N23">
            <v>28.799999999999997</v>
          </cell>
        </row>
      </sheetData>
      <sheetData sheetId="1102">
        <row r="23">
          <cell r="N23">
            <v>28.799999999999997</v>
          </cell>
        </row>
      </sheetData>
      <sheetData sheetId="1103">
        <row r="23">
          <cell r="N23">
            <v>28.799999999999997</v>
          </cell>
        </row>
      </sheetData>
      <sheetData sheetId="1104">
        <row r="23">
          <cell r="N23">
            <v>28.799999999999997</v>
          </cell>
        </row>
      </sheetData>
      <sheetData sheetId="1105">
        <row r="23">
          <cell r="N23">
            <v>28.799999999999997</v>
          </cell>
        </row>
      </sheetData>
      <sheetData sheetId="1106">
        <row r="23">
          <cell r="N23">
            <v>28.799999999999997</v>
          </cell>
        </row>
      </sheetData>
      <sheetData sheetId="1107">
        <row r="23">
          <cell r="N23">
            <v>28.799999999999997</v>
          </cell>
        </row>
      </sheetData>
      <sheetData sheetId="1108">
        <row r="23">
          <cell r="N23">
            <v>28.799999999999997</v>
          </cell>
        </row>
      </sheetData>
      <sheetData sheetId="1109">
        <row r="23">
          <cell r="N23">
            <v>28.799999999999997</v>
          </cell>
        </row>
      </sheetData>
      <sheetData sheetId="1110">
        <row r="23">
          <cell r="N23">
            <v>28.799999999999997</v>
          </cell>
        </row>
      </sheetData>
      <sheetData sheetId="1111">
        <row r="23">
          <cell r="N23">
            <v>28.799999999999997</v>
          </cell>
        </row>
      </sheetData>
      <sheetData sheetId="1112">
        <row r="23">
          <cell r="N23">
            <v>28.799999999999997</v>
          </cell>
        </row>
      </sheetData>
      <sheetData sheetId="1113">
        <row r="23">
          <cell r="N23">
            <v>28.799999999999997</v>
          </cell>
        </row>
      </sheetData>
      <sheetData sheetId="1114">
        <row r="23">
          <cell r="N23">
            <v>28.799999999999997</v>
          </cell>
        </row>
      </sheetData>
      <sheetData sheetId="1115">
        <row r="23">
          <cell r="N23">
            <v>28.799999999999997</v>
          </cell>
        </row>
      </sheetData>
      <sheetData sheetId="1116">
        <row r="23">
          <cell r="N23">
            <v>28.799999999999997</v>
          </cell>
        </row>
      </sheetData>
      <sheetData sheetId="1117">
        <row r="23">
          <cell r="N23">
            <v>28.799999999999997</v>
          </cell>
        </row>
      </sheetData>
      <sheetData sheetId="1118">
        <row r="23">
          <cell r="N23">
            <v>28.799999999999997</v>
          </cell>
        </row>
      </sheetData>
      <sheetData sheetId="1119">
        <row r="23">
          <cell r="N23">
            <v>28.799999999999997</v>
          </cell>
        </row>
      </sheetData>
      <sheetData sheetId="1120">
        <row r="23">
          <cell r="N23">
            <v>28.799999999999997</v>
          </cell>
        </row>
      </sheetData>
      <sheetData sheetId="1121">
        <row r="23">
          <cell r="N23">
            <v>28.799999999999997</v>
          </cell>
        </row>
      </sheetData>
      <sheetData sheetId="1122">
        <row r="23">
          <cell r="N23">
            <v>28.799999999999997</v>
          </cell>
        </row>
      </sheetData>
      <sheetData sheetId="1123">
        <row r="23">
          <cell r="N23">
            <v>28.799999999999997</v>
          </cell>
        </row>
      </sheetData>
      <sheetData sheetId="1124">
        <row r="23">
          <cell r="N23">
            <v>28.799999999999997</v>
          </cell>
        </row>
      </sheetData>
      <sheetData sheetId="1125">
        <row r="23">
          <cell r="N23">
            <v>28.799999999999997</v>
          </cell>
        </row>
      </sheetData>
      <sheetData sheetId="1126">
        <row r="23">
          <cell r="N23">
            <v>28.799999999999997</v>
          </cell>
        </row>
      </sheetData>
      <sheetData sheetId="1127">
        <row r="23">
          <cell r="N23">
            <v>28.799999999999997</v>
          </cell>
        </row>
      </sheetData>
      <sheetData sheetId="1128">
        <row r="23">
          <cell r="N23">
            <v>28.799999999999997</v>
          </cell>
        </row>
      </sheetData>
      <sheetData sheetId="1129">
        <row r="23">
          <cell r="N23">
            <v>28.799999999999997</v>
          </cell>
        </row>
      </sheetData>
      <sheetData sheetId="1130">
        <row r="23">
          <cell r="N23">
            <v>28.799999999999997</v>
          </cell>
        </row>
      </sheetData>
      <sheetData sheetId="1131">
        <row r="23">
          <cell r="N23">
            <v>28.799999999999997</v>
          </cell>
        </row>
      </sheetData>
      <sheetData sheetId="1132">
        <row r="23">
          <cell r="N23">
            <v>28.799999999999997</v>
          </cell>
        </row>
      </sheetData>
      <sheetData sheetId="1133">
        <row r="23">
          <cell r="N23">
            <v>28.799999999999997</v>
          </cell>
        </row>
      </sheetData>
      <sheetData sheetId="1134">
        <row r="23">
          <cell r="N23">
            <v>28.799999999999997</v>
          </cell>
        </row>
      </sheetData>
      <sheetData sheetId="1135">
        <row r="23">
          <cell r="N23">
            <v>28.799999999999997</v>
          </cell>
        </row>
      </sheetData>
      <sheetData sheetId="1136">
        <row r="23">
          <cell r="N23">
            <v>28.799999999999997</v>
          </cell>
        </row>
      </sheetData>
      <sheetData sheetId="1137">
        <row r="23">
          <cell r="N23">
            <v>28.799999999999997</v>
          </cell>
        </row>
      </sheetData>
      <sheetData sheetId="1138">
        <row r="23">
          <cell r="N23">
            <v>28.799999999999997</v>
          </cell>
        </row>
      </sheetData>
      <sheetData sheetId="1139">
        <row r="23">
          <cell r="N23">
            <v>28.799999999999997</v>
          </cell>
        </row>
      </sheetData>
      <sheetData sheetId="1140">
        <row r="23">
          <cell r="N23">
            <v>28.799999999999997</v>
          </cell>
        </row>
      </sheetData>
      <sheetData sheetId="1141">
        <row r="23">
          <cell r="N23">
            <v>28.799999999999997</v>
          </cell>
        </row>
      </sheetData>
      <sheetData sheetId="1142">
        <row r="23">
          <cell r="N23">
            <v>28.799999999999997</v>
          </cell>
        </row>
      </sheetData>
      <sheetData sheetId="1143">
        <row r="23">
          <cell r="N23">
            <v>28.799999999999997</v>
          </cell>
        </row>
      </sheetData>
      <sheetData sheetId="1144">
        <row r="23">
          <cell r="N23">
            <v>28.799999999999997</v>
          </cell>
        </row>
      </sheetData>
      <sheetData sheetId="1145">
        <row r="23">
          <cell r="N23">
            <v>28.799999999999997</v>
          </cell>
        </row>
      </sheetData>
      <sheetData sheetId="1146">
        <row r="23">
          <cell r="N23">
            <v>28.799999999999997</v>
          </cell>
        </row>
      </sheetData>
      <sheetData sheetId="1147">
        <row r="23">
          <cell r="N23">
            <v>28.799999999999997</v>
          </cell>
        </row>
      </sheetData>
      <sheetData sheetId="1148">
        <row r="23">
          <cell r="N23">
            <v>28.799999999999997</v>
          </cell>
        </row>
      </sheetData>
      <sheetData sheetId="1149">
        <row r="23">
          <cell r="N23">
            <v>28.799999999999997</v>
          </cell>
        </row>
      </sheetData>
      <sheetData sheetId="1150">
        <row r="23">
          <cell r="N23">
            <v>28.799999999999997</v>
          </cell>
        </row>
      </sheetData>
      <sheetData sheetId="1151">
        <row r="23">
          <cell r="N23">
            <v>28.799999999999997</v>
          </cell>
        </row>
      </sheetData>
      <sheetData sheetId="1152">
        <row r="23">
          <cell r="N23">
            <v>28.799999999999997</v>
          </cell>
        </row>
      </sheetData>
      <sheetData sheetId="1153">
        <row r="23">
          <cell r="N23">
            <v>28.799999999999997</v>
          </cell>
        </row>
      </sheetData>
      <sheetData sheetId="1154">
        <row r="23">
          <cell r="N23">
            <v>28.799999999999997</v>
          </cell>
        </row>
      </sheetData>
      <sheetData sheetId="1155">
        <row r="23">
          <cell r="N23">
            <v>28.799999999999997</v>
          </cell>
        </row>
      </sheetData>
      <sheetData sheetId="1156">
        <row r="23">
          <cell r="N23">
            <v>28.799999999999997</v>
          </cell>
        </row>
      </sheetData>
      <sheetData sheetId="1157">
        <row r="23">
          <cell r="N23">
            <v>28.799999999999997</v>
          </cell>
        </row>
      </sheetData>
      <sheetData sheetId="1158">
        <row r="23">
          <cell r="N23">
            <v>28.799999999999997</v>
          </cell>
        </row>
      </sheetData>
      <sheetData sheetId="1159">
        <row r="23">
          <cell r="N23">
            <v>28.799999999999997</v>
          </cell>
        </row>
      </sheetData>
      <sheetData sheetId="1160">
        <row r="23">
          <cell r="N23">
            <v>28.799999999999997</v>
          </cell>
        </row>
      </sheetData>
      <sheetData sheetId="1161">
        <row r="23">
          <cell r="N23">
            <v>28.799999999999997</v>
          </cell>
        </row>
      </sheetData>
      <sheetData sheetId="1162">
        <row r="23">
          <cell r="N23">
            <v>28.799999999999997</v>
          </cell>
        </row>
      </sheetData>
      <sheetData sheetId="1163">
        <row r="23">
          <cell r="N23">
            <v>28.799999999999997</v>
          </cell>
        </row>
      </sheetData>
      <sheetData sheetId="1164">
        <row r="23">
          <cell r="N23">
            <v>28.799999999999997</v>
          </cell>
        </row>
      </sheetData>
      <sheetData sheetId="1165">
        <row r="23">
          <cell r="N23">
            <v>28.799999999999997</v>
          </cell>
        </row>
      </sheetData>
      <sheetData sheetId="1166">
        <row r="23">
          <cell r="N23">
            <v>28.799999999999997</v>
          </cell>
        </row>
      </sheetData>
      <sheetData sheetId="1167">
        <row r="23">
          <cell r="N23">
            <v>28.799999999999997</v>
          </cell>
        </row>
      </sheetData>
      <sheetData sheetId="1168">
        <row r="23">
          <cell r="N23">
            <v>28.799999999999997</v>
          </cell>
        </row>
      </sheetData>
      <sheetData sheetId="1169">
        <row r="23">
          <cell r="N23">
            <v>28.799999999999997</v>
          </cell>
        </row>
      </sheetData>
      <sheetData sheetId="1170">
        <row r="23">
          <cell r="N23">
            <v>28.799999999999997</v>
          </cell>
        </row>
      </sheetData>
      <sheetData sheetId="1171">
        <row r="23">
          <cell r="N23">
            <v>28.799999999999997</v>
          </cell>
        </row>
      </sheetData>
      <sheetData sheetId="1172">
        <row r="23">
          <cell r="N23">
            <v>28.799999999999997</v>
          </cell>
        </row>
      </sheetData>
      <sheetData sheetId="1173">
        <row r="23">
          <cell r="N23">
            <v>28.799999999999997</v>
          </cell>
        </row>
      </sheetData>
      <sheetData sheetId="1174">
        <row r="23">
          <cell r="N23">
            <v>28.799999999999997</v>
          </cell>
        </row>
      </sheetData>
      <sheetData sheetId="1175">
        <row r="23">
          <cell r="N23">
            <v>28.799999999999997</v>
          </cell>
        </row>
      </sheetData>
      <sheetData sheetId="1176">
        <row r="23">
          <cell r="N23">
            <v>28.799999999999997</v>
          </cell>
        </row>
      </sheetData>
      <sheetData sheetId="1177">
        <row r="23">
          <cell r="N23">
            <v>28.799999999999997</v>
          </cell>
        </row>
      </sheetData>
      <sheetData sheetId="1178">
        <row r="23">
          <cell r="N23">
            <v>28.799999999999997</v>
          </cell>
        </row>
      </sheetData>
      <sheetData sheetId="1179">
        <row r="23">
          <cell r="N23">
            <v>28.799999999999997</v>
          </cell>
        </row>
      </sheetData>
      <sheetData sheetId="1180">
        <row r="23">
          <cell r="N23">
            <v>28.799999999999997</v>
          </cell>
        </row>
      </sheetData>
      <sheetData sheetId="1181">
        <row r="23">
          <cell r="N23">
            <v>28.799999999999997</v>
          </cell>
        </row>
      </sheetData>
      <sheetData sheetId="1182">
        <row r="23">
          <cell r="N23">
            <v>28.799999999999997</v>
          </cell>
        </row>
      </sheetData>
      <sheetData sheetId="1183">
        <row r="23">
          <cell r="N23">
            <v>28.799999999999997</v>
          </cell>
        </row>
      </sheetData>
      <sheetData sheetId="1184">
        <row r="23">
          <cell r="N23">
            <v>28.799999999999997</v>
          </cell>
        </row>
      </sheetData>
      <sheetData sheetId="1185">
        <row r="23">
          <cell r="N23">
            <v>28.799999999999997</v>
          </cell>
        </row>
      </sheetData>
      <sheetData sheetId="1186">
        <row r="23">
          <cell r="N23">
            <v>28.799999999999997</v>
          </cell>
        </row>
      </sheetData>
      <sheetData sheetId="1187">
        <row r="23">
          <cell r="N23">
            <v>28.799999999999997</v>
          </cell>
        </row>
      </sheetData>
      <sheetData sheetId="1188">
        <row r="23">
          <cell r="N23">
            <v>28.799999999999997</v>
          </cell>
        </row>
      </sheetData>
      <sheetData sheetId="1189">
        <row r="23">
          <cell r="N23">
            <v>28.799999999999997</v>
          </cell>
        </row>
      </sheetData>
      <sheetData sheetId="1190">
        <row r="23">
          <cell r="N23">
            <v>28.799999999999997</v>
          </cell>
        </row>
      </sheetData>
      <sheetData sheetId="1191">
        <row r="23">
          <cell r="N23">
            <v>28.799999999999997</v>
          </cell>
        </row>
      </sheetData>
      <sheetData sheetId="1192">
        <row r="23">
          <cell r="N23">
            <v>28.799999999999997</v>
          </cell>
        </row>
      </sheetData>
      <sheetData sheetId="1193">
        <row r="23">
          <cell r="N23">
            <v>28.799999999999997</v>
          </cell>
        </row>
      </sheetData>
      <sheetData sheetId="1194">
        <row r="23">
          <cell r="N23">
            <v>28.799999999999997</v>
          </cell>
        </row>
      </sheetData>
      <sheetData sheetId="1195">
        <row r="23">
          <cell r="N23">
            <v>28.799999999999997</v>
          </cell>
        </row>
      </sheetData>
      <sheetData sheetId="1196">
        <row r="23">
          <cell r="N23">
            <v>28.799999999999997</v>
          </cell>
        </row>
      </sheetData>
      <sheetData sheetId="1197">
        <row r="23">
          <cell r="N23">
            <v>28.799999999999997</v>
          </cell>
        </row>
      </sheetData>
      <sheetData sheetId="1198">
        <row r="23">
          <cell r="N23">
            <v>28.799999999999997</v>
          </cell>
        </row>
      </sheetData>
      <sheetData sheetId="1199">
        <row r="23">
          <cell r="N23">
            <v>28.799999999999997</v>
          </cell>
        </row>
      </sheetData>
      <sheetData sheetId="1200">
        <row r="23">
          <cell r="N23">
            <v>28.799999999999997</v>
          </cell>
        </row>
      </sheetData>
      <sheetData sheetId="1201">
        <row r="23">
          <cell r="N23">
            <v>28.799999999999997</v>
          </cell>
        </row>
      </sheetData>
      <sheetData sheetId="1202">
        <row r="23">
          <cell r="N23">
            <v>28.799999999999997</v>
          </cell>
        </row>
      </sheetData>
      <sheetData sheetId="1203">
        <row r="23">
          <cell r="N23">
            <v>28.799999999999997</v>
          </cell>
        </row>
      </sheetData>
      <sheetData sheetId="1204">
        <row r="23">
          <cell r="N23">
            <v>28.799999999999997</v>
          </cell>
        </row>
      </sheetData>
      <sheetData sheetId="1205">
        <row r="23">
          <cell r="N23">
            <v>28.799999999999997</v>
          </cell>
        </row>
      </sheetData>
      <sheetData sheetId="1206">
        <row r="23">
          <cell r="N23">
            <v>28.799999999999997</v>
          </cell>
        </row>
      </sheetData>
      <sheetData sheetId="1207">
        <row r="23">
          <cell r="N23">
            <v>28.799999999999997</v>
          </cell>
        </row>
      </sheetData>
      <sheetData sheetId="1208">
        <row r="23">
          <cell r="N23">
            <v>28.799999999999997</v>
          </cell>
        </row>
      </sheetData>
      <sheetData sheetId="1209">
        <row r="23">
          <cell r="N23">
            <v>28.799999999999997</v>
          </cell>
        </row>
      </sheetData>
      <sheetData sheetId="1210">
        <row r="23">
          <cell r="N23">
            <v>28.799999999999997</v>
          </cell>
        </row>
      </sheetData>
      <sheetData sheetId="1211">
        <row r="23">
          <cell r="N23">
            <v>28.799999999999997</v>
          </cell>
        </row>
      </sheetData>
      <sheetData sheetId="1212">
        <row r="23">
          <cell r="N23">
            <v>28.799999999999997</v>
          </cell>
        </row>
      </sheetData>
      <sheetData sheetId="1213">
        <row r="23">
          <cell r="N23">
            <v>28.799999999999997</v>
          </cell>
        </row>
      </sheetData>
      <sheetData sheetId="1214">
        <row r="23">
          <cell r="N23">
            <v>28.799999999999997</v>
          </cell>
        </row>
      </sheetData>
      <sheetData sheetId="1215">
        <row r="23">
          <cell r="N23">
            <v>28.799999999999997</v>
          </cell>
        </row>
      </sheetData>
      <sheetData sheetId="1216">
        <row r="23">
          <cell r="N23">
            <v>28.799999999999997</v>
          </cell>
        </row>
      </sheetData>
      <sheetData sheetId="1217">
        <row r="23">
          <cell r="N23">
            <v>28.799999999999997</v>
          </cell>
        </row>
      </sheetData>
      <sheetData sheetId="1218">
        <row r="23">
          <cell r="N23">
            <v>28.799999999999997</v>
          </cell>
        </row>
      </sheetData>
      <sheetData sheetId="1219">
        <row r="23">
          <cell r="N23">
            <v>28.799999999999997</v>
          </cell>
        </row>
      </sheetData>
      <sheetData sheetId="1220">
        <row r="23">
          <cell r="N23">
            <v>28.799999999999997</v>
          </cell>
        </row>
      </sheetData>
      <sheetData sheetId="1221">
        <row r="23">
          <cell r="N23">
            <v>28.799999999999997</v>
          </cell>
        </row>
      </sheetData>
      <sheetData sheetId="1222">
        <row r="23">
          <cell r="N23">
            <v>28.799999999999997</v>
          </cell>
        </row>
      </sheetData>
      <sheetData sheetId="1223">
        <row r="23">
          <cell r="N23">
            <v>28.799999999999997</v>
          </cell>
        </row>
      </sheetData>
      <sheetData sheetId="1224">
        <row r="23">
          <cell r="N23">
            <v>28.799999999999997</v>
          </cell>
        </row>
      </sheetData>
      <sheetData sheetId="1225">
        <row r="23">
          <cell r="N23">
            <v>28.799999999999997</v>
          </cell>
        </row>
      </sheetData>
      <sheetData sheetId="1226">
        <row r="23">
          <cell r="N23">
            <v>28.799999999999997</v>
          </cell>
        </row>
      </sheetData>
      <sheetData sheetId="1227">
        <row r="23">
          <cell r="N23">
            <v>28.799999999999997</v>
          </cell>
        </row>
      </sheetData>
      <sheetData sheetId="1228">
        <row r="23">
          <cell r="N23">
            <v>28.799999999999997</v>
          </cell>
        </row>
      </sheetData>
      <sheetData sheetId="1229">
        <row r="23">
          <cell r="N23">
            <v>28.799999999999997</v>
          </cell>
        </row>
      </sheetData>
      <sheetData sheetId="1230">
        <row r="23">
          <cell r="N23">
            <v>28.799999999999997</v>
          </cell>
        </row>
      </sheetData>
      <sheetData sheetId="1231">
        <row r="23">
          <cell r="N23">
            <v>28.799999999999997</v>
          </cell>
        </row>
      </sheetData>
      <sheetData sheetId="1232">
        <row r="23">
          <cell r="N23">
            <v>28.799999999999997</v>
          </cell>
        </row>
      </sheetData>
      <sheetData sheetId="1233">
        <row r="23">
          <cell r="N23">
            <v>28.799999999999997</v>
          </cell>
        </row>
      </sheetData>
      <sheetData sheetId="1234">
        <row r="23">
          <cell r="N23">
            <v>28.799999999999997</v>
          </cell>
        </row>
      </sheetData>
      <sheetData sheetId="1235">
        <row r="23">
          <cell r="N23">
            <v>28.799999999999997</v>
          </cell>
        </row>
      </sheetData>
      <sheetData sheetId="1236">
        <row r="23">
          <cell r="N23">
            <v>28.799999999999997</v>
          </cell>
        </row>
      </sheetData>
      <sheetData sheetId="1237">
        <row r="23">
          <cell r="N23">
            <v>28.799999999999997</v>
          </cell>
        </row>
      </sheetData>
      <sheetData sheetId="1238">
        <row r="23">
          <cell r="N23">
            <v>28.799999999999997</v>
          </cell>
        </row>
      </sheetData>
      <sheetData sheetId="1239">
        <row r="23">
          <cell r="N23">
            <v>28.799999999999997</v>
          </cell>
        </row>
      </sheetData>
      <sheetData sheetId="1240">
        <row r="23">
          <cell r="N23">
            <v>28.799999999999997</v>
          </cell>
        </row>
      </sheetData>
      <sheetData sheetId="1241">
        <row r="23">
          <cell r="N23">
            <v>28.799999999999997</v>
          </cell>
        </row>
      </sheetData>
      <sheetData sheetId="1242">
        <row r="23">
          <cell r="N23">
            <v>28.799999999999997</v>
          </cell>
        </row>
      </sheetData>
      <sheetData sheetId="1243">
        <row r="23">
          <cell r="N23">
            <v>28.799999999999997</v>
          </cell>
        </row>
      </sheetData>
      <sheetData sheetId="1244">
        <row r="23">
          <cell r="N23">
            <v>28.799999999999997</v>
          </cell>
        </row>
      </sheetData>
      <sheetData sheetId="1245">
        <row r="23">
          <cell r="N23">
            <v>28.799999999999997</v>
          </cell>
        </row>
      </sheetData>
      <sheetData sheetId="1246">
        <row r="23">
          <cell r="N23">
            <v>28.799999999999997</v>
          </cell>
        </row>
      </sheetData>
      <sheetData sheetId="1247">
        <row r="23">
          <cell r="N23">
            <v>28.799999999999997</v>
          </cell>
        </row>
      </sheetData>
      <sheetData sheetId="1248">
        <row r="23">
          <cell r="N23">
            <v>28.799999999999997</v>
          </cell>
        </row>
      </sheetData>
      <sheetData sheetId="1249">
        <row r="23">
          <cell r="N23">
            <v>28.799999999999997</v>
          </cell>
        </row>
      </sheetData>
      <sheetData sheetId="1250">
        <row r="23">
          <cell r="N23">
            <v>28.799999999999997</v>
          </cell>
        </row>
      </sheetData>
      <sheetData sheetId="1251">
        <row r="23">
          <cell r="N23">
            <v>28.799999999999997</v>
          </cell>
        </row>
      </sheetData>
      <sheetData sheetId="1252">
        <row r="23">
          <cell r="N23">
            <v>28.799999999999997</v>
          </cell>
        </row>
      </sheetData>
      <sheetData sheetId="1253">
        <row r="23">
          <cell r="N23">
            <v>28.799999999999997</v>
          </cell>
        </row>
      </sheetData>
      <sheetData sheetId="1254">
        <row r="23">
          <cell r="N23">
            <v>28.799999999999997</v>
          </cell>
        </row>
      </sheetData>
      <sheetData sheetId="1255">
        <row r="23">
          <cell r="N23">
            <v>28.799999999999997</v>
          </cell>
        </row>
      </sheetData>
      <sheetData sheetId="1256">
        <row r="23">
          <cell r="N23">
            <v>28.799999999999997</v>
          </cell>
        </row>
      </sheetData>
      <sheetData sheetId="1257">
        <row r="23">
          <cell r="N23">
            <v>28.799999999999997</v>
          </cell>
        </row>
      </sheetData>
      <sheetData sheetId="1258">
        <row r="23">
          <cell r="N23">
            <v>28.799999999999997</v>
          </cell>
        </row>
      </sheetData>
      <sheetData sheetId="1259">
        <row r="23">
          <cell r="N23">
            <v>28.799999999999997</v>
          </cell>
        </row>
      </sheetData>
      <sheetData sheetId="1260">
        <row r="23">
          <cell r="N23">
            <v>28.799999999999997</v>
          </cell>
        </row>
      </sheetData>
      <sheetData sheetId="1261">
        <row r="23">
          <cell r="N23">
            <v>28.799999999999997</v>
          </cell>
        </row>
      </sheetData>
      <sheetData sheetId="1262">
        <row r="23">
          <cell r="N23">
            <v>28.799999999999997</v>
          </cell>
        </row>
      </sheetData>
      <sheetData sheetId="1263">
        <row r="23">
          <cell r="N23">
            <v>28.799999999999997</v>
          </cell>
        </row>
      </sheetData>
      <sheetData sheetId="1264">
        <row r="23">
          <cell r="N23">
            <v>28.799999999999997</v>
          </cell>
        </row>
      </sheetData>
      <sheetData sheetId="1265">
        <row r="23">
          <cell r="N23">
            <v>28.799999999999997</v>
          </cell>
        </row>
      </sheetData>
      <sheetData sheetId="1266">
        <row r="23">
          <cell r="N23">
            <v>28.799999999999997</v>
          </cell>
        </row>
      </sheetData>
      <sheetData sheetId="1267">
        <row r="23">
          <cell r="N23">
            <v>28.799999999999997</v>
          </cell>
        </row>
      </sheetData>
      <sheetData sheetId="1268">
        <row r="23">
          <cell r="N23">
            <v>28.799999999999997</v>
          </cell>
        </row>
      </sheetData>
      <sheetData sheetId="1269">
        <row r="23">
          <cell r="N23">
            <v>28.799999999999997</v>
          </cell>
        </row>
      </sheetData>
      <sheetData sheetId="1270">
        <row r="23">
          <cell r="N23">
            <v>28.799999999999997</v>
          </cell>
        </row>
      </sheetData>
      <sheetData sheetId="1271">
        <row r="23">
          <cell r="N23">
            <v>28.799999999999997</v>
          </cell>
        </row>
      </sheetData>
      <sheetData sheetId="1272">
        <row r="23">
          <cell r="N23">
            <v>28.799999999999997</v>
          </cell>
        </row>
      </sheetData>
      <sheetData sheetId="1273">
        <row r="23">
          <cell r="N23">
            <v>28.799999999999997</v>
          </cell>
        </row>
      </sheetData>
      <sheetData sheetId="1274">
        <row r="23">
          <cell r="N23">
            <v>28.799999999999997</v>
          </cell>
        </row>
      </sheetData>
      <sheetData sheetId="1275">
        <row r="23">
          <cell r="N23">
            <v>28.799999999999997</v>
          </cell>
        </row>
      </sheetData>
      <sheetData sheetId="1276">
        <row r="23">
          <cell r="N23">
            <v>28.799999999999997</v>
          </cell>
        </row>
      </sheetData>
      <sheetData sheetId="1277">
        <row r="23">
          <cell r="N23">
            <v>28.799999999999997</v>
          </cell>
        </row>
      </sheetData>
      <sheetData sheetId="1278">
        <row r="23">
          <cell r="N23">
            <v>28.799999999999997</v>
          </cell>
        </row>
      </sheetData>
      <sheetData sheetId="1279">
        <row r="23">
          <cell r="N23">
            <v>28.799999999999997</v>
          </cell>
        </row>
      </sheetData>
      <sheetData sheetId="1280">
        <row r="23">
          <cell r="N23">
            <v>28.799999999999997</v>
          </cell>
        </row>
      </sheetData>
      <sheetData sheetId="1281">
        <row r="23">
          <cell r="N23">
            <v>28.799999999999997</v>
          </cell>
        </row>
      </sheetData>
      <sheetData sheetId="1282">
        <row r="23">
          <cell r="N23">
            <v>28.799999999999997</v>
          </cell>
        </row>
      </sheetData>
      <sheetData sheetId="1283">
        <row r="23">
          <cell r="N23">
            <v>28.799999999999997</v>
          </cell>
        </row>
      </sheetData>
      <sheetData sheetId="1284">
        <row r="23">
          <cell r="N23">
            <v>28.799999999999997</v>
          </cell>
        </row>
      </sheetData>
      <sheetData sheetId="1285">
        <row r="23">
          <cell r="N23">
            <v>28.799999999999997</v>
          </cell>
        </row>
      </sheetData>
      <sheetData sheetId="1286">
        <row r="23">
          <cell r="N23">
            <v>28.799999999999997</v>
          </cell>
        </row>
      </sheetData>
      <sheetData sheetId="1287">
        <row r="23">
          <cell r="N23">
            <v>28.799999999999997</v>
          </cell>
        </row>
      </sheetData>
      <sheetData sheetId="1288">
        <row r="23">
          <cell r="N23">
            <v>28.799999999999997</v>
          </cell>
        </row>
      </sheetData>
      <sheetData sheetId="1289">
        <row r="23">
          <cell r="N23">
            <v>28.799999999999997</v>
          </cell>
        </row>
      </sheetData>
      <sheetData sheetId="1290">
        <row r="23">
          <cell r="N23">
            <v>28.799999999999997</v>
          </cell>
        </row>
      </sheetData>
      <sheetData sheetId="1291">
        <row r="23">
          <cell r="N23">
            <v>28.799999999999997</v>
          </cell>
        </row>
      </sheetData>
      <sheetData sheetId="1292">
        <row r="23">
          <cell r="N23">
            <v>28.799999999999997</v>
          </cell>
        </row>
      </sheetData>
      <sheetData sheetId="1293">
        <row r="23">
          <cell r="N23">
            <v>28.799999999999997</v>
          </cell>
        </row>
      </sheetData>
      <sheetData sheetId="1294">
        <row r="23">
          <cell r="N23">
            <v>28.799999999999997</v>
          </cell>
        </row>
      </sheetData>
      <sheetData sheetId="1295">
        <row r="23">
          <cell r="N23">
            <v>28.799999999999997</v>
          </cell>
        </row>
      </sheetData>
      <sheetData sheetId="1296">
        <row r="23">
          <cell r="N23">
            <v>28.799999999999997</v>
          </cell>
        </row>
      </sheetData>
      <sheetData sheetId="1297">
        <row r="23">
          <cell r="N23">
            <v>28.799999999999997</v>
          </cell>
        </row>
      </sheetData>
      <sheetData sheetId="1298">
        <row r="23">
          <cell r="N23">
            <v>28.799999999999997</v>
          </cell>
        </row>
      </sheetData>
      <sheetData sheetId="1299">
        <row r="23">
          <cell r="N23">
            <v>28.799999999999997</v>
          </cell>
        </row>
      </sheetData>
      <sheetData sheetId="1300">
        <row r="23">
          <cell r="N23">
            <v>28.799999999999997</v>
          </cell>
        </row>
      </sheetData>
      <sheetData sheetId="1301">
        <row r="23">
          <cell r="N23">
            <v>28.799999999999997</v>
          </cell>
        </row>
      </sheetData>
      <sheetData sheetId="1302">
        <row r="23">
          <cell r="N23">
            <v>28.799999999999997</v>
          </cell>
        </row>
      </sheetData>
      <sheetData sheetId="1303">
        <row r="23">
          <cell r="N23">
            <v>28.799999999999997</v>
          </cell>
        </row>
      </sheetData>
      <sheetData sheetId="1304">
        <row r="23">
          <cell r="N23">
            <v>28.799999999999997</v>
          </cell>
        </row>
      </sheetData>
      <sheetData sheetId="1305">
        <row r="23">
          <cell r="N23">
            <v>28.799999999999997</v>
          </cell>
        </row>
      </sheetData>
      <sheetData sheetId="1306">
        <row r="23">
          <cell r="N23">
            <v>28.799999999999997</v>
          </cell>
        </row>
      </sheetData>
      <sheetData sheetId="1307">
        <row r="23">
          <cell r="N23">
            <v>28.799999999999997</v>
          </cell>
        </row>
      </sheetData>
      <sheetData sheetId="1308">
        <row r="23">
          <cell r="N23">
            <v>28.799999999999997</v>
          </cell>
        </row>
      </sheetData>
      <sheetData sheetId="1309">
        <row r="23">
          <cell r="N23">
            <v>28.799999999999997</v>
          </cell>
        </row>
      </sheetData>
      <sheetData sheetId="1310">
        <row r="23">
          <cell r="N23">
            <v>28.799999999999997</v>
          </cell>
        </row>
      </sheetData>
      <sheetData sheetId="1311">
        <row r="23">
          <cell r="N23">
            <v>28.799999999999997</v>
          </cell>
        </row>
      </sheetData>
      <sheetData sheetId="1312">
        <row r="23">
          <cell r="N23">
            <v>28.799999999999997</v>
          </cell>
        </row>
      </sheetData>
      <sheetData sheetId="1313">
        <row r="23">
          <cell r="N23">
            <v>28.799999999999997</v>
          </cell>
        </row>
      </sheetData>
      <sheetData sheetId="1314">
        <row r="23">
          <cell r="N23">
            <v>28.799999999999997</v>
          </cell>
        </row>
      </sheetData>
      <sheetData sheetId="1315">
        <row r="23">
          <cell r="N23">
            <v>28.799999999999997</v>
          </cell>
        </row>
      </sheetData>
      <sheetData sheetId="1316">
        <row r="23">
          <cell r="N23">
            <v>28.799999999999997</v>
          </cell>
        </row>
      </sheetData>
      <sheetData sheetId="1317">
        <row r="23">
          <cell r="N23">
            <v>28.799999999999997</v>
          </cell>
        </row>
      </sheetData>
      <sheetData sheetId="1318">
        <row r="23">
          <cell r="N23">
            <v>28.799999999999997</v>
          </cell>
        </row>
      </sheetData>
      <sheetData sheetId="1319">
        <row r="23">
          <cell r="N23">
            <v>28.799999999999997</v>
          </cell>
        </row>
      </sheetData>
      <sheetData sheetId="1320">
        <row r="23">
          <cell r="N23">
            <v>28.799999999999997</v>
          </cell>
        </row>
      </sheetData>
      <sheetData sheetId="1321">
        <row r="23">
          <cell r="N23">
            <v>28.799999999999997</v>
          </cell>
        </row>
      </sheetData>
      <sheetData sheetId="1322">
        <row r="23">
          <cell r="N23">
            <v>28.799999999999997</v>
          </cell>
        </row>
      </sheetData>
      <sheetData sheetId="1323">
        <row r="23">
          <cell r="N23">
            <v>28.799999999999997</v>
          </cell>
        </row>
      </sheetData>
      <sheetData sheetId="1324">
        <row r="23">
          <cell r="N23">
            <v>28.799999999999997</v>
          </cell>
        </row>
      </sheetData>
      <sheetData sheetId="1325">
        <row r="23">
          <cell r="N23">
            <v>28.799999999999997</v>
          </cell>
        </row>
      </sheetData>
      <sheetData sheetId="1326">
        <row r="23">
          <cell r="N23">
            <v>28.799999999999997</v>
          </cell>
        </row>
      </sheetData>
      <sheetData sheetId="1327">
        <row r="23">
          <cell r="N23">
            <v>28.799999999999997</v>
          </cell>
        </row>
      </sheetData>
      <sheetData sheetId="1328">
        <row r="23">
          <cell r="N23">
            <v>28.799999999999997</v>
          </cell>
        </row>
      </sheetData>
      <sheetData sheetId="1329">
        <row r="23">
          <cell r="N23">
            <v>28.799999999999997</v>
          </cell>
        </row>
      </sheetData>
      <sheetData sheetId="1330">
        <row r="23">
          <cell r="N23">
            <v>28.799999999999997</v>
          </cell>
        </row>
      </sheetData>
      <sheetData sheetId="1331">
        <row r="23">
          <cell r="N23">
            <v>28.799999999999997</v>
          </cell>
        </row>
      </sheetData>
      <sheetData sheetId="1332">
        <row r="23">
          <cell r="N23">
            <v>28.799999999999997</v>
          </cell>
        </row>
      </sheetData>
      <sheetData sheetId="1333">
        <row r="23">
          <cell r="N23">
            <v>28.799999999999997</v>
          </cell>
        </row>
      </sheetData>
      <sheetData sheetId="1334">
        <row r="23">
          <cell r="N23">
            <v>28.799999999999997</v>
          </cell>
        </row>
      </sheetData>
      <sheetData sheetId="1335">
        <row r="23">
          <cell r="N23">
            <v>28.799999999999997</v>
          </cell>
        </row>
      </sheetData>
      <sheetData sheetId="1336">
        <row r="23">
          <cell r="N23">
            <v>28.799999999999997</v>
          </cell>
        </row>
      </sheetData>
      <sheetData sheetId="1337">
        <row r="23">
          <cell r="N23">
            <v>28.799999999999997</v>
          </cell>
        </row>
      </sheetData>
      <sheetData sheetId="1338">
        <row r="23">
          <cell r="N23">
            <v>28.799999999999997</v>
          </cell>
        </row>
      </sheetData>
      <sheetData sheetId="1339">
        <row r="23">
          <cell r="N23">
            <v>28.799999999999997</v>
          </cell>
        </row>
      </sheetData>
      <sheetData sheetId="1340">
        <row r="23">
          <cell r="N23">
            <v>28.799999999999997</v>
          </cell>
        </row>
      </sheetData>
      <sheetData sheetId="1341">
        <row r="23">
          <cell r="N23">
            <v>28.799999999999997</v>
          </cell>
        </row>
      </sheetData>
      <sheetData sheetId="1342">
        <row r="23">
          <cell r="N23">
            <v>28.799999999999997</v>
          </cell>
        </row>
      </sheetData>
      <sheetData sheetId="1343">
        <row r="23">
          <cell r="N23">
            <v>28.799999999999997</v>
          </cell>
        </row>
      </sheetData>
      <sheetData sheetId="1344">
        <row r="23">
          <cell r="N23">
            <v>28.799999999999997</v>
          </cell>
        </row>
      </sheetData>
      <sheetData sheetId="1345">
        <row r="23">
          <cell r="N23">
            <v>28.799999999999997</v>
          </cell>
        </row>
      </sheetData>
      <sheetData sheetId="1346">
        <row r="23">
          <cell r="N23">
            <v>28.799999999999997</v>
          </cell>
        </row>
      </sheetData>
      <sheetData sheetId="1347">
        <row r="23">
          <cell r="N23">
            <v>28.799999999999997</v>
          </cell>
        </row>
      </sheetData>
      <sheetData sheetId="1348">
        <row r="23">
          <cell r="N23">
            <v>28.799999999999997</v>
          </cell>
        </row>
      </sheetData>
      <sheetData sheetId="1349">
        <row r="23">
          <cell r="N23">
            <v>28.799999999999997</v>
          </cell>
        </row>
      </sheetData>
      <sheetData sheetId="1350">
        <row r="23">
          <cell r="N23">
            <v>28.799999999999997</v>
          </cell>
        </row>
      </sheetData>
      <sheetData sheetId="1351">
        <row r="23">
          <cell r="N23">
            <v>28.799999999999997</v>
          </cell>
        </row>
      </sheetData>
      <sheetData sheetId="1352">
        <row r="23">
          <cell r="N23">
            <v>28.799999999999997</v>
          </cell>
        </row>
      </sheetData>
      <sheetData sheetId="1353">
        <row r="23">
          <cell r="N23">
            <v>28.799999999999997</v>
          </cell>
        </row>
      </sheetData>
      <sheetData sheetId="1354">
        <row r="23">
          <cell r="N23">
            <v>28.799999999999997</v>
          </cell>
        </row>
      </sheetData>
      <sheetData sheetId="1355">
        <row r="23">
          <cell r="N23">
            <v>28.799999999999997</v>
          </cell>
        </row>
      </sheetData>
      <sheetData sheetId="1356">
        <row r="23">
          <cell r="N23">
            <v>28.799999999999997</v>
          </cell>
        </row>
      </sheetData>
      <sheetData sheetId="1357">
        <row r="23">
          <cell r="N23">
            <v>28.799999999999997</v>
          </cell>
        </row>
      </sheetData>
      <sheetData sheetId="1358">
        <row r="23">
          <cell r="N23">
            <v>28.799999999999997</v>
          </cell>
        </row>
      </sheetData>
      <sheetData sheetId="1359">
        <row r="23">
          <cell r="N23">
            <v>28.799999999999997</v>
          </cell>
        </row>
      </sheetData>
      <sheetData sheetId="1360">
        <row r="23">
          <cell r="N23">
            <v>28.799999999999997</v>
          </cell>
        </row>
      </sheetData>
      <sheetData sheetId="1361">
        <row r="23">
          <cell r="N23">
            <v>28.799999999999997</v>
          </cell>
        </row>
      </sheetData>
      <sheetData sheetId="1362">
        <row r="23">
          <cell r="N23">
            <v>28.799999999999997</v>
          </cell>
        </row>
      </sheetData>
      <sheetData sheetId="1363">
        <row r="23">
          <cell r="N23">
            <v>28.799999999999997</v>
          </cell>
        </row>
      </sheetData>
      <sheetData sheetId="1364">
        <row r="23">
          <cell r="N23">
            <v>28.799999999999997</v>
          </cell>
        </row>
      </sheetData>
      <sheetData sheetId="1365">
        <row r="23">
          <cell r="N23">
            <v>28.799999999999997</v>
          </cell>
        </row>
      </sheetData>
      <sheetData sheetId="1366">
        <row r="23">
          <cell r="N23">
            <v>28.799999999999997</v>
          </cell>
        </row>
      </sheetData>
      <sheetData sheetId="1367">
        <row r="23">
          <cell r="N23">
            <v>28.799999999999997</v>
          </cell>
        </row>
      </sheetData>
      <sheetData sheetId="1368">
        <row r="23">
          <cell r="N23">
            <v>28.799999999999997</v>
          </cell>
        </row>
      </sheetData>
      <sheetData sheetId="1369">
        <row r="23">
          <cell r="N23">
            <v>28.799999999999997</v>
          </cell>
        </row>
      </sheetData>
      <sheetData sheetId="1370">
        <row r="23">
          <cell r="N23">
            <v>28.799999999999997</v>
          </cell>
        </row>
      </sheetData>
      <sheetData sheetId="1371">
        <row r="23">
          <cell r="N23">
            <v>28.799999999999997</v>
          </cell>
        </row>
      </sheetData>
      <sheetData sheetId="1372">
        <row r="23">
          <cell r="N23">
            <v>28.799999999999997</v>
          </cell>
        </row>
      </sheetData>
      <sheetData sheetId="1373">
        <row r="23">
          <cell r="N23">
            <v>28.799999999999997</v>
          </cell>
        </row>
      </sheetData>
      <sheetData sheetId="1374">
        <row r="23">
          <cell r="N23">
            <v>28.799999999999997</v>
          </cell>
        </row>
      </sheetData>
      <sheetData sheetId="1375">
        <row r="23">
          <cell r="N23">
            <v>28.799999999999997</v>
          </cell>
        </row>
      </sheetData>
      <sheetData sheetId="1376">
        <row r="23">
          <cell r="N23">
            <v>28.799999999999997</v>
          </cell>
        </row>
      </sheetData>
      <sheetData sheetId="1377">
        <row r="23">
          <cell r="N23">
            <v>28.799999999999997</v>
          </cell>
        </row>
      </sheetData>
      <sheetData sheetId="1378">
        <row r="23">
          <cell r="N23">
            <v>28.799999999999997</v>
          </cell>
        </row>
      </sheetData>
      <sheetData sheetId="1379">
        <row r="23">
          <cell r="N23">
            <v>28.799999999999997</v>
          </cell>
        </row>
      </sheetData>
      <sheetData sheetId="1380">
        <row r="23">
          <cell r="N23">
            <v>28.799999999999997</v>
          </cell>
        </row>
      </sheetData>
      <sheetData sheetId="1381">
        <row r="23">
          <cell r="N23">
            <v>28.799999999999997</v>
          </cell>
        </row>
      </sheetData>
      <sheetData sheetId="1382">
        <row r="23">
          <cell r="N23">
            <v>28.799999999999997</v>
          </cell>
        </row>
      </sheetData>
      <sheetData sheetId="1383">
        <row r="23">
          <cell r="N23">
            <v>28.799999999999997</v>
          </cell>
        </row>
      </sheetData>
      <sheetData sheetId="1384">
        <row r="23">
          <cell r="N23">
            <v>28.799999999999997</v>
          </cell>
        </row>
      </sheetData>
      <sheetData sheetId="1385">
        <row r="23">
          <cell r="N23">
            <v>28.799999999999997</v>
          </cell>
        </row>
      </sheetData>
      <sheetData sheetId="1386">
        <row r="23">
          <cell r="N23">
            <v>28.799999999999997</v>
          </cell>
        </row>
      </sheetData>
      <sheetData sheetId="1387">
        <row r="23">
          <cell r="N23">
            <v>28.799999999999997</v>
          </cell>
        </row>
      </sheetData>
      <sheetData sheetId="1388">
        <row r="23">
          <cell r="N23">
            <v>28.799999999999997</v>
          </cell>
        </row>
      </sheetData>
      <sheetData sheetId="1389">
        <row r="23">
          <cell r="N23">
            <v>28.799999999999997</v>
          </cell>
        </row>
      </sheetData>
      <sheetData sheetId="1390">
        <row r="23">
          <cell r="N23">
            <v>28.799999999999997</v>
          </cell>
        </row>
      </sheetData>
      <sheetData sheetId="1391">
        <row r="23">
          <cell r="N23">
            <v>28.799999999999997</v>
          </cell>
        </row>
      </sheetData>
      <sheetData sheetId="1392">
        <row r="23">
          <cell r="N23">
            <v>28.799999999999997</v>
          </cell>
        </row>
      </sheetData>
      <sheetData sheetId="1393">
        <row r="23">
          <cell r="N23">
            <v>28.799999999999997</v>
          </cell>
        </row>
      </sheetData>
      <sheetData sheetId="1394">
        <row r="23">
          <cell r="N23">
            <v>28.799999999999997</v>
          </cell>
        </row>
      </sheetData>
      <sheetData sheetId="1395">
        <row r="23">
          <cell r="N23">
            <v>28.799999999999997</v>
          </cell>
        </row>
      </sheetData>
      <sheetData sheetId="1396">
        <row r="23">
          <cell r="N23">
            <v>28.799999999999997</v>
          </cell>
        </row>
      </sheetData>
      <sheetData sheetId="1397">
        <row r="23">
          <cell r="N23">
            <v>28.799999999999997</v>
          </cell>
        </row>
      </sheetData>
      <sheetData sheetId="1398">
        <row r="23">
          <cell r="N23">
            <v>28.799999999999997</v>
          </cell>
        </row>
      </sheetData>
      <sheetData sheetId="1399">
        <row r="23">
          <cell r="N23">
            <v>28.799999999999997</v>
          </cell>
        </row>
      </sheetData>
      <sheetData sheetId="1400">
        <row r="23">
          <cell r="N23">
            <v>28.799999999999997</v>
          </cell>
        </row>
      </sheetData>
      <sheetData sheetId="1401">
        <row r="23">
          <cell r="N23">
            <v>28.799999999999997</v>
          </cell>
        </row>
      </sheetData>
      <sheetData sheetId="1402">
        <row r="23">
          <cell r="N23">
            <v>28.799999999999997</v>
          </cell>
        </row>
      </sheetData>
      <sheetData sheetId="1403">
        <row r="23">
          <cell r="N23">
            <v>28.799999999999997</v>
          </cell>
        </row>
      </sheetData>
      <sheetData sheetId="1404">
        <row r="23">
          <cell r="N23">
            <v>28.799999999999997</v>
          </cell>
        </row>
      </sheetData>
      <sheetData sheetId="1405">
        <row r="23">
          <cell r="N23">
            <v>28.799999999999997</v>
          </cell>
        </row>
      </sheetData>
      <sheetData sheetId="1406">
        <row r="23">
          <cell r="N23">
            <v>28.799999999999997</v>
          </cell>
        </row>
      </sheetData>
      <sheetData sheetId="1407">
        <row r="23">
          <cell r="N23">
            <v>28.799999999999997</v>
          </cell>
        </row>
      </sheetData>
      <sheetData sheetId="1408">
        <row r="23">
          <cell r="N23">
            <v>28.799999999999997</v>
          </cell>
        </row>
      </sheetData>
      <sheetData sheetId="1409">
        <row r="23">
          <cell r="N23">
            <v>28.799999999999997</v>
          </cell>
        </row>
      </sheetData>
      <sheetData sheetId="1410">
        <row r="23">
          <cell r="N23">
            <v>28.799999999999997</v>
          </cell>
        </row>
      </sheetData>
      <sheetData sheetId="1411">
        <row r="23">
          <cell r="N23">
            <v>28.799999999999997</v>
          </cell>
        </row>
      </sheetData>
      <sheetData sheetId="1412">
        <row r="23">
          <cell r="N23">
            <v>28.799999999999997</v>
          </cell>
        </row>
      </sheetData>
      <sheetData sheetId="1413">
        <row r="23">
          <cell r="N23">
            <v>28.799999999999997</v>
          </cell>
        </row>
      </sheetData>
      <sheetData sheetId="1414">
        <row r="23">
          <cell r="N23">
            <v>28.799999999999997</v>
          </cell>
        </row>
      </sheetData>
      <sheetData sheetId="1415">
        <row r="23">
          <cell r="N23">
            <v>28.799999999999997</v>
          </cell>
        </row>
      </sheetData>
      <sheetData sheetId="1416">
        <row r="23">
          <cell r="N23">
            <v>28.799999999999997</v>
          </cell>
        </row>
      </sheetData>
      <sheetData sheetId="1417">
        <row r="23">
          <cell r="N23">
            <v>28.799999999999997</v>
          </cell>
        </row>
      </sheetData>
      <sheetData sheetId="1418">
        <row r="23">
          <cell r="N23">
            <v>28.799999999999997</v>
          </cell>
        </row>
      </sheetData>
      <sheetData sheetId="1419">
        <row r="23">
          <cell r="N23">
            <v>28.799999999999997</v>
          </cell>
        </row>
      </sheetData>
      <sheetData sheetId="1420">
        <row r="23">
          <cell r="N23">
            <v>28.799999999999997</v>
          </cell>
        </row>
      </sheetData>
      <sheetData sheetId="1421">
        <row r="23">
          <cell r="N23">
            <v>28.799999999999997</v>
          </cell>
        </row>
      </sheetData>
      <sheetData sheetId="1422">
        <row r="23">
          <cell r="N23">
            <v>28.799999999999997</v>
          </cell>
        </row>
      </sheetData>
      <sheetData sheetId="1423">
        <row r="23">
          <cell r="N23">
            <v>28.799999999999997</v>
          </cell>
        </row>
      </sheetData>
      <sheetData sheetId="1424">
        <row r="23">
          <cell r="N23">
            <v>28.799999999999997</v>
          </cell>
        </row>
      </sheetData>
      <sheetData sheetId="1425">
        <row r="23">
          <cell r="N23">
            <v>28.799999999999997</v>
          </cell>
        </row>
      </sheetData>
      <sheetData sheetId="1426">
        <row r="23">
          <cell r="N23">
            <v>28.799999999999997</v>
          </cell>
        </row>
      </sheetData>
      <sheetData sheetId="1427">
        <row r="23">
          <cell r="N23">
            <v>28.799999999999997</v>
          </cell>
        </row>
      </sheetData>
      <sheetData sheetId="1428">
        <row r="23">
          <cell r="N23">
            <v>28.799999999999997</v>
          </cell>
        </row>
      </sheetData>
      <sheetData sheetId="1429">
        <row r="23">
          <cell r="N23">
            <v>28.799999999999997</v>
          </cell>
        </row>
      </sheetData>
      <sheetData sheetId="1430">
        <row r="23">
          <cell r="N23">
            <v>28.799999999999997</v>
          </cell>
        </row>
      </sheetData>
      <sheetData sheetId="1431">
        <row r="23">
          <cell r="N23">
            <v>28.799999999999997</v>
          </cell>
        </row>
      </sheetData>
      <sheetData sheetId="1432">
        <row r="23">
          <cell r="N23">
            <v>28.799999999999997</v>
          </cell>
        </row>
      </sheetData>
      <sheetData sheetId="1433">
        <row r="23">
          <cell r="N23">
            <v>28.799999999999997</v>
          </cell>
        </row>
      </sheetData>
      <sheetData sheetId="1434">
        <row r="23">
          <cell r="N23">
            <v>28.799999999999997</v>
          </cell>
        </row>
      </sheetData>
      <sheetData sheetId="1435">
        <row r="23">
          <cell r="N23">
            <v>28.799999999999997</v>
          </cell>
        </row>
      </sheetData>
      <sheetData sheetId="1436">
        <row r="23">
          <cell r="N23">
            <v>28.799999999999997</v>
          </cell>
        </row>
      </sheetData>
      <sheetData sheetId="1437">
        <row r="23">
          <cell r="N23">
            <v>28.799999999999997</v>
          </cell>
        </row>
      </sheetData>
      <sheetData sheetId="1438">
        <row r="23">
          <cell r="N23">
            <v>28.799999999999997</v>
          </cell>
        </row>
      </sheetData>
      <sheetData sheetId="1439">
        <row r="23">
          <cell r="N23">
            <v>28.799999999999997</v>
          </cell>
        </row>
      </sheetData>
      <sheetData sheetId="1440">
        <row r="23">
          <cell r="N23">
            <v>28.799999999999997</v>
          </cell>
        </row>
      </sheetData>
      <sheetData sheetId="1441">
        <row r="23">
          <cell r="N23">
            <v>28.799999999999997</v>
          </cell>
        </row>
      </sheetData>
      <sheetData sheetId="1442">
        <row r="23">
          <cell r="N23">
            <v>28.799999999999997</v>
          </cell>
        </row>
      </sheetData>
      <sheetData sheetId="1443">
        <row r="23">
          <cell r="N23">
            <v>28.799999999999997</v>
          </cell>
        </row>
      </sheetData>
      <sheetData sheetId="1444">
        <row r="23">
          <cell r="N23">
            <v>28.799999999999997</v>
          </cell>
        </row>
      </sheetData>
      <sheetData sheetId="1445">
        <row r="23">
          <cell r="N23">
            <v>28.799999999999997</v>
          </cell>
        </row>
      </sheetData>
      <sheetData sheetId="1446">
        <row r="23">
          <cell r="N23">
            <v>28.799999999999997</v>
          </cell>
        </row>
      </sheetData>
      <sheetData sheetId="1447">
        <row r="23">
          <cell r="N23">
            <v>28.799999999999997</v>
          </cell>
        </row>
      </sheetData>
      <sheetData sheetId="1448">
        <row r="23">
          <cell r="N23">
            <v>28.799999999999997</v>
          </cell>
        </row>
      </sheetData>
      <sheetData sheetId="1449">
        <row r="23">
          <cell r="N23">
            <v>28.799999999999997</v>
          </cell>
        </row>
      </sheetData>
      <sheetData sheetId="1450">
        <row r="23">
          <cell r="N23">
            <v>28.799999999999997</v>
          </cell>
        </row>
      </sheetData>
      <sheetData sheetId="1451">
        <row r="23">
          <cell r="N23">
            <v>28.799999999999997</v>
          </cell>
        </row>
      </sheetData>
      <sheetData sheetId="1452">
        <row r="23">
          <cell r="N23">
            <v>28.799999999999997</v>
          </cell>
        </row>
      </sheetData>
      <sheetData sheetId="1453">
        <row r="23">
          <cell r="N23">
            <v>28.799999999999997</v>
          </cell>
        </row>
      </sheetData>
      <sheetData sheetId="1454">
        <row r="23">
          <cell r="N23">
            <v>28.799999999999997</v>
          </cell>
        </row>
      </sheetData>
      <sheetData sheetId="1455">
        <row r="23">
          <cell r="N23">
            <v>28.799999999999997</v>
          </cell>
        </row>
      </sheetData>
      <sheetData sheetId="1456">
        <row r="23">
          <cell r="N23">
            <v>28.799999999999997</v>
          </cell>
        </row>
      </sheetData>
      <sheetData sheetId="1457">
        <row r="23">
          <cell r="N23">
            <v>28.799999999999997</v>
          </cell>
        </row>
      </sheetData>
      <sheetData sheetId="1458">
        <row r="23">
          <cell r="N23">
            <v>28.799999999999997</v>
          </cell>
        </row>
      </sheetData>
      <sheetData sheetId="1459">
        <row r="23">
          <cell r="N23">
            <v>28.799999999999997</v>
          </cell>
        </row>
      </sheetData>
      <sheetData sheetId="1460">
        <row r="23">
          <cell r="N23">
            <v>28.799999999999997</v>
          </cell>
        </row>
      </sheetData>
      <sheetData sheetId="1461">
        <row r="23">
          <cell r="N23">
            <v>28.799999999999997</v>
          </cell>
        </row>
      </sheetData>
      <sheetData sheetId="1462">
        <row r="23">
          <cell r="N23">
            <v>28.799999999999997</v>
          </cell>
        </row>
      </sheetData>
      <sheetData sheetId="1463">
        <row r="23">
          <cell r="N23">
            <v>28.799999999999997</v>
          </cell>
        </row>
      </sheetData>
      <sheetData sheetId="1464">
        <row r="23">
          <cell r="N23">
            <v>28.799999999999997</v>
          </cell>
        </row>
      </sheetData>
      <sheetData sheetId="1465">
        <row r="23">
          <cell r="N23">
            <v>28.799999999999997</v>
          </cell>
        </row>
      </sheetData>
      <sheetData sheetId="1466">
        <row r="23">
          <cell r="N23">
            <v>28.799999999999997</v>
          </cell>
        </row>
      </sheetData>
      <sheetData sheetId="1467">
        <row r="23">
          <cell r="N23">
            <v>28.799999999999997</v>
          </cell>
        </row>
      </sheetData>
      <sheetData sheetId="1468">
        <row r="23">
          <cell r="N23">
            <v>28.799999999999997</v>
          </cell>
        </row>
      </sheetData>
      <sheetData sheetId="1469">
        <row r="23">
          <cell r="N23">
            <v>28.799999999999997</v>
          </cell>
        </row>
      </sheetData>
      <sheetData sheetId="1470">
        <row r="23">
          <cell r="N23">
            <v>28.799999999999997</v>
          </cell>
        </row>
      </sheetData>
      <sheetData sheetId="1471">
        <row r="23">
          <cell r="N23">
            <v>28.799999999999997</v>
          </cell>
        </row>
      </sheetData>
      <sheetData sheetId="1472">
        <row r="23">
          <cell r="N23">
            <v>28.799999999999997</v>
          </cell>
        </row>
      </sheetData>
      <sheetData sheetId="1473">
        <row r="23">
          <cell r="N23">
            <v>28.799999999999997</v>
          </cell>
        </row>
      </sheetData>
      <sheetData sheetId="1474">
        <row r="23">
          <cell r="N23">
            <v>28.799999999999997</v>
          </cell>
        </row>
      </sheetData>
      <sheetData sheetId="1475">
        <row r="23">
          <cell r="N23">
            <v>28.799999999999997</v>
          </cell>
        </row>
      </sheetData>
      <sheetData sheetId="1476">
        <row r="23">
          <cell r="N23">
            <v>28.799999999999997</v>
          </cell>
        </row>
      </sheetData>
      <sheetData sheetId="1477">
        <row r="23">
          <cell r="N23">
            <v>28.799999999999997</v>
          </cell>
        </row>
      </sheetData>
      <sheetData sheetId="1478">
        <row r="23">
          <cell r="N23">
            <v>28.799999999999997</v>
          </cell>
        </row>
      </sheetData>
      <sheetData sheetId="1479">
        <row r="23">
          <cell r="N23">
            <v>28.799999999999997</v>
          </cell>
        </row>
      </sheetData>
      <sheetData sheetId="1480">
        <row r="23">
          <cell r="N23">
            <v>28.799999999999997</v>
          </cell>
        </row>
      </sheetData>
      <sheetData sheetId="1481">
        <row r="23">
          <cell r="N23">
            <v>28.799999999999997</v>
          </cell>
        </row>
      </sheetData>
      <sheetData sheetId="1482">
        <row r="23">
          <cell r="N23">
            <v>28.799999999999997</v>
          </cell>
        </row>
      </sheetData>
      <sheetData sheetId="1483">
        <row r="23">
          <cell r="N23">
            <v>28.799999999999997</v>
          </cell>
        </row>
      </sheetData>
      <sheetData sheetId="1484">
        <row r="23">
          <cell r="N23">
            <v>28.799999999999997</v>
          </cell>
        </row>
      </sheetData>
      <sheetData sheetId="1485">
        <row r="23">
          <cell r="N23">
            <v>28.799999999999997</v>
          </cell>
        </row>
      </sheetData>
      <sheetData sheetId="1486">
        <row r="23">
          <cell r="N23">
            <v>28.799999999999997</v>
          </cell>
        </row>
      </sheetData>
      <sheetData sheetId="1487">
        <row r="23">
          <cell r="N23">
            <v>28.799999999999997</v>
          </cell>
        </row>
      </sheetData>
      <sheetData sheetId="1488">
        <row r="23">
          <cell r="N23">
            <v>28.799999999999997</v>
          </cell>
        </row>
      </sheetData>
      <sheetData sheetId="1489">
        <row r="23">
          <cell r="N23">
            <v>28.799999999999997</v>
          </cell>
        </row>
      </sheetData>
      <sheetData sheetId="1490">
        <row r="23">
          <cell r="N23">
            <v>28.799999999999997</v>
          </cell>
        </row>
      </sheetData>
      <sheetData sheetId="1491">
        <row r="23">
          <cell r="N23">
            <v>28.799999999999997</v>
          </cell>
        </row>
      </sheetData>
      <sheetData sheetId="1492">
        <row r="23">
          <cell r="N23">
            <v>28.799999999999997</v>
          </cell>
        </row>
      </sheetData>
      <sheetData sheetId="1493">
        <row r="23">
          <cell r="N23">
            <v>28.799999999999997</v>
          </cell>
        </row>
      </sheetData>
      <sheetData sheetId="1494">
        <row r="23">
          <cell r="N23">
            <v>28.799999999999997</v>
          </cell>
        </row>
      </sheetData>
      <sheetData sheetId="1495">
        <row r="23">
          <cell r="N23">
            <v>28.799999999999997</v>
          </cell>
        </row>
      </sheetData>
      <sheetData sheetId="1496">
        <row r="23">
          <cell r="N23">
            <v>28.799999999999997</v>
          </cell>
        </row>
      </sheetData>
      <sheetData sheetId="1497">
        <row r="23">
          <cell r="N23">
            <v>28.799999999999997</v>
          </cell>
        </row>
      </sheetData>
      <sheetData sheetId="1498">
        <row r="23">
          <cell r="N23">
            <v>28.799999999999997</v>
          </cell>
        </row>
      </sheetData>
      <sheetData sheetId="1499">
        <row r="23">
          <cell r="N23">
            <v>28.799999999999997</v>
          </cell>
        </row>
      </sheetData>
      <sheetData sheetId="1500">
        <row r="23">
          <cell r="N23">
            <v>28.799999999999997</v>
          </cell>
        </row>
      </sheetData>
      <sheetData sheetId="1501">
        <row r="23">
          <cell r="N23">
            <v>28.799999999999997</v>
          </cell>
        </row>
      </sheetData>
      <sheetData sheetId="1502">
        <row r="23">
          <cell r="N23">
            <v>28.799999999999997</v>
          </cell>
        </row>
      </sheetData>
      <sheetData sheetId="1503">
        <row r="23">
          <cell r="N23">
            <v>28.799999999999997</v>
          </cell>
        </row>
      </sheetData>
      <sheetData sheetId="1504">
        <row r="23">
          <cell r="N23">
            <v>28.799999999999997</v>
          </cell>
        </row>
      </sheetData>
      <sheetData sheetId="1505">
        <row r="23">
          <cell r="N23">
            <v>28.799999999999997</v>
          </cell>
        </row>
      </sheetData>
      <sheetData sheetId="1506">
        <row r="23">
          <cell r="N23">
            <v>28.799999999999997</v>
          </cell>
        </row>
      </sheetData>
      <sheetData sheetId="1507">
        <row r="23">
          <cell r="N23">
            <v>28.799999999999997</v>
          </cell>
        </row>
      </sheetData>
      <sheetData sheetId="1508">
        <row r="23">
          <cell r="N23">
            <v>28.799999999999997</v>
          </cell>
        </row>
      </sheetData>
      <sheetData sheetId="1509">
        <row r="23">
          <cell r="N23">
            <v>28.799999999999997</v>
          </cell>
        </row>
      </sheetData>
      <sheetData sheetId="1510">
        <row r="23">
          <cell r="N23">
            <v>28.799999999999997</v>
          </cell>
        </row>
      </sheetData>
      <sheetData sheetId="1511">
        <row r="23">
          <cell r="N23">
            <v>28.799999999999997</v>
          </cell>
        </row>
      </sheetData>
      <sheetData sheetId="1512">
        <row r="23">
          <cell r="N23">
            <v>28.799999999999997</v>
          </cell>
        </row>
      </sheetData>
      <sheetData sheetId="1513">
        <row r="23">
          <cell r="N23">
            <v>28.799999999999997</v>
          </cell>
        </row>
      </sheetData>
      <sheetData sheetId="1514">
        <row r="23">
          <cell r="N23">
            <v>28.799999999999997</v>
          </cell>
        </row>
      </sheetData>
      <sheetData sheetId="1515">
        <row r="23">
          <cell r="N23">
            <v>28.799999999999997</v>
          </cell>
        </row>
      </sheetData>
      <sheetData sheetId="1516">
        <row r="23">
          <cell r="N23">
            <v>28.799999999999997</v>
          </cell>
        </row>
      </sheetData>
      <sheetData sheetId="1517">
        <row r="23">
          <cell r="N23">
            <v>28.799999999999997</v>
          </cell>
        </row>
      </sheetData>
      <sheetData sheetId="1518">
        <row r="23">
          <cell r="N23">
            <v>28.799999999999997</v>
          </cell>
        </row>
      </sheetData>
      <sheetData sheetId="1519">
        <row r="23">
          <cell r="N23">
            <v>28.799999999999997</v>
          </cell>
        </row>
      </sheetData>
      <sheetData sheetId="1520">
        <row r="23">
          <cell r="N23">
            <v>28.799999999999997</v>
          </cell>
        </row>
      </sheetData>
      <sheetData sheetId="1521">
        <row r="23">
          <cell r="N23">
            <v>28.799999999999997</v>
          </cell>
        </row>
      </sheetData>
      <sheetData sheetId="1522">
        <row r="23">
          <cell r="N23">
            <v>28.799999999999997</v>
          </cell>
        </row>
      </sheetData>
      <sheetData sheetId="1523">
        <row r="23">
          <cell r="N23">
            <v>28.799999999999997</v>
          </cell>
        </row>
      </sheetData>
      <sheetData sheetId="1524">
        <row r="23">
          <cell r="N23">
            <v>28.799999999999997</v>
          </cell>
        </row>
      </sheetData>
      <sheetData sheetId="1525">
        <row r="23">
          <cell r="N23">
            <v>28.799999999999997</v>
          </cell>
        </row>
      </sheetData>
      <sheetData sheetId="1526">
        <row r="23">
          <cell r="N23">
            <v>28.799999999999997</v>
          </cell>
        </row>
      </sheetData>
      <sheetData sheetId="1527">
        <row r="23">
          <cell r="N23">
            <v>28.799999999999997</v>
          </cell>
        </row>
      </sheetData>
      <sheetData sheetId="1528">
        <row r="23">
          <cell r="N23">
            <v>28.799999999999997</v>
          </cell>
        </row>
      </sheetData>
      <sheetData sheetId="1529">
        <row r="23">
          <cell r="N23">
            <v>28.799999999999997</v>
          </cell>
        </row>
      </sheetData>
      <sheetData sheetId="1530">
        <row r="23">
          <cell r="N23">
            <v>28.799999999999997</v>
          </cell>
        </row>
      </sheetData>
      <sheetData sheetId="1531">
        <row r="23">
          <cell r="N23">
            <v>28.799999999999997</v>
          </cell>
        </row>
      </sheetData>
      <sheetData sheetId="1532">
        <row r="23">
          <cell r="N23">
            <v>28.799999999999997</v>
          </cell>
        </row>
      </sheetData>
      <sheetData sheetId="1533">
        <row r="23">
          <cell r="N23">
            <v>28.799999999999997</v>
          </cell>
        </row>
      </sheetData>
      <sheetData sheetId="1534">
        <row r="23">
          <cell r="N23">
            <v>28.799999999999997</v>
          </cell>
        </row>
      </sheetData>
      <sheetData sheetId="1535">
        <row r="23">
          <cell r="N23">
            <v>28.799999999999997</v>
          </cell>
        </row>
      </sheetData>
      <sheetData sheetId="1536">
        <row r="23">
          <cell r="N23">
            <v>28.799999999999997</v>
          </cell>
        </row>
      </sheetData>
      <sheetData sheetId="1537">
        <row r="23">
          <cell r="N23">
            <v>28.799999999999997</v>
          </cell>
        </row>
      </sheetData>
      <sheetData sheetId="1538">
        <row r="23">
          <cell r="N23">
            <v>28.799999999999997</v>
          </cell>
        </row>
      </sheetData>
      <sheetData sheetId="1539">
        <row r="23">
          <cell r="N23">
            <v>28.799999999999997</v>
          </cell>
        </row>
      </sheetData>
      <sheetData sheetId="1540">
        <row r="23">
          <cell r="N23">
            <v>28.799999999999997</v>
          </cell>
        </row>
      </sheetData>
      <sheetData sheetId="1541">
        <row r="23">
          <cell r="N23">
            <v>28.799999999999997</v>
          </cell>
        </row>
      </sheetData>
      <sheetData sheetId="1542">
        <row r="23">
          <cell r="N23">
            <v>28.799999999999997</v>
          </cell>
        </row>
      </sheetData>
      <sheetData sheetId="1543">
        <row r="23">
          <cell r="N23">
            <v>28.799999999999997</v>
          </cell>
        </row>
      </sheetData>
      <sheetData sheetId="1544">
        <row r="23">
          <cell r="N23">
            <v>28.799999999999997</v>
          </cell>
        </row>
      </sheetData>
      <sheetData sheetId="1545">
        <row r="23">
          <cell r="N23">
            <v>28.799999999999997</v>
          </cell>
        </row>
      </sheetData>
      <sheetData sheetId="1546">
        <row r="23">
          <cell r="N23">
            <v>28.799999999999997</v>
          </cell>
        </row>
      </sheetData>
      <sheetData sheetId="1547">
        <row r="23">
          <cell r="N23">
            <v>28.799999999999997</v>
          </cell>
        </row>
      </sheetData>
      <sheetData sheetId="1548">
        <row r="23">
          <cell r="N23">
            <v>28.799999999999997</v>
          </cell>
        </row>
      </sheetData>
      <sheetData sheetId="1549">
        <row r="23">
          <cell r="N23">
            <v>28.799999999999997</v>
          </cell>
        </row>
      </sheetData>
      <sheetData sheetId="1550">
        <row r="23">
          <cell r="N23">
            <v>28.799999999999997</v>
          </cell>
        </row>
      </sheetData>
      <sheetData sheetId="1551">
        <row r="23">
          <cell r="N23">
            <v>28.799999999999997</v>
          </cell>
        </row>
      </sheetData>
      <sheetData sheetId="1552">
        <row r="23">
          <cell r="N23">
            <v>28.799999999999997</v>
          </cell>
        </row>
      </sheetData>
      <sheetData sheetId="1553">
        <row r="23">
          <cell r="N23">
            <v>28.799999999999997</v>
          </cell>
        </row>
      </sheetData>
      <sheetData sheetId="1554">
        <row r="23">
          <cell r="N23">
            <v>28.799999999999997</v>
          </cell>
        </row>
      </sheetData>
      <sheetData sheetId="1555">
        <row r="23">
          <cell r="N23">
            <v>28.799999999999997</v>
          </cell>
        </row>
      </sheetData>
      <sheetData sheetId="1556">
        <row r="23">
          <cell r="N23">
            <v>28.799999999999997</v>
          </cell>
        </row>
      </sheetData>
      <sheetData sheetId="1557">
        <row r="23">
          <cell r="N23">
            <v>28.799999999999997</v>
          </cell>
        </row>
      </sheetData>
      <sheetData sheetId="1558">
        <row r="23">
          <cell r="N23">
            <v>28.799999999999997</v>
          </cell>
        </row>
      </sheetData>
      <sheetData sheetId="1559">
        <row r="23">
          <cell r="N23">
            <v>28.799999999999997</v>
          </cell>
        </row>
      </sheetData>
      <sheetData sheetId="1560">
        <row r="23">
          <cell r="N23">
            <v>28.799999999999997</v>
          </cell>
        </row>
      </sheetData>
      <sheetData sheetId="1561">
        <row r="23">
          <cell r="N23">
            <v>28.799999999999997</v>
          </cell>
        </row>
      </sheetData>
      <sheetData sheetId="1562">
        <row r="23">
          <cell r="N23">
            <v>28.799999999999997</v>
          </cell>
        </row>
      </sheetData>
      <sheetData sheetId="1563">
        <row r="23">
          <cell r="N23">
            <v>28.799999999999997</v>
          </cell>
        </row>
      </sheetData>
      <sheetData sheetId="1564">
        <row r="23">
          <cell r="N23">
            <v>28.799999999999997</v>
          </cell>
        </row>
      </sheetData>
      <sheetData sheetId="1565">
        <row r="23">
          <cell r="N23">
            <v>28.799999999999997</v>
          </cell>
        </row>
      </sheetData>
      <sheetData sheetId="1566">
        <row r="23">
          <cell r="N23">
            <v>28.799999999999997</v>
          </cell>
        </row>
      </sheetData>
      <sheetData sheetId="1567">
        <row r="23">
          <cell r="N23">
            <v>28.799999999999997</v>
          </cell>
        </row>
      </sheetData>
      <sheetData sheetId="1568">
        <row r="23">
          <cell r="N23">
            <v>28.799999999999997</v>
          </cell>
        </row>
      </sheetData>
      <sheetData sheetId="1569">
        <row r="23">
          <cell r="N23">
            <v>28.799999999999997</v>
          </cell>
        </row>
      </sheetData>
      <sheetData sheetId="1570">
        <row r="23">
          <cell r="N23">
            <v>28.799999999999997</v>
          </cell>
        </row>
      </sheetData>
      <sheetData sheetId="1571">
        <row r="23">
          <cell r="N23">
            <v>28.799999999999997</v>
          </cell>
        </row>
      </sheetData>
      <sheetData sheetId="1572">
        <row r="23">
          <cell r="N23">
            <v>28.799999999999997</v>
          </cell>
        </row>
      </sheetData>
      <sheetData sheetId="1573">
        <row r="23">
          <cell r="N23">
            <v>28.799999999999997</v>
          </cell>
        </row>
      </sheetData>
      <sheetData sheetId="1574">
        <row r="23">
          <cell r="N23">
            <v>28.799999999999997</v>
          </cell>
        </row>
      </sheetData>
      <sheetData sheetId="1575">
        <row r="23">
          <cell r="N23">
            <v>28.799999999999997</v>
          </cell>
        </row>
      </sheetData>
      <sheetData sheetId="1576">
        <row r="23">
          <cell r="N23">
            <v>28.799999999999997</v>
          </cell>
        </row>
      </sheetData>
      <sheetData sheetId="1577">
        <row r="23">
          <cell r="N23">
            <v>28.799999999999997</v>
          </cell>
        </row>
      </sheetData>
      <sheetData sheetId="1578">
        <row r="23">
          <cell r="N23">
            <v>28.799999999999997</v>
          </cell>
        </row>
      </sheetData>
      <sheetData sheetId="1579">
        <row r="23">
          <cell r="N23">
            <v>28.799999999999997</v>
          </cell>
        </row>
      </sheetData>
      <sheetData sheetId="1580">
        <row r="23">
          <cell r="N23">
            <v>28.799999999999997</v>
          </cell>
        </row>
      </sheetData>
      <sheetData sheetId="1581">
        <row r="23">
          <cell r="N23">
            <v>28.799999999999997</v>
          </cell>
        </row>
      </sheetData>
      <sheetData sheetId="1582">
        <row r="23">
          <cell r="N23">
            <v>28.799999999999997</v>
          </cell>
        </row>
      </sheetData>
      <sheetData sheetId="1583">
        <row r="23">
          <cell r="N23">
            <v>28.799999999999997</v>
          </cell>
        </row>
      </sheetData>
      <sheetData sheetId="1584">
        <row r="23">
          <cell r="N23">
            <v>28.799999999999997</v>
          </cell>
        </row>
      </sheetData>
      <sheetData sheetId="1585">
        <row r="23">
          <cell r="N23">
            <v>28.799999999999997</v>
          </cell>
        </row>
      </sheetData>
      <sheetData sheetId="1586">
        <row r="23">
          <cell r="N23">
            <v>28.799999999999997</v>
          </cell>
        </row>
      </sheetData>
      <sheetData sheetId="1587">
        <row r="23">
          <cell r="N23">
            <v>28.799999999999997</v>
          </cell>
        </row>
      </sheetData>
      <sheetData sheetId="1588">
        <row r="23">
          <cell r="N23">
            <v>28.799999999999997</v>
          </cell>
        </row>
      </sheetData>
      <sheetData sheetId="1589">
        <row r="23">
          <cell r="N23">
            <v>28.799999999999997</v>
          </cell>
        </row>
      </sheetData>
      <sheetData sheetId="1590">
        <row r="23">
          <cell r="N23">
            <v>28.799999999999997</v>
          </cell>
        </row>
      </sheetData>
      <sheetData sheetId="1591">
        <row r="23">
          <cell r="N23">
            <v>28.799999999999997</v>
          </cell>
        </row>
      </sheetData>
      <sheetData sheetId="1592">
        <row r="23">
          <cell r="N23">
            <v>28.799999999999997</v>
          </cell>
        </row>
      </sheetData>
      <sheetData sheetId="1593">
        <row r="23">
          <cell r="N23">
            <v>28.799999999999997</v>
          </cell>
        </row>
      </sheetData>
      <sheetData sheetId="1594">
        <row r="23">
          <cell r="N23">
            <v>28.799999999999997</v>
          </cell>
        </row>
      </sheetData>
      <sheetData sheetId="1595">
        <row r="23">
          <cell r="N23">
            <v>28.799999999999997</v>
          </cell>
        </row>
      </sheetData>
      <sheetData sheetId="1596">
        <row r="23">
          <cell r="N23">
            <v>28.799999999999997</v>
          </cell>
        </row>
      </sheetData>
      <sheetData sheetId="1597">
        <row r="23">
          <cell r="N23">
            <v>28.799999999999997</v>
          </cell>
        </row>
      </sheetData>
      <sheetData sheetId="1598">
        <row r="23">
          <cell r="N23">
            <v>28.799999999999997</v>
          </cell>
        </row>
      </sheetData>
      <sheetData sheetId="1599">
        <row r="23">
          <cell r="N23">
            <v>28.799999999999997</v>
          </cell>
        </row>
      </sheetData>
      <sheetData sheetId="1600">
        <row r="23">
          <cell r="N23">
            <v>28.799999999999997</v>
          </cell>
        </row>
      </sheetData>
      <sheetData sheetId="1601">
        <row r="23">
          <cell r="N23">
            <v>28.799999999999997</v>
          </cell>
        </row>
      </sheetData>
      <sheetData sheetId="1602">
        <row r="23">
          <cell r="N23">
            <v>28.799999999999997</v>
          </cell>
        </row>
      </sheetData>
      <sheetData sheetId="1603">
        <row r="23">
          <cell r="N23">
            <v>28.799999999999997</v>
          </cell>
        </row>
      </sheetData>
      <sheetData sheetId="1604">
        <row r="23">
          <cell r="N23">
            <v>28.799999999999997</v>
          </cell>
        </row>
      </sheetData>
      <sheetData sheetId="1605">
        <row r="23">
          <cell r="N23">
            <v>28.799999999999997</v>
          </cell>
        </row>
      </sheetData>
      <sheetData sheetId="1606">
        <row r="23">
          <cell r="N23">
            <v>28.799999999999997</v>
          </cell>
        </row>
      </sheetData>
      <sheetData sheetId="1607">
        <row r="23">
          <cell r="N23">
            <v>28.799999999999997</v>
          </cell>
        </row>
      </sheetData>
      <sheetData sheetId="1608">
        <row r="23">
          <cell r="N23">
            <v>28.799999999999997</v>
          </cell>
        </row>
      </sheetData>
      <sheetData sheetId="1609">
        <row r="23">
          <cell r="N23">
            <v>28.799999999999997</v>
          </cell>
        </row>
      </sheetData>
      <sheetData sheetId="1610">
        <row r="23">
          <cell r="N23">
            <v>28.799999999999997</v>
          </cell>
        </row>
      </sheetData>
      <sheetData sheetId="1611">
        <row r="23">
          <cell r="N23">
            <v>28.799999999999997</v>
          </cell>
        </row>
      </sheetData>
      <sheetData sheetId="1612">
        <row r="23">
          <cell r="N23">
            <v>28.799999999999997</v>
          </cell>
        </row>
      </sheetData>
      <sheetData sheetId="1613">
        <row r="23">
          <cell r="N23">
            <v>28.799999999999997</v>
          </cell>
        </row>
      </sheetData>
      <sheetData sheetId="1614">
        <row r="23">
          <cell r="N23">
            <v>28.799999999999997</v>
          </cell>
        </row>
      </sheetData>
      <sheetData sheetId="1615">
        <row r="23">
          <cell r="N23">
            <v>28.799999999999997</v>
          </cell>
        </row>
      </sheetData>
      <sheetData sheetId="1616">
        <row r="23">
          <cell r="N23">
            <v>28.799999999999997</v>
          </cell>
        </row>
      </sheetData>
      <sheetData sheetId="1617">
        <row r="23">
          <cell r="N23">
            <v>28.799999999999997</v>
          </cell>
        </row>
      </sheetData>
      <sheetData sheetId="1618">
        <row r="23">
          <cell r="N23">
            <v>28.799999999999997</v>
          </cell>
        </row>
      </sheetData>
      <sheetData sheetId="1619">
        <row r="23">
          <cell r="N23">
            <v>28.799999999999997</v>
          </cell>
        </row>
      </sheetData>
      <sheetData sheetId="1620">
        <row r="23">
          <cell r="N23">
            <v>28.799999999999997</v>
          </cell>
        </row>
      </sheetData>
      <sheetData sheetId="1621">
        <row r="23">
          <cell r="N23">
            <v>28.799999999999997</v>
          </cell>
        </row>
      </sheetData>
      <sheetData sheetId="1622">
        <row r="23">
          <cell r="N23">
            <v>28.799999999999997</v>
          </cell>
        </row>
      </sheetData>
      <sheetData sheetId="1623">
        <row r="23">
          <cell r="N23">
            <v>28.799999999999997</v>
          </cell>
        </row>
      </sheetData>
      <sheetData sheetId="1624">
        <row r="23">
          <cell r="N23">
            <v>28.799999999999997</v>
          </cell>
        </row>
      </sheetData>
      <sheetData sheetId="1625">
        <row r="23">
          <cell r="N23">
            <v>28.799999999999997</v>
          </cell>
        </row>
      </sheetData>
      <sheetData sheetId="1626">
        <row r="23">
          <cell r="N23">
            <v>28.799999999999997</v>
          </cell>
        </row>
      </sheetData>
      <sheetData sheetId="1627">
        <row r="23">
          <cell r="N23">
            <v>28.799999999999997</v>
          </cell>
        </row>
      </sheetData>
      <sheetData sheetId="1628">
        <row r="23">
          <cell r="N23">
            <v>28.799999999999997</v>
          </cell>
        </row>
      </sheetData>
      <sheetData sheetId="1629">
        <row r="23">
          <cell r="N23">
            <v>28.799999999999997</v>
          </cell>
        </row>
      </sheetData>
      <sheetData sheetId="1630">
        <row r="23">
          <cell r="N23">
            <v>28.799999999999997</v>
          </cell>
        </row>
      </sheetData>
      <sheetData sheetId="1631">
        <row r="23">
          <cell r="N23">
            <v>28.799999999999997</v>
          </cell>
        </row>
      </sheetData>
      <sheetData sheetId="1632">
        <row r="23">
          <cell r="N23">
            <v>28.799999999999997</v>
          </cell>
        </row>
      </sheetData>
      <sheetData sheetId="1633">
        <row r="23">
          <cell r="N23">
            <v>28.799999999999997</v>
          </cell>
        </row>
      </sheetData>
      <sheetData sheetId="1634">
        <row r="23">
          <cell r="N23">
            <v>28.799999999999997</v>
          </cell>
        </row>
      </sheetData>
      <sheetData sheetId="1635">
        <row r="23">
          <cell r="N23">
            <v>28.799999999999997</v>
          </cell>
        </row>
      </sheetData>
      <sheetData sheetId="1636">
        <row r="23">
          <cell r="N23">
            <v>28.799999999999997</v>
          </cell>
        </row>
      </sheetData>
      <sheetData sheetId="1637">
        <row r="23">
          <cell r="N23">
            <v>28.799999999999997</v>
          </cell>
        </row>
      </sheetData>
      <sheetData sheetId="1638">
        <row r="23">
          <cell r="N23">
            <v>28.799999999999997</v>
          </cell>
        </row>
      </sheetData>
      <sheetData sheetId="1639">
        <row r="23">
          <cell r="N23">
            <v>28.799999999999997</v>
          </cell>
        </row>
      </sheetData>
      <sheetData sheetId="1640">
        <row r="23">
          <cell r="N23">
            <v>28.799999999999997</v>
          </cell>
        </row>
      </sheetData>
      <sheetData sheetId="1641">
        <row r="23">
          <cell r="N23">
            <v>28.799999999999997</v>
          </cell>
        </row>
      </sheetData>
      <sheetData sheetId="1642">
        <row r="23">
          <cell r="N23">
            <v>28.799999999999997</v>
          </cell>
        </row>
      </sheetData>
      <sheetData sheetId="1643">
        <row r="23">
          <cell r="N23">
            <v>28.799999999999997</v>
          </cell>
        </row>
      </sheetData>
      <sheetData sheetId="1644">
        <row r="23">
          <cell r="N23">
            <v>28.799999999999997</v>
          </cell>
        </row>
      </sheetData>
      <sheetData sheetId="1645">
        <row r="23">
          <cell r="N23">
            <v>28.799999999999997</v>
          </cell>
        </row>
      </sheetData>
      <sheetData sheetId="1646">
        <row r="23">
          <cell r="N23">
            <v>28.799999999999997</v>
          </cell>
        </row>
      </sheetData>
      <sheetData sheetId="1647">
        <row r="23">
          <cell r="N23">
            <v>28.799999999999997</v>
          </cell>
        </row>
      </sheetData>
      <sheetData sheetId="1648">
        <row r="23">
          <cell r="N23">
            <v>28.799999999999997</v>
          </cell>
        </row>
      </sheetData>
      <sheetData sheetId="1649">
        <row r="23">
          <cell r="N23">
            <v>28.799999999999997</v>
          </cell>
        </row>
      </sheetData>
      <sheetData sheetId="1650">
        <row r="23">
          <cell r="N23">
            <v>28.799999999999997</v>
          </cell>
        </row>
      </sheetData>
      <sheetData sheetId="1651">
        <row r="23">
          <cell r="N23">
            <v>28.799999999999997</v>
          </cell>
        </row>
      </sheetData>
      <sheetData sheetId="1652">
        <row r="23">
          <cell r="N23">
            <v>28.799999999999997</v>
          </cell>
        </row>
      </sheetData>
      <sheetData sheetId="1653">
        <row r="23">
          <cell r="N23">
            <v>28.799999999999997</v>
          </cell>
        </row>
      </sheetData>
      <sheetData sheetId="1654">
        <row r="23">
          <cell r="N23">
            <v>28.799999999999997</v>
          </cell>
        </row>
      </sheetData>
      <sheetData sheetId="1655">
        <row r="23">
          <cell r="N23">
            <v>28.799999999999997</v>
          </cell>
        </row>
      </sheetData>
      <sheetData sheetId="1656">
        <row r="23">
          <cell r="N23">
            <v>28.799999999999997</v>
          </cell>
        </row>
      </sheetData>
      <sheetData sheetId="1657">
        <row r="23">
          <cell r="N23">
            <v>28.799999999999997</v>
          </cell>
        </row>
      </sheetData>
      <sheetData sheetId="1658">
        <row r="23">
          <cell r="N23">
            <v>28.799999999999997</v>
          </cell>
        </row>
      </sheetData>
      <sheetData sheetId="1659">
        <row r="23">
          <cell r="N23">
            <v>28.799999999999997</v>
          </cell>
        </row>
      </sheetData>
      <sheetData sheetId="1660">
        <row r="23">
          <cell r="N23">
            <v>28.799999999999997</v>
          </cell>
        </row>
      </sheetData>
      <sheetData sheetId="1661">
        <row r="23">
          <cell r="N23">
            <v>28.799999999999997</v>
          </cell>
        </row>
      </sheetData>
      <sheetData sheetId="1662">
        <row r="23">
          <cell r="N23">
            <v>28.799999999999997</v>
          </cell>
        </row>
      </sheetData>
      <sheetData sheetId="1663">
        <row r="23">
          <cell r="N23">
            <v>28.799999999999997</v>
          </cell>
        </row>
      </sheetData>
      <sheetData sheetId="1664">
        <row r="23">
          <cell r="N23">
            <v>28.799999999999997</v>
          </cell>
        </row>
      </sheetData>
      <sheetData sheetId="1665">
        <row r="23">
          <cell r="N23">
            <v>28.799999999999997</v>
          </cell>
        </row>
      </sheetData>
      <sheetData sheetId="1666">
        <row r="23">
          <cell r="N23">
            <v>28.799999999999997</v>
          </cell>
        </row>
      </sheetData>
      <sheetData sheetId="1667">
        <row r="23">
          <cell r="N23">
            <v>28.799999999999997</v>
          </cell>
        </row>
      </sheetData>
      <sheetData sheetId="1668">
        <row r="23">
          <cell r="N23">
            <v>28.799999999999997</v>
          </cell>
        </row>
      </sheetData>
      <sheetData sheetId="1669">
        <row r="23">
          <cell r="N23">
            <v>28.799999999999997</v>
          </cell>
        </row>
      </sheetData>
      <sheetData sheetId="1670">
        <row r="23">
          <cell r="N23">
            <v>28.799999999999997</v>
          </cell>
        </row>
      </sheetData>
      <sheetData sheetId="1671">
        <row r="23">
          <cell r="N23">
            <v>28.799999999999997</v>
          </cell>
        </row>
      </sheetData>
      <sheetData sheetId="1672">
        <row r="23">
          <cell r="N23">
            <v>28.799999999999997</v>
          </cell>
        </row>
      </sheetData>
      <sheetData sheetId="1673">
        <row r="23">
          <cell r="N23">
            <v>28.799999999999997</v>
          </cell>
        </row>
      </sheetData>
      <sheetData sheetId="1674">
        <row r="23">
          <cell r="N23">
            <v>28.799999999999997</v>
          </cell>
        </row>
      </sheetData>
      <sheetData sheetId="1675">
        <row r="23">
          <cell r="N23">
            <v>28.799999999999997</v>
          </cell>
        </row>
      </sheetData>
      <sheetData sheetId="1676">
        <row r="23">
          <cell r="N23">
            <v>28.799999999999997</v>
          </cell>
        </row>
      </sheetData>
      <sheetData sheetId="1677">
        <row r="23">
          <cell r="N23">
            <v>28.799999999999997</v>
          </cell>
        </row>
      </sheetData>
      <sheetData sheetId="1678">
        <row r="23">
          <cell r="N23">
            <v>28.799999999999997</v>
          </cell>
        </row>
      </sheetData>
      <sheetData sheetId="1679">
        <row r="23">
          <cell r="N23">
            <v>28.799999999999997</v>
          </cell>
        </row>
      </sheetData>
      <sheetData sheetId="1680">
        <row r="23">
          <cell r="N23">
            <v>28.799999999999997</v>
          </cell>
        </row>
      </sheetData>
      <sheetData sheetId="1681">
        <row r="23">
          <cell r="N23">
            <v>28.799999999999997</v>
          </cell>
        </row>
      </sheetData>
      <sheetData sheetId="1682">
        <row r="23">
          <cell r="N23">
            <v>28.799999999999997</v>
          </cell>
        </row>
      </sheetData>
      <sheetData sheetId="1683">
        <row r="23">
          <cell r="N23">
            <v>28.799999999999997</v>
          </cell>
        </row>
      </sheetData>
      <sheetData sheetId="1684">
        <row r="23">
          <cell r="N23">
            <v>28.799999999999997</v>
          </cell>
        </row>
      </sheetData>
      <sheetData sheetId="1685">
        <row r="23">
          <cell r="N23">
            <v>28.799999999999997</v>
          </cell>
        </row>
      </sheetData>
      <sheetData sheetId="1686">
        <row r="23">
          <cell r="N23">
            <v>28.799999999999997</v>
          </cell>
        </row>
      </sheetData>
      <sheetData sheetId="1687">
        <row r="23">
          <cell r="N23">
            <v>28.799999999999997</v>
          </cell>
        </row>
      </sheetData>
      <sheetData sheetId="1688">
        <row r="23">
          <cell r="N23">
            <v>28.799999999999997</v>
          </cell>
        </row>
      </sheetData>
      <sheetData sheetId="1689">
        <row r="23">
          <cell r="N23">
            <v>28.799999999999997</v>
          </cell>
        </row>
      </sheetData>
      <sheetData sheetId="1690">
        <row r="23">
          <cell r="N23">
            <v>28.799999999999997</v>
          </cell>
        </row>
      </sheetData>
      <sheetData sheetId="1691">
        <row r="23">
          <cell r="N23">
            <v>28.799999999999997</v>
          </cell>
        </row>
      </sheetData>
      <sheetData sheetId="1692">
        <row r="23">
          <cell r="N23">
            <v>28.799999999999997</v>
          </cell>
        </row>
      </sheetData>
      <sheetData sheetId="1693">
        <row r="23">
          <cell r="N23">
            <v>28.799999999999997</v>
          </cell>
        </row>
      </sheetData>
      <sheetData sheetId="1694">
        <row r="23">
          <cell r="N23">
            <v>28.799999999999997</v>
          </cell>
        </row>
      </sheetData>
      <sheetData sheetId="1695">
        <row r="23">
          <cell r="N23">
            <v>28.799999999999997</v>
          </cell>
        </row>
      </sheetData>
      <sheetData sheetId="1696">
        <row r="23">
          <cell r="N23">
            <v>28.799999999999997</v>
          </cell>
        </row>
      </sheetData>
      <sheetData sheetId="1697">
        <row r="23">
          <cell r="N23">
            <v>28.799999999999997</v>
          </cell>
        </row>
      </sheetData>
      <sheetData sheetId="1698">
        <row r="23">
          <cell r="N23">
            <v>28.799999999999997</v>
          </cell>
        </row>
      </sheetData>
      <sheetData sheetId="1699">
        <row r="23">
          <cell r="N23">
            <v>28.799999999999997</v>
          </cell>
        </row>
      </sheetData>
      <sheetData sheetId="1700">
        <row r="23">
          <cell r="N23">
            <v>28.799999999999997</v>
          </cell>
        </row>
      </sheetData>
      <sheetData sheetId="1701">
        <row r="23">
          <cell r="N23">
            <v>28.799999999999997</v>
          </cell>
        </row>
      </sheetData>
      <sheetData sheetId="1702">
        <row r="23">
          <cell r="N23">
            <v>28.799999999999997</v>
          </cell>
        </row>
      </sheetData>
      <sheetData sheetId="1703">
        <row r="23">
          <cell r="N23">
            <v>28.799999999999997</v>
          </cell>
        </row>
      </sheetData>
      <sheetData sheetId="1704">
        <row r="23">
          <cell r="N23">
            <v>28.799999999999997</v>
          </cell>
        </row>
      </sheetData>
      <sheetData sheetId="1705">
        <row r="23">
          <cell r="N23">
            <v>28.799999999999997</v>
          </cell>
        </row>
      </sheetData>
      <sheetData sheetId="1706">
        <row r="23">
          <cell r="N23">
            <v>28.799999999999997</v>
          </cell>
        </row>
      </sheetData>
      <sheetData sheetId="1707">
        <row r="23">
          <cell r="N23">
            <v>28.799999999999997</v>
          </cell>
        </row>
      </sheetData>
      <sheetData sheetId="1708">
        <row r="23">
          <cell r="N23">
            <v>28.799999999999997</v>
          </cell>
        </row>
      </sheetData>
      <sheetData sheetId="1709">
        <row r="23">
          <cell r="N23">
            <v>28.799999999999997</v>
          </cell>
        </row>
      </sheetData>
      <sheetData sheetId="1710">
        <row r="23">
          <cell r="N23">
            <v>28.799999999999997</v>
          </cell>
        </row>
      </sheetData>
      <sheetData sheetId="1711">
        <row r="23">
          <cell r="N23">
            <v>28.799999999999997</v>
          </cell>
        </row>
      </sheetData>
      <sheetData sheetId="1712">
        <row r="23">
          <cell r="N23">
            <v>28.799999999999997</v>
          </cell>
        </row>
      </sheetData>
      <sheetData sheetId="1713">
        <row r="23">
          <cell r="N23">
            <v>28.799999999999997</v>
          </cell>
        </row>
      </sheetData>
      <sheetData sheetId="1714">
        <row r="23">
          <cell r="N23">
            <v>28.799999999999997</v>
          </cell>
        </row>
      </sheetData>
      <sheetData sheetId="1715">
        <row r="23">
          <cell r="N23">
            <v>28.799999999999997</v>
          </cell>
        </row>
      </sheetData>
      <sheetData sheetId="1716">
        <row r="23">
          <cell r="N23">
            <v>28.799999999999997</v>
          </cell>
        </row>
      </sheetData>
      <sheetData sheetId="1717">
        <row r="23">
          <cell r="N23">
            <v>28.799999999999997</v>
          </cell>
        </row>
      </sheetData>
      <sheetData sheetId="1718">
        <row r="23">
          <cell r="N23">
            <v>28.799999999999997</v>
          </cell>
        </row>
      </sheetData>
      <sheetData sheetId="1719">
        <row r="23">
          <cell r="N23">
            <v>28.799999999999997</v>
          </cell>
        </row>
      </sheetData>
      <sheetData sheetId="1720">
        <row r="23">
          <cell r="N23">
            <v>28.799999999999997</v>
          </cell>
        </row>
      </sheetData>
      <sheetData sheetId="1721">
        <row r="23">
          <cell r="N23">
            <v>28.799999999999997</v>
          </cell>
        </row>
      </sheetData>
      <sheetData sheetId="1722">
        <row r="23">
          <cell r="N23">
            <v>28.799999999999997</v>
          </cell>
        </row>
      </sheetData>
      <sheetData sheetId="1723">
        <row r="23">
          <cell r="N23">
            <v>28.799999999999997</v>
          </cell>
        </row>
      </sheetData>
      <sheetData sheetId="1724">
        <row r="23">
          <cell r="N23">
            <v>28.799999999999997</v>
          </cell>
        </row>
      </sheetData>
      <sheetData sheetId="1725">
        <row r="23">
          <cell r="N23">
            <v>28.799999999999997</v>
          </cell>
        </row>
      </sheetData>
      <sheetData sheetId="1726">
        <row r="23">
          <cell r="N23">
            <v>28.799999999999997</v>
          </cell>
        </row>
      </sheetData>
      <sheetData sheetId="1727">
        <row r="23">
          <cell r="N23">
            <v>28.799999999999997</v>
          </cell>
        </row>
      </sheetData>
      <sheetData sheetId="1728">
        <row r="23">
          <cell r="N23">
            <v>28.799999999999997</v>
          </cell>
        </row>
      </sheetData>
      <sheetData sheetId="1729">
        <row r="23">
          <cell r="N23">
            <v>28.799999999999997</v>
          </cell>
        </row>
      </sheetData>
      <sheetData sheetId="1730">
        <row r="23">
          <cell r="N23">
            <v>28.799999999999997</v>
          </cell>
        </row>
      </sheetData>
      <sheetData sheetId="1731">
        <row r="23">
          <cell r="N23">
            <v>28.799999999999997</v>
          </cell>
        </row>
      </sheetData>
      <sheetData sheetId="1732">
        <row r="23">
          <cell r="N23">
            <v>28.799999999999997</v>
          </cell>
        </row>
      </sheetData>
      <sheetData sheetId="1733">
        <row r="23">
          <cell r="N23">
            <v>28.799999999999997</v>
          </cell>
        </row>
      </sheetData>
      <sheetData sheetId="1734">
        <row r="23">
          <cell r="N23">
            <v>28.799999999999997</v>
          </cell>
        </row>
      </sheetData>
      <sheetData sheetId="1735">
        <row r="23">
          <cell r="N23">
            <v>28.799999999999997</v>
          </cell>
        </row>
      </sheetData>
      <sheetData sheetId="1736">
        <row r="23">
          <cell r="N23">
            <v>28.799999999999997</v>
          </cell>
        </row>
      </sheetData>
      <sheetData sheetId="1737">
        <row r="23">
          <cell r="N23">
            <v>28.799999999999997</v>
          </cell>
        </row>
      </sheetData>
      <sheetData sheetId="1738">
        <row r="23">
          <cell r="N23">
            <v>28.799999999999997</v>
          </cell>
        </row>
      </sheetData>
      <sheetData sheetId="1739">
        <row r="23">
          <cell r="N23">
            <v>28.799999999999997</v>
          </cell>
        </row>
      </sheetData>
      <sheetData sheetId="1740">
        <row r="23">
          <cell r="N23">
            <v>28.799999999999997</v>
          </cell>
        </row>
      </sheetData>
      <sheetData sheetId="1741">
        <row r="23">
          <cell r="N23">
            <v>28.799999999999997</v>
          </cell>
        </row>
      </sheetData>
      <sheetData sheetId="1742">
        <row r="23">
          <cell r="N23">
            <v>28.799999999999997</v>
          </cell>
        </row>
      </sheetData>
      <sheetData sheetId="1743">
        <row r="23">
          <cell r="N23">
            <v>28.799999999999997</v>
          </cell>
        </row>
      </sheetData>
      <sheetData sheetId="1744">
        <row r="23">
          <cell r="N23">
            <v>28.799999999999997</v>
          </cell>
        </row>
      </sheetData>
      <sheetData sheetId="1745">
        <row r="23">
          <cell r="N23">
            <v>28.799999999999997</v>
          </cell>
        </row>
      </sheetData>
      <sheetData sheetId="1746">
        <row r="23">
          <cell r="N23">
            <v>28.799999999999997</v>
          </cell>
        </row>
      </sheetData>
      <sheetData sheetId="1747">
        <row r="23">
          <cell r="N23">
            <v>28.799999999999997</v>
          </cell>
        </row>
      </sheetData>
      <sheetData sheetId="1748">
        <row r="23">
          <cell r="N23">
            <v>28.799999999999997</v>
          </cell>
        </row>
      </sheetData>
      <sheetData sheetId="1749">
        <row r="23">
          <cell r="N23">
            <v>28.799999999999997</v>
          </cell>
        </row>
      </sheetData>
      <sheetData sheetId="1750">
        <row r="23">
          <cell r="N23">
            <v>28.799999999999997</v>
          </cell>
        </row>
      </sheetData>
      <sheetData sheetId="1751">
        <row r="23">
          <cell r="N23">
            <v>28.799999999999997</v>
          </cell>
        </row>
      </sheetData>
      <sheetData sheetId="1752">
        <row r="23">
          <cell r="N23">
            <v>28.799999999999997</v>
          </cell>
        </row>
      </sheetData>
      <sheetData sheetId="1753">
        <row r="23">
          <cell r="N23">
            <v>28.799999999999997</v>
          </cell>
        </row>
      </sheetData>
      <sheetData sheetId="1754">
        <row r="23">
          <cell r="N23">
            <v>28.799999999999997</v>
          </cell>
        </row>
      </sheetData>
      <sheetData sheetId="1755">
        <row r="23">
          <cell r="N23">
            <v>28.799999999999997</v>
          </cell>
        </row>
      </sheetData>
      <sheetData sheetId="1756">
        <row r="23">
          <cell r="N23">
            <v>28.799999999999997</v>
          </cell>
        </row>
      </sheetData>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ow r="23">
          <cell r="N23">
            <v>28.799999999999997</v>
          </cell>
        </row>
      </sheetData>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ow r="23">
          <cell r="N23">
            <v>28.799999999999997</v>
          </cell>
        </row>
      </sheetData>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ow r="23">
          <cell r="N23">
            <v>28.799999999999997</v>
          </cell>
        </row>
      </sheetData>
      <sheetData sheetId="1866">
        <row r="23">
          <cell r="N23">
            <v>28.799999999999997</v>
          </cell>
        </row>
      </sheetData>
      <sheetData sheetId="1867">
        <row r="23">
          <cell r="N23">
            <v>28.799999999999997</v>
          </cell>
        </row>
      </sheetData>
      <sheetData sheetId="1868">
        <row r="23">
          <cell r="N23">
            <v>28.799999999999997</v>
          </cell>
        </row>
      </sheetData>
      <sheetData sheetId="1869">
        <row r="23">
          <cell r="N23">
            <v>28.799999999999997</v>
          </cell>
        </row>
      </sheetData>
      <sheetData sheetId="1870">
        <row r="23">
          <cell r="N23">
            <v>28.799999999999997</v>
          </cell>
        </row>
      </sheetData>
      <sheetData sheetId="1871">
        <row r="23">
          <cell r="N23">
            <v>28.799999999999997</v>
          </cell>
        </row>
      </sheetData>
      <sheetData sheetId="1872">
        <row r="23">
          <cell r="N23">
            <v>28.799999999999997</v>
          </cell>
        </row>
      </sheetData>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ow r="23">
          <cell r="N23">
            <v>28.799999999999997</v>
          </cell>
        </row>
      </sheetData>
      <sheetData sheetId="1889">
        <row r="23">
          <cell r="N23">
            <v>28.799999999999997</v>
          </cell>
        </row>
      </sheetData>
      <sheetData sheetId="1890"/>
      <sheetData sheetId="1891">
        <row r="23">
          <cell r="N23">
            <v>28.799999999999997</v>
          </cell>
        </row>
      </sheetData>
      <sheetData sheetId="1892">
        <row r="23">
          <cell r="N23">
            <v>28.799999999999997</v>
          </cell>
        </row>
      </sheetData>
      <sheetData sheetId="1893">
        <row r="23">
          <cell r="N23">
            <v>28.799999999999997</v>
          </cell>
        </row>
      </sheetData>
      <sheetData sheetId="1894" refreshError="1"/>
      <sheetData sheetId="1895" refreshError="1"/>
      <sheetData sheetId="1896" refreshError="1"/>
      <sheetData sheetId="1897" refreshError="1"/>
      <sheetData sheetId="1898" refreshError="1"/>
      <sheetData sheetId="1899" refreshError="1"/>
      <sheetData sheetId="1900" refreshError="1"/>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row r="23">
          <cell r="N23">
            <v>28.799999999999997</v>
          </cell>
        </row>
      </sheetData>
      <sheetData sheetId="2135"/>
      <sheetData sheetId="2136">
        <row r="23">
          <cell r="N23">
            <v>28.799999999999997</v>
          </cell>
        </row>
      </sheetData>
      <sheetData sheetId="2137">
        <row r="23">
          <cell r="N23">
            <v>28.799999999999997</v>
          </cell>
        </row>
      </sheetData>
      <sheetData sheetId="2138"/>
      <sheetData sheetId="2139">
        <row r="23">
          <cell r="N23">
            <v>28.799999999999997</v>
          </cell>
        </row>
      </sheetData>
      <sheetData sheetId="2140">
        <row r="23">
          <cell r="N23">
            <v>28.799999999999997</v>
          </cell>
        </row>
      </sheetData>
      <sheetData sheetId="2141">
        <row r="23">
          <cell r="N23">
            <v>28.799999999999997</v>
          </cell>
        </row>
      </sheetData>
      <sheetData sheetId="2142">
        <row r="23">
          <cell r="N23">
            <v>28.799999999999997</v>
          </cell>
        </row>
      </sheetData>
      <sheetData sheetId="2143">
        <row r="23">
          <cell r="N23">
            <v>28.799999999999997</v>
          </cell>
        </row>
      </sheetData>
      <sheetData sheetId="2144"/>
      <sheetData sheetId="2145">
        <row r="23">
          <cell r="N23">
            <v>28.799999999999997</v>
          </cell>
        </row>
      </sheetData>
      <sheetData sheetId="2146"/>
      <sheetData sheetId="2147">
        <row r="23">
          <cell r="N23">
            <v>28.799999999999997</v>
          </cell>
        </row>
      </sheetData>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row r="23">
          <cell r="N23">
            <v>28.799999999999997</v>
          </cell>
        </row>
      </sheetData>
      <sheetData sheetId="2229">
        <row r="23">
          <cell r="N23">
            <v>28.799999999999997</v>
          </cell>
        </row>
      </sheetData>
      <sheetData sheetId="2230">
        <row r="23">
          <cell r="N23">
            <v>28.799999999999997</v>
          </cell>
        </row>
      </sheetData>
      <sheetData sheetId="2231">
        <row r="23">
          <cell r="N23">
            <v>28.799999999999997</v>
          </cell>
        </row>
      </sheetData>
      <sheetData sheetId="2232">
        <row r="23">
          <cell r="N23">
            <v>28.799999999999997</v>
          </cell>
        </row>
      </sheetData>
      <sheetData sheetId="2233">
        <row r="23">
          <cell r="N23">
            <v>28.799999999999997</v>
          </cell>
        </row>
      </sheetData>
      <sheetData sheetId="2234">
        <row r="23">
          <cell r="N23">
            <v>28.799999999999997</v>
          </cell>
        </row>
      </sheetData>
      <sheetData sheetId="2235">
        <row r="23">
          <cell r="N23">
            <v>28.799999999999997</v>
          </cell>
        </row>
      </sheetData>
      <sheetData sheetId="2236">
        <row r="23">
          <cell r="N23">
            <v>28.799999999999997</v>
          </cell>
        </row>
      </sheetData>
      <sheetData sheetId="2237"/>
      <sheetData sheetId="2238"/>
      <sheetData sheetId="2239">
        <row r="23">
          <cell r="N23">
            <v>28.799999999999997</v>
          </cell>
        </row>
      </sheetData>
      <sheetData sheetId="2240"/>
      <sheetData sheetId="2241">
        <row r="23">
          <cell r="N23">
            <v>28.799999999999997</v>
          </cell>
        </row>
      </sheetData>
      <sheetData sheetId="2242">
        <row r="23">
          <cell r="N23">
            <v>28.799999999999997</v>
          </cell>
        </row>
      </sheetData>
      <sheetData sheetId="2243"/>
      <sheetData sheetId="2244">
        <row r="23">
          <cell r="N23">
            <v>28.799999999999997</v>
          </cell>
        </row>
      </sheetData>
      <sheetData sheetId="2245"/>
      <sheetData sheetId="2246">
        <row r="23">
          <cell r="N23">
            <v>28.799999999999997</v>
          </cell>
        </row>
      </sheetData>
      <sheetData sheetId="2247"/>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ow r="23">
          <cell r="N23">
            <v>28.799999999999997</v>
          </cell>
        </row>
      </sheetData>
      <sheetData sheetId="2310">
        <row r="23">
          <cell r="N23">
            <v>28.799999999999997</v>
          </cell>
        </row>
      </sheetData>
      <sheetData sheetId="2311">
        <row r="23">
          <cell r="N23">
            <v>28.799999999999997</v>
          </cell>
        </row>
      </sheetData>
      <sheetData sheetId="2312">
        <row r="23">
          <cell r="N23">
            <v>28.799999999999997</v>
          </cell>
        </row>
      </sheetData>
      <sheetData sheetId="2313" refreshError="1"/>
      <sheetData sheetId="2314" refreshError="1"/>
      <sheetData sheetId="2315" refreshError="1"/>
      <sheetData sheetId="2316" refreshError="1"/>
      <sheetData sheetId="2317" refreshError="1"/>
      <sheetData sheetId="2318" refreshError="1"/>
      <sheetData sheetId="2319"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alisa (2)"/>
      <sheetName val="schedule  (3)"/>
      <sheetName val="schedule  (2)"/>
      <sheetName val="REKAP"/>
      <sheetName val="RAB"/>
      <sheetName val="analisa"/>
      <sheetName val="bahan"/>
      <sheetName val="PRICE BONTANG - MATERIAL"/>
    </sheetNames>
    <sheetDataSet>
      <sheetData sheetId="0"/>
      <sheetData sheetId="1"/>
      <sheetData sheetId="2"/>
      <sheetData sheetId="3"/>
      <sheetData sheetId="4"/>
      <sheetData sheetId="5"/>
      <sheetData sheetId="6" refreshError="1">
        <row r="7">
          <cell r="C7" t="str">
            <v>MATERIAL</v>
          </cell>
        </row>
        <row r="8">
          <cell r="A8">
            <v>1</v>
          </cell>
          <cell r="C8" t="str">
            <v>Pasir beton</v>
          </cell>
          <cell r="E8" t="str">
            <v>m3</v>
          </cell>
          <cell r="G8">
            <v>55000</v>
          </cell>
        </row>
        <row r="9">
          <cell r="A9">
            <v>2</v>
          </cell>
          <cell r="C9" t="str">
            <v>Pasir pasang</v>
          </cell>
          <cell r="E9" t="str">
            <v>m3</v>
          </cell>
          <cell r="G9">
            <v>55000</v>
          </cell>
        </row>
        <row r="10">
          <cell r="A10">
            <v>3</v>
          </cell>
          <cell r="C10" t="str">
            <v>Pasir urug</v>
          </cell>
          <cell r="E10" t="str">
            <v>m3</v>
          </cell>
          <cell r="G10">
            <v>45000</v>
          </cell>
        </row>
        <row r="11">
          <cell r="A11">
            <v>4</v>
          </cell>
          <cell r="C11" t="str">
            <v>Tanah urug</v>
          </cell>
          <cell r="E11" t="str">
            <v>m3</v>
          </cell>
          <cell r="G11">
            <v>30000</v>
          </cell>
        </row>
        <row r="12">
          <cell r="A12">
            <v>5</v>
          </cell>
          <cell r="C12" t="str">
            <v>Stenslag</v>
          </cell>
          <cell r="E12" t="str">
            <v>m3</v>
          </cell>
          <cell r="G12">
            <v>115000</v>
          </cell>
        </row>
        <row r="13">
          <cell r="A13">
            <v>6</v>
          </cell>
          <cell r="C13" t="str">
            <v>Batu belah 15/20 cm</v>
          </cell>
          <cell r="E13" t="str">
            <v>m3</v>
          </cell>
          <cell r="G13">
            <v>50000</v>
          </cell>
        </row>
        <row r="14">
          <cell r="A14">
            <v>7</v>
          </cell>
          <cell r="C14" t="str">
            <v xml:space="preserve">PC </v>
          </cell>
          <cell r="E14" t="str">
            <v>kg</v>
          </cell>
          <cell r="F14" t="str">
            <v>Semen Gresik</v>
          </cell>
          <cell r="G14">
            <v>570</v>
          </cell>
        </row>
        <row r="15">
          <cell r="A15">
            <v>8</v>
          </cell>
          <cell r="C15" t="str">
            <v>PC warna</v>
          </cell>
          <cell r="E15" t="str">
            <v>kg</v>
          </cell>
          <cell r="G15">
            <v>3500</v>
          </cell>
        </row>
        <row r="16">
          <cell r="A16">
            <v>9</v>
          </cell>
          <cell r="C16" t="str">
            <v>Sewa perancah/steger</v>
          </cell>
          <cell r="E16" t="str">
            <v>m2/2bln</v>
          </cell>
          <cell r="G16">
            <v>29200</v>
          </cell>
        </row>
        <row r="17">
          <cell r="A17">
            <v>10</v>
          </cell>
          <cell r="C17" t="str">
            <v>Alat bantu</v>
          </cell>
          <cell r="E17" t="str">
            <v>jam</v>
          </cell>
          <cell r="G17">
            <v>21500</v>
          </cell>
        </row>
        <row r="18">
          <cell r="A18">
            <v>11</v>
          </cell>
          <cell r="C18" t="str">
            <v>Sewa Concrete Mixer 0.5 m3</v>
          </cell>
          <cell r="E18" t="str">
            <v>jam</v>
          </cell>
          <cell r="G18">
            <v>13100</v>
          </cell>
        </row>
        <row r="19">
          <cell r="A19">
            <v>12</v>
          </cell>
          <cell r="C19" t="str">
            <v>Sewa Concrete Pump</v>
          </cell>
          <cell r="E19" t="str">
            <v>jam</v>
          </cell>
          <cell r="G19">
            <v>350000</v>
          </cell>
        </row>
        <row r="20">
          <cell r="A20">
            <v>13</v>
          </cell>
          <cell r="C20" t="str">
            <v>Batu bata 5x11x22</v>
          </cell>
          <cell r="E20" t="str">
            <v>bh</v>
          </cell>
          <cell r="G20">
            <v>225</v>
          </cell>
        </row>
        <row r="21">
          <cell r="A21">
            <v>14</v>
          </cell>
          <cell r="C21" t="str">
            <v>Batako 10x20x40</v>
          </cell>
          <cell r="E21" t="str">
            <v>bh</v>
          </cell>
          <cell r="G21">
            <v>1450</v>
          </cell>
        </row>
        <row r="22">
          <cell r="A22">
            <v>15</v>
          </cell>
          <cell r="C22" t="str">
            <v>Roster bata</v>
          </cell>
          <cell r="E22" t="str">
            <v>bh</v>
          </cell>
          <cell r="G22">
            <v>2500</v>
          </cell>
        </row>
        <row r="25">
          <cell r="C25" t="str">
            <v xml:space="preserve">KAYU </v>
          </cell>
        </row>
        <row r="26">
          <cell r="A26">
            <v>1</v>
          </cell>
          <cell r="C26" t="str">
            <v>Kayu kapur balok</v>
          </cell>
          <cell r="E26" t="str">
            <v>m3</v>
          </cell>
          <cell r="G26">
            <v>2013800</v>
          </cell>
        </row>
        <row r="27">
          <cell r="A27">
            <v>2</v>
          </cell>
          <cell r="C27" t="str">
            <v>Kayu kapur papan</v>
          </cell>
          <cell r="E27" t="str">
            <v>m3</v>
          </cell>
          <cell r="G27">
            <v>2166600</v>
          </cell>
        </row>
        <row r="28">
          <cell r="A28">
            <v>3</v>
          </cell>
          <cell r="C28" t="str">
            <v>Kayu kapur usuk</v>
          </cell>
          <cell r="E28" t="str">
            <v>m3</v>
          </cell>
          <cell r="G28">
            <v>1642800</v>
          </cell>
        </row>
        <row r="29">
          <cell r="A29">
            <v>4</v>
          </cell>
          <cell r="C29" t="str">
            <v>Kayu kapur reng</v>
          </cell>
          <cell r="E29" t="str">
            <v>m3</v>
          </cell>
          <cell r="G29">
            <v>1583300</v>
          </cell>
        </row>
        <row r="30">
          <cell r="A30">
            <v>5</v>
          </cell>
          <cell r="C30" t="str">
            <v>Kayu meranti balok</v>
          </cell>
          <cell r="E30" t="str">
            <v>m3</v>
          </cell>
          <cell r="G30">
            <v>1319444</v>
          </cell>
        </row>
        <row r="31">
          <cell r="A31">
            <v>6</v>
          </cell>
          <cell r="C31" t="str">
            <v>Kayu meranti papan</v>
          </cell>
          <cell r="E31" t="str">
            <v>m3</v>
          </cell>
          <cell r="G31">
            <v>1562500</v>
          </cell>
        </row>
        <row r="32">
          <cell r="A32">
            <v>7</v>
          </cell>
          <cell r="C32" t="str">
            <v>Kayu meranti balok MC</v>
          </cell>
          <cell r="E32" t="str">
            <v>m3</v>
          </cell>
          <cell r="G32">
            <v>989583</v>
          </cell>
        </row>
        <row r="33">
          <cell r="A33">
            <v>8</v>
          </cell>
          <cell r="C33" t="str">
            <v>Kayu meranti papan MC</v>
          </cell>
          <cell r="E33" t="str">
            <v>m3</v>
          </cell>
          <cell r="G33">
            <v>1125000</v>
          </cell>
        </row>
        <row r="34">
          <cell r="A34">
            <v>9</v>
          </cell>
          <cell r="C34" t="str">
            <v>Multipleks 9mm</v>
          </cell>
          <cell r="E34" t="str">
            <v>lbr</v>
          </cell>
          <cell r="G34">
            <v>57000</v>
          </cell>
        </row>
        <row r="36">
          <cell r="C36" t="str">
            <v>BAJA - BESI</v>
          </cell>
        </row>
        <row r="37">
          <cell r="A37">
            <v>1</v>
          </cell>
          <cell r="C37" t="str">
            <v>Besi beton ulir</v>
          </cell>
          <cell r="E37" t="str">
            <v>kg</v>
          </cell>
          <cell r="G37">
            <v>6000</v>
          </cell>
        </row>
        <row r="38">
          <cell r="A38">
            <v>2</v>
          </cell>
          <cell r="C38" t="str">
            <v>Besi beton polos</v>
          </cell>
          <cell r="E38" t="str">
            <v>kg</v>
          </cell>
          <cell r="G38">
            <v>5800</v>
          </cell>
        </row>
        <row r="39">
          <cell r="A39">
            <v>3</v>
          </cell>
          <cell r="C39" t="str">
            <v>Kawat beton</v>
          </cell>
          <cell r="E39" t="str">
            <v>kg</v>
          </cell>
          <cell r="G39">
            <v>7000</v>
          </cell>
        </row>
        <row r="40">
          <cell r="A40">
            <v>4</v>
          </cell>
          <cell r="C40" t="str">
            <v>Baja plat</v>
          </cell>
          <cell r="E40" t="str">
            <v>kg</v>
          </cell>
          <cell r="G40">
            <v>3950</v>
          </cell>
        </row>
        <row r="42">
          <cell r="C42" t="str">
            <v>MUR - BAUT</v>
          </cell>
        </row>
        <row r="43">
          <cell r="A43">
            <v>1</v>
          </cell>
          <cell r="C43" t="str">
            <v>Paku 2"-5"</v>
          </cell>
          <cell r="E43" t="str">
            <v>kg</v>
          </cell>
          <cell r="G43">
            <v>6000</v>
          </cell>
        </row>
        <row r="44">
          <cell r="A44">
            <v>2</v>
          </cell>
          <cell r="C44" t="str">
            <v>Paku 1/4"-1"</v>
          </cell>
          <cell r="E44" t="str">
            <v>kg</v>
          </cell>
          <cell r="G44">
            <v>8400</v>
          </cell>
        </row>
        <row r="45">
          <cell r="A45">
            <v>3</v>
          </cell>
          <cell r="C45" t="str">
            <v>Sekrup</v>
          </cell>
          <cell r="E45" t="str">
            <v>kg</v>
          </cell>
          <cell r="G45">
            <v>10800</v>
          </cell>
        </row>
        <row r="47">
          <cell r="B47" t="str">
            <v xml:space="preserve">CAT </v>
          </cell>
        </row>
        <row r="48">
          <cell r="A48">
            <v>1</v>
          </cell>
          <cell r="C48" t="str">
            <v>Meni besi</v>
          </cell>
          <cell r="E48" t="str">
            <v>kg</v>
          </cell>
          <cell r="F48" t="str">
            <v>Kansai</v>
          </cell>
          <cell r="G48">
            <v>14300</v>
          </cell>
        </row>
        <row r="49">
          <cell r="A49">
            <v>2</v>
          </cell>
          <cell r="C49" t="str">
            <v>Meni kayu</v>
          </cell>
          <cell r="E49" t="str">
            <v>kg</v>
          </cell>
          <cell r="F49" t="str">
            <v>Pedang</v>
          </cell>
          <cell r="G49">
            <v>9000</v>
          </cell>
        </row>
        <row r="50">
          <cell r="A50">
            <v>3</v>
          </cell>
          <cell r="C50" t="str">
            <v>Cat dinding - weathershield</v>
          </cell>
          <cell r="E50" t="str">
            <v>kg</v>
          </cell>
          <cell r="F50" t="str">
            <v>Dulux/Wattyl</v>
          </cell>
          <cell r="G50">
            <v>26400</v>
          </cell>
        </row>
        <row r="51">
          <cell r="A51">
            <v>4</v>
          </cell>
          <cell r="C51" t="str">
            <v>Cat dinding - interior</v>
          </cell>
          <cell r="E51" t="str">
            <v>kg</v>
          </cell>
          <cell r="F51" t="str">
            <v>catylac</v>
          </cell>
          <cell r="G51">
            <v>8400</v>
          </cell>
        </row>
        <row r="52">
          <cell r="A52">
            <v>5</v>
          </cell>
          <cell r="C52" t="str">
            <v>Cat kayu</v>
          </cell>
          <cell r="E52" t="str">
            <v>kg</v>
          </cell>
          <cell r="F52" t="str">
            <v>Emco</v>
          </cell>
          <cell r="G52">
            <v>33500</v>
          </cell>
        </row>
        <row r="53">
          <cell r="A53">
            <v>6</v>
          </cell>
          <cell r="C53" t="str">
            <v>Cat besi</v>
          </cell>
          <cell r="E53" t="str">
            <v>kg</v>
          </cell>
          <cell r="F53" t="str">
            <v>Kansai</v>
          </cell>
          <cell r="G53">
            <v>24750</v>
          </cell>
        </row>
        <row r="54">
          <cell r="A54">
            <v>7</v>
          </cell>
          <cell r="C54" t="str">
            <v>Plamir dinding</v>
          </cell>
          <cell r="E54" t="str">
            <v>kg</v>
          </cell>
          <cell r="G54">
            <v>5000</v>
          </cell>
        </row>
        <row r="55">
          <cell r="A55">
            <v>8</v>
          </cell>
          <cell r="C55" t="str">
            <v>Plamir kayu</v>
          </cell>
          <cell r="E55" t="str">
            <v>kg</v>
          </cell>
          <cell r="F55" t="str">
            <v>IMPRA</v>
          </cell>
          <cell r="G55">
            <v>13500</v>
          </cell>
        </row>
        <row r="56">
          <cell r="A56">
            <v>9</v>
          </cell>
          <cell r="C56" t="str">
            <v>Polytur</v>
          </cell>
          <cell r="E56" t="str">
            <v>kg</v>
          </cell>
          <cell r="G56">
            <v>26000</v>
          </cell>
        </row>
        <row r="57">
          <cell r="A57">
            <v>10</v>
          </cell>
          <cell r="C57" t="str">
            <v>Kertas gosok</v>
          </cell>
          <cell r="E57" t="str">
            <v>bh</v>
          </cell>
          <cell r="G57">
            <v>1500</v>
          </cell>
        </row>
        <row r="58">
          <cell r="A58">
            <v>11</v>
          </cell>
          <cell r="C58" t="str">
            <v xml:space="preserve">Lem </v>
          </cell>
          <cell r="E58" t="str">
            <v>kg</v>
          </cell>
          <cell r="F58" t="str">
            <v>FOX</v>
          </cell>
          <cell r="G58">
            <v>17000</v>
          </cell>
        </row>
        <row r="60">
          <cell r="C60" t="str">
            <v>HANDLE / KUNCI</v>
          </cell>
        </row>
        <row r="61">
          <cell r="A61">
            <v>1</v>
          </cell>
          <cell r="C61" t="str">
            <v>Handle - HRE.65.10</v>
          </cell>
          <cell r="E61" t="str">
            <v>bh</v>
          </cell>
          <cell r="G61">
            <v>516000</v>
          </cell>
          <cell r="H61" t="str">
            <v>terpasang</v>
          </cell>
        </row>
        <row r="62">
          <cell r="A62">
            <v>2</v>
          </cell>
          <cell r="C62" t="str">
            <v>Lockcase - 007</v>
          </cell>
          <cell r="E62" t="str">
            <v>bh</v>
          </cell>
          <cell r="G62">
            <v>210000</v>
          </cell>
          <cell r="H62" t="str">
            <v>terpasang</v>
          </cell>
        </row>
        <row r="63">
          <cell r="A63">
            <v>3</v>
          </cell>
          <cell r="C63" t="str">
            <v>Cylinder - 1772-60</v>
          </cell>
          <cell r="E63" t="str">
            <v>bh</v>
          </cell>
          <cell r="G63">
            <v>120000</v>
          </cell>
          <cell r="H63" t="str">
            <v>terpasang</v>
          </cell>
        </row>
        <row r="65">
          <cell r="C65" t="str">
            <v>ENGSEL :</v>
          </cell>
        </row>
        <row r="66">
          <cell r="A66">
            <v>1</v>
          </cell>
          <cell r="C66" t="str">
            <v>Engsel pintu - STANDARD SEL 0012</v>
          </cell>
          <cell r="E66" t="str">
            <v>bh</v>
          </cell>
          <cell r="F66" t="str">
            <v>KEND</v>
          </cell>
          <cell r="G66">
            <v>56000</v>
          </cell>
          <cell r="H66" t="str">
            <v>terpasang</v>
          </cell>
        </row>
        <row r="67">
          <cell r="A67">
            <v>2</v>
          </cell>
          <cell r="C67" t="str">
            <v>Engsel Boven - CASEMENT CMT 0002 (16"),</v>
          </cell>
          <cell r="E67" t="str">
            <v>bh</v>
          </cell>
          <cell r="F67" t="str">
            <v>KEND</v>
          </cell>
          <cell r="G67">
            <v>72000</v>
          </cell>
          <cell r="H67" t="str">
            <v>terpasang</v>
          </cell>
        </row>
        <row r="68">
          <cell r="A68">
            <v>3</v>
          </cell>
          <cell r="C68" t="str">
            <v>Engsel Boven - CASEMENT CMT 0001 (8"),</v>
          </cell>
          <cell r="E68" t="str">
            <v>bh</v>
          </cell>
          <cell r="F68" t="str">
            <v>KEND</v>
          </cell>
          <cell r="G68">
            <v>46000</v>
          </cell>
          <cell r="H68" t="str">
            <v>terpasang</v>
          </cell>
        </row>
        <row r="69">
          <cell r="A69">
            <v>4</v>
          </cell>
          <cell r="C69" t="str">
            <v>Engsel jendela - STANDART SEL. 0020 POLISH BRASS</v>
          </cell>
          <cell r="E69" t="str">
            <v>bh</v>
          </cell>
          <cell r="F69" t="str">
            <v>KEND</v>
          </cell>
          <cell r="G69">
            <v>36000</v>
          </cell>
          <cell r="H69" t="str">
            <v>terpasang</v>
          </cell>
        </row>
        <row r="70">
          <cell r="A70">
            <v>5</v>
          </cell>
          <cell r="C70" t="str">
            <v>Sliding door system concealed :</v>
          </cell>
          <cell r="E70" t="str">
            <v>unit</v>
          </cell>
          <cell r="F70" t="str">
            <v>KEND</v>
          </cell>
          <cell r="G70">
            <v>1768000</v>
          </cell>
          <cell r="H70" t="str">
            <v>terpasang</v>
          </cell>
        </row>
        <row r="71">
          <cell r="C71" t="str">
            <v>Rel atas type 2-16 / roda 2-241 / breket 2-150</v>
          </cell>
        </row>
        <row r="72">
          <cell r="C72" t="str">
            <v xml:space="preserve">Rel bawah type 33-2 / roda 44-340 </v>
          </cell>
        </row>
        <row r="74">
          <cell r="C74" t="str">
            <v>GRENDEL :</v>
          </cell>
        </row>
        <row r="75">
          <cell r="A75">
            <v>1</v>
          </cell>
          <cell r="C75" t="str">
            <v>Grendel pintu - 306-6" (atas)</v>
          </cell>
          <cell r="E75" t="str">
            <v>bh</v>
          </cell>
          <cell r="F75" t="str">
            <v>KEND</v>
          </cell>
          <cell r="G75">
            <v>110000</v>
          </cell>
          <cell r="H75" t="str">
            <v>terpasang</v>
          </cell>
        </row>
        <row r="76">
          <cell r="A76">
            <v>2</v>
          </cell>
          <cell r="C76" t="str">
            <v>Grendel pintu - 311-12" (bawah)</v>
          </cell>
          <cell r="E76" t="str">
            <v>bh</v>
          </cell>
          <cell r="F76" t="str">
            <v>KEND</v>
          </cell>
          <cell r="G76">
            <v>117000</v>
          </cell>
          <cell r="H76" t="str">
            <v>terpasang</v>
          </cell>
        </row>
        <row r="77">
          <cell r="A77">
            <v>3</v>
          </cell>
          <cell r="C77" t="str">
            <v>Grendel boven - 317</v>
          </cell>
          <cell r="E77" t="str">
            <v>bh</v>
          </cell>
          <cell r="F77" t="str">
            <v>KEND</v>
          </cell>
          <cell r="G77">
            <v>75000</v>
          </cell>
          <cell r="H77" t="str">
            <v>terpasang</v>
          </cell>
        </row>
        <row r="78">
          <cell r="A78">
            <v>4</v>
          </cell>
          <cell r="C78" t="str">
            <v>Grendel jendela - 304 POLISH BRASS</v>
          </cell>
          <cell r="E78" t="str">
            <v>bh</v>
          </cell>
          <cell r="F78" t="str">
            <v>KEND</v>
          </cell>
          <cell r="G78">
            <v>85000</v>
          </cell>
          <cell r="H78" t="str">
            <v>terpasang</v>
          </cell>
        </row>
        <row r="79">
          <cell r="A79">
            <v>5</v>
          </cell>
          <cell r="C79" t="str">
            <v>Kait jendela -. STANDART CMT 0003 : 16"</v>
          </cell>
          <cell r="E79" t="str">
            <v>bh</v>
          </cell>
          <cell r="F79" t="str">
            <v>KEND</v>
          </cell>
          <cell r="G79">
            <v>114000</v>
          </cell>
          <cell r="H79" t="str">
            <v>terpasang</v>
          </cell>
        </row>
        <row r="81">
          <cell r="C81" t="str">
            <v>KACA</v>
          </cell>
        </row>
        <row r="82">
          <cell r="A82">
            <v>1</v>
          </cell>
          <cell r="C82" t="str">
            <v>Kaca es 5mm</v>
          </cell>
          <cell r="E82" t="str">
            <v>m2</v>
          </cell>
          <cell r="F82" t="str">
            <v>ASHAHI MAS</v>
          </cell>
          <cell r="G82">
            <v>65000</v>
          </cell>
        </row>
        <row r="83">
          <cell r="A83">
            <v>2</v>
          </cell>
          <cell r="C83" t="str">
            <v>Kaca bening 5 mm</v>
          </cell>
          <cell r="E83" t="str">
            <v>m2</v>
          </cell>
          <cell r="F83" t="str">
            <v>ASHAHI MAS</v>
          </cell>
          <cell r="G83">
            <v>55000</v>
          </cell>
        </row>
        <row r="84">
          <cell r="A84">
            <v>2</v>
          </cell>
          <cell r="C84" t="str">
            <v>Kaca rayban 5 mm</v>
          </cell>
          <cell r="E84" t="str">
            <v>m2</v>
          </cell>
          <cell r="F84" t="str">
            <v>ASHAHI MAS</v>
          </cell>
          <cell r="G84">
            <v>60000</v>
          </cell>
        </row>
        <row r="85">
          <cell r="A85">
            <v>4</v>
          </cell>
          <cell r="C85" t="str">
            <v>Glass block</v>
          </cell>
          <cell r="E85" t="str">
            <v>bj</v>
          </cell>
          <cell r="G85">
            <v>15000</v>
          </cell>
        </row>
        <row r="87">
          <cell r="C87" t="str">
            <v>KERAMIK/PAVING</v>
          </cell>
        </row>
        <row r="88">
          <cell r="A88">
            <v>1</v>
          </cell>
          <cell r="C88" t="str">
            <v>UK 30/30 (type 33131 gol A)</v>
          </cell>
          <cell r="E88" t="str">
            <v>m2</v>
          </cell>
          <cell r="F88" t="str">
            <v>ROMAN</v>
          </cell>
          <cell r="G88">
            <v>35500</v>
          </cell>
        </row>
        <row r="89">
          <cell r="A89">
            <v>2</v>
          </cell>
          <cell r="C89" t="str">
            <v>UK 30/30 (type 33808 gol C / printing)</v>
          </cell>
          <cell r="E89" t="str">
            <v>m2</v>
          </cell>
          <cell r="F89" t="str">
            <v>ROMAN</v>
          </cell>
          <cell r="G89">
            <v>38000</v>
          </cell>
        </row>
        <row r="90">
          <cell r="A90">
            <v>3</v>
          </cell>
          <cell r="C90" t="str">
            <v>UK 20/20 (type Incision I 20813)</v>
          </cell>
          <cell r="E90" t="str">
            <v>m2</v>
          </cell>
          <cell r="F90" t="str">
            <v>ROMAN</v>
          </cell>
          <cell r="G90">
            <v>39500</v>
          </cell>
        </row>
        <row r="91">
          <cell r="A91">
            <v>4</v>
          </cell>
          <cell r="C91" t="str">
            <v>UK 20/20 (type W 20706 / W 20107 gol A )</v>
          </cell>
          <cell r="E91" t="str">
            <v>m2</v>
          </cell>
          <cell r="F91" t="str">
            <v>ROMAN</v>
          </cell>
          <cell r="G91">
            <v>40000</v>
          </cell>
        </row>
        <row r="92">
          <cell r="A92">
            <v>5</v>
          </cell>
          <cell r="C92" t="str">
            <v>UK 20/20 (type W 207706 gol C)</v>
          </cell>
          <cell r="E92" t="str">
            <v>m2</v>
          </cell>
          <cell r="F92" t="str">
            <v>ROMAN</v>
          </cell>
          <cell r="G92">
            <v>48200</v>
          </cell>
        </row>
        <row r="93">
          <cell r="A93">
            <v>6</v>
          </cell>
          <cell r="C93" t="str">
            <v>UK 20/20 (type 22207 rock tile )</v>
          </cell>
          <cell r="E93" t="str">
            <v>m2</v>
          </cell>
          <cell r="F93" t="str">
            <v>ROMAN</v>
          </cell>
          <cell r="G93">
            <v>37540</v>
          </cell>
        </row>
        <row r="94">
          <cell r="A94">
            <v>7</v>
          </cell>
          <cell r="C94" t="str">
            <v>Paving 10x20 t = 6 cm + accessories</v>
          </cell>
          <cell r="E94" t="str">
            <v>m2</v>
          </cell>
          <cell r="G94">
            <v>44200</v>
          </cell>
          <cell r="H94" t="str">
            <v>terpasang</v>
          </cell>
        </row>
        <row r="96">
          <cell r="C96" t="str">
            <v>PENUTUP ATAP</v>
          </cell>
        </row>
        <row r="97">
          <cell r="A97">
            <v>1</v>
          </cell>
          <cell r="C97" t="str">
            <v>Asbes t =5 mm gel. kecil</v>
          </cell>
          <cell r="E97" t="str">
            <v>m2</v>
          </cell>
          <cell r="G97">
            <v>16300</v>
          </cell>
          <cell r="H97" t="str">
            <v>1,05 X 3</v>
          </cell>
        </row>
        <row r="98">
          <cell r="A98">
            <v>2</v>
          </cell>
          <cell r="C98" t="str">
            <v>Bubungan asbes</v>
          </cell>
          <cell r="E98" t="str">
            <v>m1</v>
          </cell>
          <cell r="G98">
            <v>13800</v>
          </cell>
        </row>
        <row r="99">
          <cell r="A99">
            <v>5</v>
          </cell>
          <cell r="C99" t="str">
            <v>Polycarbonat t=5mm, green</v>
          </cell>
          <cell r="E99" t="str">
            <v>m2</v>
          </cell>
          <cell r="F99" t="str">
            <v>TWINLITE</v>
          </cell>
          <cell r="G99">
            <v>87167</v>
          </cell>
          <cell r="H99" t="str">
            <v>terpasang</v>
          </cell>
        </row>
        <row r="100">
          <cell r="A100">
            <v>6</v>
          </cell>
          <cell r="C100" t="str">
            <v>Seng plat datar BJLS 30 90 cm</v>
          </cell>
          <cell r="E100" t="str">
            <v>m1</v>
          </cell>
          <cell r="G100">
            <v>18000</v>
          </cell>
        </row>
        <row r="101">
          <cell r="A101">
            <v>15</v>
          </cell>
          <cell r="C101" t="str">
            <v>Genteng KM natural</v>
          </cell>
          <cell r="E101" t="str">
            <v>bh</v>
          </cell>
          <cell r="F101" t="str">
            <v>KIA</v>
          </cell>
          <cell r="G101">
            <v>7200</v>
          </cell>
        </row>
        <row r="102">
          <cell r="A102">
            <v>16</v>
          </cell>
          <cell r="C102" t="str">
            <v>Nok genteng KM natural</v>
          </cell>
          <cell r="E102" t="str">
            <v>bh</v>
          </cell>
          <cell r="F102" t="str">
            <v>KIA</v>
          </cell>
          <cell r="G102">
            <v>15900</v>
          </cell>
        </row>
        <row r="103">
          <cell r="A103">
            <v>17</v>
          </cell>
          <cell r="C103" t="str">
            <v>Genteng</v>
          </cell>
          <cell r="E103" t="str">
            <v>bh</v>
          </cell>
          <cell r="F103" t="str">
            <v>BAMBE</v>
          </cell>
          <cell r="G103">
            <v>1900</v>
          </cell>
        </row>
        <row r="104">
          <cell r="A104">
            <v>18</v>
          </cell>
          <cell r="C104" t="str">
            <v xml:space="preserve">Nok genteng </v>
          </cell>
          <cell r="E104" t="str">
            <v>bh</v>
          </cell>
          <cell r="F104" t="str">
            <v>BAMBE</v>
          </cell>
          <cell r="G104">
            <v>2800</v>
          </cell>
        </row>
        <row r="105">
          <cell r="A105">
            <v>17</v>
          </cell>
          <cell r="C105" t="str">
            <v xml:space="preserve">Seng gelombang BJLS 30 </v>
          </cell>
          <cell r="E105" t="str">
            <v>m2</v>
          </cell>
          <cell r="G105">
            <v>18750</v>
          </cell>
        </row>
        <row r="107">
          <cell r="C107" t="str">
            <v>PLAFOND</v>
          </cell>
        </row>
        <row r="108">
          <cell r="A108">
            <v>1</v>
          </cell>
          <cell r="C108" t="str">
            <v>Gypsum 9 mm</v>
          </cell>
          <cell r="E108" t="str">
            <v>m2</v>
          </cell>
          <cell r="F108" t="str">
            <v>JAYA BOARD</v>
          </cell>
          <cell r="G108">
            <v>14300</v>
          </cell>
        </row>
        <row r="109">
          <cell r="A109">
            <v>2</v>
          </cell>
          <cell r="C109" t="str">
            <v>Eternit</v>
          </cell>
          <cell r="E109" t="str">
            <v>m2</v>
          </cell>
          <cell r="F109" t="str">
            <v>Elephant</v>
          </cell>
          <cell r="G109">
            <v>10077</v>
          </cell>
          <cell r="H109" t="str">
            <v>1.22x2.44</v>
          </cell>
        </row>
        <row r="110">
          <cell r="A110">
            <v>3</v>
          </cell>
          <cell r="C110" t="str">
            <v>Tripleks lapis aluminium</v>
          </cell>
          <cell r="E110" t="str">
            <v>m2</v>
          </cell>
          <cell r="G110">
            <v>17636</v>
          </cell>
          <cell r="H110" t="str">
            <v>1.22x2.44</v>
          </cell>
        </row>
        <row r="111">
          <cell r="A111">
            <v>4</v>
          </cell>
          <cell r="C111" t="str">
            <v>Teakwood  4 mm</v>
          </cell>
          <cell r="E111" t="str">
            <v>m2</v>
          </cell>
          <cell r="G111">
            <v>20833</v>
          </cell>
          <cell r="H111" t="str">
            <v>1,20 X 2,40</v>
          </cell>
        </row>
        <row r="112">
          <cell r="A112">
            <v>5</v>
          </cell>
          <cell r="C112" t="str">
            <v>List gypsum (besar)</v>
          </cell>
          <cell r="E112" t="str">
            <v>m1</v>
          </cell>
          <cell r="G112">
            <v>15500</v>
          </cell>
          <cell r="H112" t="str">
            <v>terpasang</v>
          </cell>
        </row>
        <row r="113">
          <cell r="A113">
            <v>6</v>
          </cell>
          <cell r="C113" t="str">
            <v>List gypsum (kecil)</v>
          </cell>
          <cell r="E113" t="str">
            <v>m1</v>
          </cell>
          <cell r="G113">
            <v>13500</v>
          </cell>
          <cell r="H113" t="str">
            <v>terpasang</v>
          </cell>
        </row>
        <row r="114">
          <cell r="A114">
            <v>7</v>
          </cell>
          <cell r="C114" t="str">
            <v>List kayu</v>
          </cell>
          <cell r="E114" t="str">
            <v>m1</v>
          </cell>
          <cell r="G114">
            <v>10200</v>
          </cell>
          <cell r="H114" t="str">
            <v>terpasang</v>
          </cell>
        </row>
        <row r="116">
          <cell r="C116" t="str">
            <v>SANITASI</v>
          </cell>
        </row>
        <row r="117">
          <cell r="A117">
            <v>1</v>
          </cell>
          <cell r="C117" t="str">
            <v>Closed Duduk(komplit)CW 660 J / SW 660 J</v>
          </cell>
          <cell r="E117" t="str">
            <v>bh</v>
          </cell>
          <cell r="F117" t="str">
            <v>INA</v>
          </cell>
          <cell r="G117">
            <v>1644000</v>
          </cell>
          <cell r="H117" t="str">
            <v>terpasang</v>
          </cell>
        </row>
        <row r="118">
          <cell r="A118">
            <v>2</v>
          </cell>
          <cell r="C118" t="str">
            <v>Closed Jongkok (komplit) CE 7</v>
          </cell>
          <cell r="E118" t="str">
            <v>bh</v>
          </cell>
          <cell r="F118" t="str">
            <v>INA</v>
          </cell>
          <cell r="G118">
            <v>162000</v>
          </cell>
          <cell r="H118" t="str">
            <v>terpasang</v>
          </cell>
        </row>
        <row r="119">
          <cell r="A119">
            <v>3</v>
          </cell>
          <cell r="C119" t="str">
            <v>Wastafel (komplit) LW 665 CJT 1</v>
          </cell>
          <cell r="E119" t="str">
            <v>bh</v>
          </cell>
          <cell r="F119" t="str">
            <v>INA</v>
          </cell>
          <cell r="G119">
            <v>1861200</v>
          </cell>
          <cell r="H119" t="str">
            <v>terpasang</v>
          </cell>
        </row>
        <row r="120">
          <cell r="A120">
            <v>4</v>
          </cell>
          <cell r="C120" t="str">
            <v>Floor drain stainless</v>
          </cell>
          <cell r="E120" t="str">
            <v>bh</v>
          </cell>
          <cell r="F120" t="str">
            <v>SAN-EI</v>
          </cell>
          <cell r="G120">
            <v>34200</v>
          </cell>
          <cell r="H120" t="str">
            <v>terpasang</v>
          </cell>
        </row>
        <row r="121">
          <cell r="A121">
            <v>5</v>
          </cell>
          <cell r="C121" t="str">
            <v>Roof drain talang</v>
          </cell>
          <cell r="E121" t="str">
            <v>bh</v>
          </cell>
          <cell r="G121">
            <v>39000</v>
          </cell>
          <cell r="H121" t="str">
            <v>terpasang</v>
          </cell>
        </row>
        <row r="122">
          <cell r="A122">
            <v>6</v>
          </cell>
          <cell r="C122" t="str">
            <v>Kran Air tuas stanless steel</v>
          </cell>
          <cell r="E122" t="str">
            <v>bh</v>
          </cell>
          <cell r="F122" t="str">
            <v>SAN-EI</v>
          </cell>
          <cell r="G122">
            <v>56600</v>
          </cell>
          <cell r="H122" t="str">
            <v>terpasang</v>
          </cell>
        </row>
        <row r="123">
          <cell r="A123">
            <v>7</v>
          </cell>
          <cell r="C123" t="str">
            <v>Soap holder</v>
          </cell>
          <cell r="E123" t="str">
            <v>bh</v>
          </cell>
          <cell r="G123">
            <v>90000</v>
          </cell>
          <cell r="H123" t="str">
            <v>terpasang</v>
          </cell>
        </row>
        <row r="124">
          <cell r="A124">
            <v>8</v>
          </cell>
          <cell r="C124" t="str">
            <v>Pintu PVC + kusen 70*200</v>
          </cell>
          <cell r="E124" t="str">
            <v>unit</v>
          </cell>
          <cell r="G124">
            <v>348000</v>
          </cell>
          <cell r="H124" t="str">
            <v>terpasang</v>
          </cell>
        </row>
        <row r="125">
          <cell r="A125">
            <v>9</v>
          </cell>
          <cell r="C125" t="str">
            <v>Septic tank 1 m3 + resapan</v>
          </cell>
          <cell r="E125" t="str">
            <v>m2</v>
          </cell>
          <cell r="G125">
            <v>35800</v>
          </cell>
          <cell r="H125" t="str">
            <v>terpasang</v>
          </cell>
        </row>
        <row r="126">
          <cell r="A126">
            <v>10</v>
          </cell>
          <cell r="C126" t="str">
            <v>Watertank 1,2 m3</v>
          </cell>
          <cell r="E126" t="str">
            <v>bh</v>
          </cell>
          <cell r="F126" t="str">
            <v>GRAND</v>
          </cell>
          <cell r="G126">
            <v>763200</v>
          </cell>
          <cell r="H126" t="str">
            <v>terpasang</v>
          </cell>
        </row>
        <row r="127">
          <cell r="A127">
            <v>11</v>
          </cell>
          <cell r="C127" t="str">
            <v>Buis beton 1/2 f 20 cm</v>
          </cell>
          <cell r="E127" t="str">
            <v>m'</v>
          </cell>
          <cell r="G127">
            <v>19200</v>
          </cell>
          <cell r="H127" t="str">
            <v>terpasang</v>
          </cell>
        </row>
        <row r="130">
          <cell r="C130" t="str">
            <v>UPAH :</v>
          </cell>
        </row>
        <row r="131">
          <cell r="A131">
            <v>1</v>
          </cell>
          <cell r="C131" t="str">
            <v>Mandor</v>
          </cell>
          <cell r="E131" t="str">
            <v>o/h</v>
          </cell>
          <cell r="G131">
            <v>40000</v>
          </cell>
        </row>
        <row r="132">
          <cell r="A132">
            <v>2</v>
          </cell>
          <cell r="C132" t="str">
            <v>Kepala tukang</v>
          </cell>
          <cell r="E132" t="str">
            <v>o/h</v>
          </cell>
          <cell r="G132">
            <v>35000</v>
          </cell>
        </row>
        <row r="133">
          <cell r="A133">
            <v>3</v>
          </cell>
          <cell r="C133" t="str">
            <v>Tukang batu</v>
          </cell>
          <cell r="E133" t="str">
            <v>o/h</v>
          </cell>
          <cell r="G133">
            <v>30000</v>
          </cell>
        </row>
        <row r="134">
          <cell r="A134">
            <v>4</v>
          </cell>
          <cell r="C134" t="str">
            <v>Tukang kayu</v>
          </cell>
          <cell r="E134" t="str">
            <v>o/h</v>
          </cell>
          <cell r="G134">
            <v>30000</v>
          </cell>
        </row>
        <row r="135">
          <cell r="A135">
            <v>5</v>
          </cell>
          <cell r="C135" t="str">
            <v>Tukang besi</v>
          </cell>
          <cell r="E135" t="str">
            <v>o/h</v>
          </cell>
          <cell r="G135">
            <v>30000</v>
          </cell>
        </row>
        <row r="136">
          <cell r="A136">
            <v>6</v>
          </cell>
          <cell r="C136" t="str">
            <v>Tukang cat</v>
          </cell>
          <cell r="E136" t="str">
            <v>o/h</v>
          </cell>
          <cell r="G136">
            <v>30000</v>
          </cell>
        </row>
        <row r="137">
          <cell r="A137">
            <v>7</v>
          </cell>
          <cell r="C137" t="str">
            <v>Pembantu Tukang batu</v>
          </cell>
          <cell r="E137" t="str">
            <v>o/h</v>
          </cell>
          <cell r="G137">
            <v>22500</v>
          </cell>
        </row>
        <row r="138">
          <cell r="A138">
            <v>8</v>
          </cell>
          <cell r="C138" t="str">
            <v>Pembantu Tukang kayu</v>
          </cell>
          <cell r="E138" t="str">
            <v>o/h</v>
          </cell>
          <cell r="G138">
            <v>25000</v>
          </cell>
        </row>
        <row r="139">
          <cell r="A139">
            <v>9</v>
          </cell>
          <cell r="C139" t="str">
            <v>Pembantu Tukang besi</v>
          </cell>
          <cell r="E139" t="str">
            <v>o/h</v>
          </cell>
          <cell r="G139">
            <v>22500</v>
          </cell>
        </row>
        <row r="140">
          <cell r="A140">
            <v>10</v>
          </cell>
          <cell r="C140" t="str">
            <v>Pembantu Tukang cat</v>
          </cell>
          <cell r="E140" t="str">
            <v>o/h</v>
          </cell>
          <cell r="G140">
            <v>22500</v>
          </cell>
        </row>
        <row r="141">
          <cell r="A141">
            <v>11</v>
          </cell>
          <cell r="C141" t="str">
            <v>Pekerja</v>
          </cell>
          <cell r="E141" t="str">
            <v>o/h</v>
          </cell>
          <cell r="G141">
            <v>20000</v>
          </cell>
        </row>
        <row r="142">
          <cell r="A142" t="str">
            <v xml:space="preserve">              </v>
          </cell>
        </row>
      </sheetData>
      <sheetData sheetId="7"/>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play Quotation  (6)"/>
      <sheetName val="Sheet1"/>
      <sheetName val="Book4"/>
    </sheetNames>
    <definedNames>
      <definedName name="daysAndWks" refersTo="#REF!"/>
    </definedNames>
    <sheetDataSet>
      <sheetData sheetId="0"/>
      <sheetData sheetId="1"/>
      <sheetData sheetId="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heetName val="Others"/>
      <sheetName val="JANUARY"/>
      <sheetName val="JUNE"/>
      <sheetName val="DECEMBER"/>
      <sheetName val="produksi -Transport"/>
      <sheetName val="Beban -Transport"/>
      <sheetName val="Rate 2015"/>
      <sheetName val="Payable Report to Supplier"/>
      <sheetName val="Cash Report"/>
      <sheetName val="Kasbon"/>
      <sheetName val="Inv. - WIP &amp; FG"/>
      <sheetName val="Prepaid Exp. - Building"/>
      <sheetName val="Asset Report of Building"/>
      <sheetName val="Asset Report of Mechine, dll"/>
      <sheetName val="Ekuitas"/>
      <sheetName val="Jenis Pengeluaran"/>
      <sheetName val="01"/>
      <sheetName val="Sheet1"/>
      <sheetName val="Database Account No"/>
      <sheetName val="Laporan buat Pa Ilham"/>
      <sheetName val="Additional Data"/>
      <sheetName val="produksi_-Transport"/>
      <sheetName val="Beban_-Transport"/>
      <sheetName val="Rate_2015"/>
      <sheetName val="Payable_Report_to_Supplier"/>
      <sheetName val="Cash_Report"/>
      <sheetName val="Inv__-_WIP_&amp;_FG"/>
      <sheetName val="Prepaid_Exp__-_Building"/>
      <sheetName val="Asset_Report_of_Building"/>
      <sheetName val="Asset_Report_of_Mechine,_dll"/>
      <sheetName val="Jenis_Pengeluaran"/>
      <sheetName val="Database_Account_No"/>
      <sheetName val="Laporan_buat_Pa_Ilham"/>
      <sheetName val="Additional_Data"/>
      <sheetName val="produksi_-Transport1"/>
      <sheetName val="Beban_-Transport1"/>
      <sheetName val="Rate_20151"/>
      <sheetName val="Payable_Report_to_Supplier1"/>
      <sheetName val="Cash_Report1"/>
      <sheetName val="Inv__-_WIP_&amp;_FG1"/>
      <sheetName val="Prepaid_Exp__-_Building1"/>
      <sheetName val="Asset_Report_of_Building1"/>
      <sheetName val="Asset_Report_of_Mechine,_dll1"/>
      <sheetName val="Jenis_Pengeluaran1"/>
      <sheetName val="Database_Account_No1"/>
      <sheetName val="Laporan_buat_Pa_Ilham1"/>
      <sheetName val="Additional_Data1"/>
      <sheetName val="produksi_-Transport2"/>
      <sheetName val="Beban_-Transport2"/>
      <sheetName val="Rate_20152"/>
      <sheetName val="Payable_Report_to_Supplier2"/>
      <sheetName val="Cash_Report2"/>
      <sheetName val="Inv__-_WIP_&amp;_FG2"/>
      <sheetName val="Prepaid_Exp__-_Building2"/>
      <sheetName val="Asset_Report_of_Building2"/>
      <sheetName val="Asset_Report_of_Mechine,_dll2"/>
      <sheetName val="Jenis_Pengeluaran2"/>
      <sheetName val="Database_Account_No2"/>
      <sheetName val="Laporan_buat_Pa_Ilham2"/>
      <sheetName val="Additional_Dat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B2" t="str">
            <v>Aset - Kendaraan</v>
          </cell>
        </row>
        <row r="3">
          <cell r="B3" t="str">
            <v>Aset - Mesin</v>
          </cell>
        </row>
        <row r="4">
          <cell r="B4" t="str">
            <v>Aset - Peralatan</v>
          </cell>
        </row>
        <row r="5">
          <cell r="B5" t="str">
            <v>Aset - Elektronik</v>
          </cell>
        </row>
        <row r="6">
          <cell r="B6" t="str">
            <v>Aset - Bangunan</v>
          </cell>
        </row>
        <row r="7">
          <cell r="B7" t="str">
            <v>Aset - Lain-Lain</v>
          </cell>
        </row>
        <row r="8">
          <cell r="B8" t="str">
            <v>Produksi - ATK</v>
          </cell>
        </row>
        <row r="9">
          <cell r="B9" t="str">
            <v>Produksi - Material Langsung</v>
          </cell>
        </row>
        <row r="10">
          <cell r="B10" t="str">
            <v>Produksi - Material Tidak Langsung</v>
          </cell>
        </row>
        <row r="11">
          <cell r="B11" t="str">
            <v>Produksi - Perawatan Bangunan</v>
          </cell>
        </row>
        <row r="12">
          <cell r="B12" t="str">
            <v>Produksi - Perawatan Mesin</v>
          </cell>
        </row>
        <row r="13">
          <cell r="B13" t="str">
            <v>Produksi - Listrik</v>
          </cell>
        </row>
        <row r="14">
          <cell r="B14" t="str">
            <v>Produksi - Telekomunikasi</v>
          </cell>
        </row>
        <row r="15">
          <cell r="B15" t="str">
            <v>Produksi - Transportasi</v>
          </cell>
        </row>
        <row r="16">
          <cell r="B16" t="str">
            <v>Produksi - Permit License</v>
          </cell>
        </row>
        <row r="17">
          <cell r="B17" t="str">
            <v>Produksi - Upah Framing</v>
          </cell>
        </row>
        <row r="26">
          <cell r="B26" t="str">
            <v>Produksi - Upah Weaving</v>
          </cell>
        </row>
        <row r="27">
          <cell r="B27" t="str">
            <v>Produksi - Konsumsi</v>
          </cell>
        </row>
        <row r="28">
          <cell r="B28" t="str">
            <v>ATK</v>
          </cell>
        </row>
        <row r="29">
          <cell r="B29" t="str">
            <v>Transportasi</v>
          </cell>
        </row>
        <row r="30">
          <cell r="B30" t="str">
            <v>Telepon</v>
          </cell>
        </row>
        <row r="31">
          <cell r="B31" t="str">
            <v>Listrik</v>
          </cell>
        </row>
        <row r="32">
          <cell r="B32" t="str">
            <v>Permit License</v>
          </cell>
        </row>
        <row r="33">
          <cell r="B33" t="str">
            <v>Perawatan Bangunan</v>
          </cell>
        </row>
        <row r="34">
          <cell r="B34" t="str">
            <v>Perawatan Mesin</v>
          </cell>
        </row>
        <row r="35">
          <cell r="B35" t="str">
            <v>Konsumsi</v>
          </cell>
        </row>
        <row r="36">
          <cell r="B36" t="str">
            <v>Sewa</v>
          </cell>
        </row>
      </sheetData>
      <sheetData sheetId="17"/>
      <sheetData sheetId="18"/>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row r="2">
          <cell r="B2" t="str">
            <v>Aset - Kendaraan</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row r="2">
          <cell r="B2" t="str">
            <v>Aset - Kendaraan</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row r="2">
          <cell r="B2" t="str">
            <v>Aset - Kendaraan</v>
          </cell>
        </row>
      </sheetData>
      <sheetData sheetId="58"/>
      <sheetData sheetId="59"/>
      <sheetData sheetId="6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Biaya (2)"/>
      <sheetName val="Rekap Biaya"/>
      <sheetName val="nego"/>
      <sheetName val="div-7"/>
      <sheetName val="div-3"/>
      <sheetName val="Aggr (2)"/>
      <sheetName val="Aggr"/>
      <sheetName val="Quarry (2)"/>
      <sheetName val="Quarry"/>
      <sheetName val="alat"/>
      <sheetName val="Basic Price (2)"/>
      <sheetName val="Basic Price"/>
      <sheetName val="Informasi (2)"/>
      <sheetName val="Informa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8">
          <cell r="F8">
            <v>5000</v>
          </cell>
        </row>
        <row r="12">
          <cell r="F12">
            <v>6500</v>
          </cell>
        </row>
        <row r="117">
          <cell r="F117">
            <v>1200</v>
          </cell>
        </row>
      </sheetData>
      <sheetData sheetId="12" refreshError="1"/>
      <sheetData sheetId="13"/>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TA"/>
      <sheetName val="L3a4"/>
      <sheetName val="L3a3"/>
      <sheetName val="L3a2"/>
      <sheetName val="L_11"/>
      <sheetName val="L3a1"/>
      <sheetName val="Pekerjaan Utama"/>
      <sheetName val="Rekap Biaya"/>
      <sheetName val="Kuantitas &amp; Harga"/>
      <sheetName val="Mobilisasi"/>
      <sheetName val="div-2"/>
      <sheetName val="div-3"/>
      <sheetName val="div-4"/>
      <sheetName val="div-5"/>
      <sheetName val="Div-6"/>
      <sheetName val="div-7"/>
      <sheetName val="div-8"/>
      <sheetName val="div-9"/>
      <sheetName val="Aggr"/>
      <sheetName val="Quarry"/>
      <sheetName val="DAF-ALAT-03"/>
      <sheetName val="alat"/>
      <sheetName val="Basic Price"/>
      <sheetName val="Informasi"/>
      <sheetName val="Jadwal"/>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
      <sheetName val="M-TENDER"/>
      <sheetName val="SURAT"/>
      <sheetName val="REKAP"/>
      <sheetName val="R A B"/>
      <sheetName val="ANALISA"/>
      <sheetName val="HARGA SAT."/>
      <sheetName val="HARGA SAT. JADI"/>
      <sheetName val="METODE"/>
      <sheetName val="JADWAL"/>
      <sheetName val="SKEMA"/>
      <sheetName val="ADM"/>
    </sheetNames>
    <sheetDataSet>
      <sheetData sheetId="0" refreshError="1"/>
      <sheetData sheetId="1" refreshError="1"/>
      <sheetData sheetId="2" refreshError="1"/>
      <sheetData sheetId="3" refreshError="1"/>
      <sheetData sheetId="4" refreshError="1"/>
      <sheetData sheetId="5" refreshError="1"/>
      <sheetData sheetId="6" refreshError="1">
        <row r="4">
          <cell r="E4" t="str">
            <v>PERBAIKAN PERUMAHAN DAN PERMUKIMAN (P2P) KOTA GORONTALO</v>
          </cell>
        </row>
        <row r="5">
          <cell r="E5" t="str">
            <v>PEMBUATAN SALURAN DRAINASE DAN MCK</v>
          </cell>
        </row>
        <row r="6">
          <cell r="E6" t="str">
            <v>KEL.LEATO SELATAN KEC.KOTA SELATAN KOTA GORONTALO</v>
          </cell>
        </row>
        <row r="59">
          <cell r="B59" t="str">
            <v>IBRAHIM GANI</v>
          </cell>
        </row>
        <row r="60">
          <cell r="B60" t="str">
            <v>Direktur</v>
          </cell>
        </row>
      </sheetData>
      <sheetData sheetId="7" refreshError="1"/>
      <sheetData sheetId="8" refreshError="1"/>
      <sheetData sheetId="9" refreshError="1"/>
      <sheetData sheetId="10" refreshError="1"/>
      <sheetData sheetId="1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Acessoris"/>
      <sheetName val="Apartement"/>
      <sheetName val="Jembatan"/>
      <sheetName val="MallAC"/>
      <sheetName val="Ana Duct"/>
      <sheetName val="Hsd Duct"/>
      <sheetName val="Pipe"/>
      <sheetName val="Grille"/>
      <sheetName val="valve"/>
      <sheetName val="Dafmat"/>
      <sheetName val="DM"/>
      <sheetName val="Peghitungan"/>
      <sheetName val="MALL_K"/>
      <sheetName val="Item Tambahan"/>
      <sheetName val="APARTment_K"/>
      <sheetName val="Jembatan_K"/>
      <sheetName val="Isolasi Luar Dalam"/>
      <sheetName val="Isolasi Lu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INAT"/>
      <sheetName val="SURAT"/>
      <sheetName val="REKAP"/>
      <sheetName val="DHK"/>
      <sheetName val="ANALISA"/>
      <sheetName val="H_SATUAN"/>
      <sheetName val="SKEMA"/>
      <sheetName val="SCEDULE"/>
    </sheetNames>
    <sheetDataSet>
      <sheetData sheetId="0" refreshError="1"/>
      <sheetData sheetId="1" refreshError="1"/>
      <sheetData sheetId="2" refreshError="1"/>
      <sheetData sheetId="3" refreshError="1"/>
      <sheetData sheetId="4" refreshError="1">
        <row r="13">
          <cell r="C13" t="str">
            <v>U r a i a n</v>
          </cell>
        </row>
      </sheetData>
      <sheetData sheetId="5" refreshError="1"/>
      <sheetData sheetId="6" refreshError="1"/>
      <sheetData sheetId="7"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sheetName val="RAB"/>
      <sheetName val="ANALISA"/>
      <sheetName val="HARGA"/>
      <sheetName val="KUANTITAS"/>
      <sheetName val="Sheet3"/>
    </sheetNames>
    <sheetDataSet>
      <sheetData sheetId="0" refreshError="1"/>
      <sheetData sheetId="1" refreshError="1"/>
      <sheetData sheetId="2">
        <row r="52">
          <cell r="R52">
            <v>10446.428571428571</v>
          </cell>
        </row>
        <row r="313">
          <cell r="R313">
            <v>25402.777777777777</v>
          </cell>
        </row>
        <row r="468">
          <cell r="R468">
            <v>7550</v>
          </cell>
        </row>
        <row r="519">
          <cell r="R519">
            <v>2606</v>
          </cell>
        </row>
        <row r="571">
          <cell r="R571">
            <v>62066.666666666664</v>
          </cell>
        </row>
        <row r="679">
          <cell r="R679">
            <v>283282</v>
          </cell>
        </row>
        <row r="789">
          <cell r="R789">
            <v>14765</v>
          </cell>
        </row>
        <row r="845">
          <cell r="R845">
            <v>1566841.111111111</v>
          </cell>
        </row>
        <row r="900">
          <cell r="R900">
            <v>365884.625</v>
          </cell>
        </row>
        <row r="955">
          <cell r="R955">
            <v>120000</v>
          </cell>
        </row>
      </sheetData>
      <sheetData sheetId="3" refreshError="1"/>
      <sheetData sheetId="4" refreshError="1"/>
      <sheetData sheetId="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
      <sheetName val="Analisa_K"/>
      <sheetName val="Analisa_E"/>
      <sheetName val="mata pemb utama"/>
      <sheetName val="ALAT"/>
      <sheetName val="Rekap"/>
      <sheetName val="Analisa BOW"/>
      <sheetName val="Bahan"/>
      <sheetName val="schedule"/>
      <sheetName val="PEMB LANCI"/>
      <sheetName val="PEMB MHOI"/>
      <sheetName val="pembilang total"/>
      <sheetName val="Kuantitas manimpahoi"/>
      <sheetName val="Kuantts Lancibung"/>
    </sheetNames>
    <sheetDataSet>
      <sheetData sheetId="0" refreshError="1"/>
      <sheetData sheetId="1" refreshError="1"/>
      <sheetData sheetId="2">
        <row r="1005">
          <cell r="J1005">
            <v>171703.20787990763</v>
          </cell>
        </row>
      </sheetData>
      <sheetData sheetId="3" refreshError="1"/>
      <sheetData sheetId="4" refreshError="1"/>
      <sheetData sheetId="5" refreshError="1"/>
      <sheetData sheetId="6" refreshError="1"/>
      <sheetData sheetId="7">
        <row r="8">
          <cell r="F8">
            <v>27500</v>
          </cell>
        </row>
        <row r="16">
          <cell r="F16">
            <v>40000</v>
          </cell>
        </row>
        <row r="18">
          <cell r="F18">
            <v>27000</v>
          </cell>
        </row>
        <row r="19">
          <cell r="F19">
            <v>27000</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mum"/>
      <sheetName val="Daf-Lamp"/>
      <sheetName val="Surat"/>
      <sheetName val="Jadwal"/>
      <sheetName val="Rekap"/>
      <sheetName val="BoQ"/>
      <sheetName val="Div1"/>
      <sheetName val="Div2(1)"/>
      <sheetName val="Div2(2)"/>
      <sheetName val="Div3(1)"/>
      <sheetName val="Div3(2)"/>
      <sheetName val="Div4(1)"/>
      <sheetName val="Div4(2)"/>
      <sheetName val="Div5(1)"/>
      <sheetName val="Div5(2)"/>
      <sheetName val="Div6(1)"/>
      <sheetName val="Div6(2)"/>
      <sheetName val="Div7(1)"/>
      <sheetName val="Div7(2)"/>
      <sheetName val="Div7(3)"/>
      <sheetName val="Div7(4)"/>
      <sheetName val="Div8(1)"/>
      <sheetName val="Div8(2)"/>
      <sheetName val="Div9(1)"/>
      <sheetName val="Div9(2)"/>
      <sheetName val="Div10(1)"/>
      <sheetName val="Div10(2)"/>
      <sheetName val="Div10(3)"/>
      <sheetName val="Div10(a)"/>
      <sheetName val="Div10(b)"/>
      <sheetName val="Div10(c)"/>
      <sheetName val="Onsite"/>
      <sheetName val="Quarry"/>
      <sheetName val="Aggr"/>
      <sheetName val="Basic"/>
      <sheetName val="Bahan"/>
      <sheetName val="Alat-1"/>
      <sheetName val="Alat-2"/>
      <sheetName val="Alat-3"/>
      <sheetName val="Utama"/>
      <sheetName val="Sub-Kontrak"/>
      <sheetName val="Bahan-DL"/>
      <sheetName val="Plant"/>
      <sheetName val="Data-Kontrak"/>
      <sheetName val="Metode"/>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
          <cell r="F7">
            <v>3571.4285714285716</v>
          </cell>
        </row>
        <row r="8">
          <cell r="F8">
            <v>5000</v>
          </cell>
        </row>
        <row r="9">
          <cell r="F9">
            <v>5714.2857142857147</v>
          </cell>
        </row>
        <row r="10">
          <cell r="F10">
            <v>7142.8571428571431</v>
          </cell>
        </row>
        <row r="11">
          <cell r="F11">
            <v>5000</v>
          </cell>
        </row>
        <row r="12">
          <cell r="F12">
            <v>5000</v>
          </cell>
        </row>
        <row r="13">
          <cell r="F13">
            <v>4285.7142857142853</v>
          </cell>
        </row>
        <row r="14">
          <cell r="F14">
            <v>8571.4285714285706</v>
          </cell>
        </row>
        <row r="15">
          <cell r="F15">
            <v>7142.8571428571431</v>
          </cell>
        </row>
        <row r="25">
          <cell r="F25">
            <v>57766.92242857143</v>
          </cell>
        </row>
        <row r="26">
          <cell r="F26">
            <v>57766.92242857143</v>
          </cell>
        </row>
        <row r="27">
          <cell r="F27">
            <v>68016.92242857143</v>
          </cell>
        </row>
        <row r="28">
          <cell r="F28">
            <v>83733.283456613775</v>
          </cell>
        </row>
        <row r="29">
          <cell r="F29">
            <v>85396.881683809552</v>
          </cell>
        </row>
        <row r="30">
          <cell r="F30">
            <v>400</v>
          </cell>
        </row>
        <row r="31">
          <cell r="F31">
            <v>68016.92242857143</v>
          </cell>
        </row>
        <row r="32">
          <cell r="F32">
            <v>68016.92242857143</v>
          </cell>
        </row>
        <row r="33">
          <cell r="F33" t="e">
            <v>#REF!</v>
          </cell>
        </row>
        <row r="34">
          <cell r="F34" t="e">
            <v>#REF!</v>
          </cell>
        </row>
        <row r="35">
          <cell r="F35">
            <v>3550</v>
          </cell>
        </row>
        <row r="36">
          <cell r="F36">
            <v>2000</v>
          </cell>
        </row>
        <row r="37">
          <cell r="F37">
            <v>700</v>
          </cell>
        </row>
        <row r="38">
          <cell r="F38">
            <v>9000</v>
          </cell>
        </row>
        <row r="39">
          <cell r="F39">
            <v>14000</v>
          </cell>
        </row>
        <row r="40">
          <cell r="F40">
            <v>10000</v>
          </cell>
        </row>
        <row r="41">
          <cell r="F41">
            <v>40766.92242857143</v>
          </cell>
        </row>
        <row r="42">
          <cell r="F42">
            <v>30000</v>
          </cell>
        </row>
        <row r="43">
          <cell r="F43">
            <v>10000</v>
          </cell>
        </row>
        <row r="44">
          <cell r="F44">
            <v>500000</v>
          </cell>
        </row>
        <row r="45">
          <cell r="F45">
            <v>2700</v>
          </cell>
        </row>
        <row r="46">
          <cell r="F46">
            <v>2500</v>
          </cell>
        </row>
        <row r="47">
          <cell r="F47">
            <v>15000</v>
          </cell>
        </row>
        <row r="48">
          <cell r="F48">
            <v>9000</v>
          </cell>
        </row>
        <row r="49">
          <cell r="F49">
            <v>100000</v>
          </cell>
        </row>
        <row r="50">
          <cell r="F50">
            <v>20000</v>
          </cell>
        </row>
        <row r="51">
          <cell r="F51">
            <v>58863.278251005286</v>
          </cell>
        </row>
        <row r="52">
          <cell r="F52">
            <v>59113.818186752629</v>
          </cell>
        </row>
        <row r="53">
          <cell r="F53">
            <v>27273.096898833424</v>
          </cell>
        </row>
        <row r="54">
          <cell r="F54">
            <v>27273.096898833424</v>
          </cell>
        </row>
        <row r="55">
          <cell r="F55">
            <v>8000</v>
          </cell>
        </row>
        <row r="56">
          <cell r="F56">
            <v>3000</v>
          </cell>
        </row>
        <row r="57">
          <cell r="F57">
            <v>10000</v>
          </cell>
        </row>
        <row r="58">
          <cell r="F58">
            <v>10000</v>
          </cell>
        </row>
        <row r="59">
          <cell r="F59">
            <v>25000</v>
          </cell>
        </row>
        <row r="60">
          <cell r="F60">
            <v>120000</v>
          </cell>
        </row>
        <row r="61">
          <cell r="F61">
            <v>200000</v>
          </cell>
        </row>
        <row r="62">
          <cell r="F62">
            <v>531114.14</v>
          </cell>
        </row>
        <row r="63">
          <cell r="F63">
            <v>448062.95</v>
          </cell>
        </row>
        <row r="64">
          <cell r="F64">
            <v>10648.42</v>
          </cell>
        </row>
        <row r="65">
          <cell r="F65">
            <v>22500</v>
          </cell>
        </row>
        <row r="66">
          <cell r="F66">
            <v>83733.283456613775</v>
          </cell>
        </row>
        <row r="68">
          <cell r="F68">
            <v>18000</v>
          </cell>
        </row>
        <row r="69">
          <cell r="F69">
            <v>1500</v>
          </cell>
        </row>
        <row r="70">
          <cell r="F70" t="e">
            <v>#REF!</v>
          </cell>
        </row>
        <row r="71">
          <cell r="F71">
            <v>10000</v>
          </cell>
        </row>
        <row r="72">
          <cell r="F72">
            <v>6500000</v>
          </cell>
        </row>
        <row r="73">
          <cell r="F73">
            <v>6250000</v>
          </cell>
        </row>
        <row r="74">
          <cell r="F74">
            <v>750</v>
          </cell>
        </row>
        <row r="75">
          <cell r="F75">
            <v>53758.283456613761</v>
          </cell>
        </row>
      </sheetData>
      <sheetData sheetId="35"/>
      <sheetData sheetId="36"/>
      <sheetData sheetId="37"/>
      <sheetData sheetId="38">
        <row r="8">
          <cell r="I8">
            <v>1234925.31</v>
          </cell>
        </row>
        <row r="9">
          <cell r="I9">
            <v>123117.96</v>
          </cell>
        </row>
        <row r="10">
          <cell r="I10">
            <v>87664.2</v>
          </cell>
        </row>
        <row r="11">
          <cell r="I11">
            <v>172440.33</v>
          </cell>
        </row>
        <row r="12">
          <cell r="I12">
            <v>44379.1</v>
          </cell>
        </row>
        <row r="13">
          <cell r="I13">
            <v>17387.580000000002</v>
          </cell>
        </row>
        <row r="14">
          <cell r="I14">
            <v>231558.93</v>
          </cell>
        </row>
        <row r="15">
          <cell r="I15">
            <v>103816.98</v>
          </cell>
        </row>
        <row r="16">
          <cell r="I16">
            <v>126808.68</v>
          </cell>
        </row>
        <row r="17">
          <cell r="I17">
            <v>225040.92</v>
          </cell>
        </row>
        <row r="18">
          <cell r="I18">
            <v>103129.95</v>
          </cell>
        </row>
        <row r="19">
          <cell r="I19">
            <v>142248.75</v>
          </cell>
        </row>
        <row r="20">
          <cell r="I20">
            <v>157095.29</v>
          </cell>
        </row>
        <row r="21">
          <cell r="I21">
            <v>122872.3</v>
          </cell>
        </row>
        <row r="22">
          <cell r="I22">
            <v>129098.01</v>
          </cell>
        </row>
        <row r="23">
          <cell r="I23">
            <v>102730.74</v>
          </cell>
        </row>
        <row r="24">
          <cell r="I24">
            <v>103105.48</v>
          </cell>
        </row>
        <row r="25">
          <cell r="I25">
            <v>143904.51999999999</v>
          </cell>
        </row>
        <row r="26">
          <cell r="I26">
            <v>141445.72</v>
          </cell>
        </row>
        <row r="27">
          <cell r="I27">
            <v>14914.31</v>
          </cell>
        </row>
        <row r="28">
          <cell r="I28">
            <v>159085.1</v>
          </cell>
        </row>
        <row r="29">
          <cell r="I29">
            <v>16202.95</v>
          </cell>
        </row>
        <row r="30">
          <cell r="I30">
            <v>98131.31</v>
          </cell>
        </row>
        <row r="31">
          <cell r="I31">
            <v>41290.03</v>
          </cell>
        </row>
        <row r="32">
          <cell r="I32">
            <v>18731.7</v>
          </cell>
        </row>
        <row r="33">
          <cell r="I33">
            <v>18544.89</v>
          </cell>
        </row>
        <row r="34">
          <cell r="I34">
            <v>68060.44</v>
          </cell>
        </row>
        <row r="35">
          <cell r="I35">
            <v>58883.69</v>
          </cell>
        </row>
        <row r="36">
          <cell r="I36">
            <v>19189.63</v>
          </cell>
        </row>
        <row r="37">
          <cell r="I37">
            <v>10179.290000000001</v>
          </cell>
        </row>
      </sheetData>
      <sheetData sheetId="39"/>
      <sheetData sheetId="40"/>
      <sheetData sheetId="41"/>
      <sheetData sheetId="42"/>
      <sheetData sheetId="43"/>
      <sheetData sheetId="44"/>
      <sheetData sheetId="45">
        <row r="1">
          <cell r="B1" t="str">
            <v>ROAD REHABILITATION (SECTOR) PROJECT</v>
          </cell>
        </row>
        <row r="2">
          <cell r="B2" t="str">
            <v>RANTAU - KANDANGAN (AX-07)</v>
          </cell>
        </row>
        <row r="3">
          <cell r="B3" t="str">
            <v>KALIMANTAN SELATAN</v>
          </cell>
        </row>
        <row r="5">
          <cell r="B5" t="str">
            <v>Direktur Utama</v>
          </cell>
        </row>
        <row r="8">
          <cell r="B8" t="str">
            <v>Lokasi Master</v>
          </cell>
        </row>
        <row r="9">
          <cell r="B9" t="str">
            <v>TA Master</v>
          </cell>
        </row>
        <row r="10">
          <cell r="B10">
            <v>0.75</v>
          </cell>
        </row>
        <row r="11">
          <cell r="B11" t="str">
            <v>230/STT/BJM/VII/2005</v>
          </cell>
        </row>
      </sheetData>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2"/>
      <sheetName val="3-DIV3"/>
      <sheetName val="3-DIV3 (2)"/>
      <sheetName val="3-DIV3 (3)"/>
      <sheetName val="3-DIV3 (4)"/>
      <sheetName val="3-DIV4"/>
      <sheetName val="3-DIV5"/>
      <sheetName val="3-DIV5-LPAS"/>
      <sheetName val="Lean Concr"/>
      <sheetName val="Sand-Bedding"/>
      <sheetName val="3-DIV6"/>
      <sheetName val="3-DIV6 Lasbutag"/>
      <sheetName val="3-DIV7"/>
      <sheetName val="3-DIV7.1"/>
      <sheetName val="3-DIV8"/>
      <sheetName val="3-DIV9"/>
      <sheetName val="3-DIV10 LS-Rutin"/>
      <sheetName val="3-DIV10 Kuantitas"/>
      <sheetName val="3-DIV10 Analisa HSP"/>
      <sheetName val="SPESIFIKASI"/>
      <sheetName val="4-Basic Price"/>
      <sheetName val="4-formulir harga bahan"/>
      <sheetName val="4-Analisa Quarry"/>
      <sheetName val="5-Peralatan"/>
      <sheetName val="5-Peralatan (2)"/>
      <sheetName val="6-Agregat Halus &amp; Kasar"/>
      <sheetName val="6-Agregat Kelas A"/>
      <sheetName val="6-Agregat Kelas B"/>
      <sheetName val="6-Agregat Kelas C"/>
      <sheetName val="5_Peral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row r="13">
          <cell r="AW13">
            <v>47472.058636363639</v>
          </cell>
        </row>
        <row r="16">
          <cell r="AW16">
            <v>70230.073977639215</v>
          </cell>
        </row>
        <row r="24">
          <cell r="AW24">
            <v>293927.19306224468</v>
          </cell>
        </row>
      </sheetData>
      <sheetData sheetId="38"/>
      <sheetData sheetId="39"/>
      <sheetData sheetId="40"/>
      <sheetData sheetId="41"/>
      <sheetData sheetId="42"/>
      <sheetData sheetId="43"/>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2"/>
      <sheetName val="Sced (3)"/>
      <sheetName val="MOS"/>
      <sheetName val="Pekerjaan Utama"/>
      <sheetName val="Rekap Biaya"/>
      <sheetName val="Kuantitas &amp; Harga"/>
      <sheetName val="Rutin"/>
      <sheetName val="Analisa"/>
      <sheetName val="div-8"/>
      <sheetName val="div-7"/>
      <sheetName val="div-3"/>
      <sheetName val="Mobilisasi"/>
      <sheetName val="Aggr"/>
      <sheetName val="Quarry"/>
      <sheetName val="alat"/>
      <sheetName val="Basic Price"/>
      <sheetName val="Informas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ow r="39">
          <cell r="AW39">
            <v>43375.190431716896</v>
          </cell>
        </row>
      </sheetData>
      <sheetData sheetId="15">
        <row r="8">
          <cell r="F8">
            <v>4000</v>
          </cell>
        </row>
        <row r="10">
          <cell r="F10">
            <v>5000</v>
          </cell>
        </row>
        <row r="12">
          <cell r="F12">
            <v>6000</v>
          </cell>
        </row>
        <row r="110">
          <cell r="F110">
            <v>1000</v>
          </cell>
        </row>
        <row r="114">
          <cell r="F114">
            <v>12500</v>
          </cell>
        </row>
      </sheetData>
      <sheetData sheetId="16"/>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totap+apbd (2)"/>
      <sheetName val="rekap APBD"/>
      <sheetName val="rekap APBN"/>
      <sheetName val="Rekap Paket IPA APBN"/>
      <sheetName val="Rekap Paket Pipa APBN"/>
      <sheetName val="AN PIPA (2)"/>
      <sheetName val="GENZET"/>
      <sheetName val="Acsesoris"/>
      <sheetName val="BAHAN"/>
      <sheetName val="PJ"/>
      <sheetName val="SNI FIX"/>
      <sheetName val="Intake 2"/>
      <sheetName val="Prasedimen1"/>
      <sheetName val="20L"/>
      <sheetName val="SDB"/>
      <sheetName val="RESERVOIR"/>
      <sheetName val="R.Clorinasi"/>
      <sheetName val="rumah pomp"/>
      <sheetName val="rumah jaga revisi"/>
      <sheetName val="R.GENSET"/>
      <sheetName val="P. Sub Intake"/>
      <sheetName val="P.Sub Prased"/>
      <sheetName val="Pompa Cent (2)"/>
      <sheetName val="pagar (2)"/>
      <sheetName val="JP10"/>
      <sheetName val="JP 12"/>
      <sheetName val="JP 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9">
          <cell r="F49">
            <v>1325</v>
          </cell>
        </row>
        <row r="208">
          <cell r="F208">
            <v>61000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2"/>
      <sheetName val="Sced (3)"/>
      <sheetName val="MOS"/>
      <sheetName val="Pekerjaan Utama"/>
      <sheetName val="Rekap Biaya"/>
      <sheetName val="Kuantitas &amp; Harga"/>
      <sheetName val="Rutin"/>
      <sheetName val="Analisa"/>
      <sheetName val="div-8"/>
      <sheetName val="div-7"/>
      <sheetName val="div-3"/>
      <sheetName val="Mobilisasi"/>
      <sheetName val="Aggr"/>
      <sheetName val="Quarry"/>
      <sheetName val="alat"/>
      <sheetName val="Basic Price"/>
      <sheetName val="Informa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1">
          <cell r="AW11">
            <v>286103.05172053957</v>
          </cell>
        </row>
        <row r="15">
          <cell r="AW15">
            <v>132089.41467687697</v>
          </cell>
        </row>
        <row r="17">
          <cell r="AW17">
            <v>160772.31966006386</v>
          </cell>
        </row>
        <row r="20">
          <cell r="AW20">
            <v>151956.25649778178</v>
          </cell>
        </row>
        <row r="22">
          <cell r="AW22">
            <v>115888.09460566843</v>
          </cell>
        </row>
        <row r="26">
          <cell r="AW26">
            <v>124072.19354838712</v>
          </cell>
        </row>
        <row r="30">
          <cell r="AW30">
            <v>133326.80570233689</v>
          </cell>
        </row>
      </sheetData>
      <sheetData sheetId="15" refreshError="1">
        <row r="8">
          <cell r="F8">
            <v>4000</v>
          </cell>
        </row>
        <row r="12">
          <cell r="F12">
            <v>6000</v>
          </cell>
        </row>
        <row r="60">
          <cell r="F60">
            <v>12500</v>
          </cell>
        </row>
      </sheetData>
      <sheetData sheetId="16"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totap+apbd (2)"/>
      <sheetName val="Rekap APBD"/>
      <sheetName val="Rekap APBN"/>
      <sheetName val="APBN Paket 1"/>
      <sheetName val="APBN Paket 2-1"/>
      <sheetName val="APBN Paket 2-2"/>
      <sheetName val="AN PIPA (2)"/>
      <sheetName val="GENZET"/>
      <sheetName val="Acsesoris"/>
      <sheetName val="BAHAN"/>
      <sheetName val="PJ"/>
      <sheetName val="SNI FIX"/>
      <sheetName val="Intake 2"/>
      <sheetName val="Prasedimen1"/>
      <sheetName val="20L"/>
      <sheetName val="SDB"/>
      <sheetName val="RESERVOIR"/>
      <sheetName val="R.Clorinasi"/>
      <sheetName val="rumah pomp"/>
      <sheetName val="rumah jaga revisi"/>
      <sheetName val="R.GENSET"/>
      <sheetName val="P. Sub Intake"/>
      <sheetName val="P.Sub Prased"/>
      <sheetName val="Pompa Cent (2)"/>
      <sheetName val="pagar (2)"/>
      <sheetName val="JP 50"/>
      <sheetName val="JP10"/>
      <sheetName val="JP 2 75"/>
    </sheetNames>
    <sheetDataSet>
      <sheetData sheetId="0" refreshError="1"/>
      <sheetData sheetId="1"/>
      <sheetData sheetId="2"/>
      <sheetData sheetId="3" refreshError="1"/>
      <sheetData sheetId="4" refreshError="1"/>
      <sheetData sheetId="5" refreshError="1"/>
      <sheetData sheetId="6"/>
      <sheetData sheetId="7"/>
      <sheetData sheetId="8"/>
      <sheetData sheetId="9">
        <row r="215">
          <cell r="F215">
            <v>35000</v>
          </cell>
        </row>
      </sheetData>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S"/>
      <sheetName val="Pekerjaan Utama"/>
      <sheetName val="Rekap Biaya"/>
      <sheetName val="Kuantitas &amp; Harga"/>
      <sheetName val="Rutin"/>
      <sheetName val="Analisa"/>
      <sheetName val="div-8"/>
      <sheetName val="div-7"/>
      <sheetName val="Div-6"/>
      <sheetName val="div-5"/>
      <sheetName val="div-4)"/>
      <sheetName val="div-3"/>
      <sheetName val="Mobilisasi"/>
      <sheetName val="Aggr"/>
      <sheetName val="Quarry"/>
      <sheetName val="alat"/>
      <sheetName val="Basic Price"/>
      <sheetName val="Informasi"/>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ow r="12">
          <cell r="AW12">
            <v>36570.333333333328</v>
          </cell>
        </row>
        <row r="33">
          <cell r="AW33">
            <v>17874.574074074077</v>
          </cell>
        </row>
      </sheetData>
      <sheetData sheetId="16" refreshError="1"/>
      <sheetData sheetId="17"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hn FINAL"/>
      <sheetName val="Rek.TOTAL"/>
      <sheetName val="upah FINAL"/>
      <sheetName val="pSIAPn LAHAN"/>
      <sheetName val="REK.Stad.UTAMA"/>
      <sheetName val="RINC.Stad. UTAMA"/>
      <sheetName val="REK.Stad.TENNIS"/>
      <sheetName val="RINC.Stad.TENNIS"/>
      <sheetName val="REK.GOR.BASKET"/>
      <sheetName val="RINC.GOR.BASKET"/>
      <sheetName val="analisa FINAL"/>
      <sheetName val="REK.GOR.GULAT"/>
      <sheetName val="RINC.GOR.GULAT"/>
      <sheetName val="gulat struktur"/>
      <sheetName val="REK.GED.SQUASH"/>
      <sheetName val="RINC.GED.SQUASH"/>
      <sheetName val="REK.LAP.BOLA.Trbuka"/>
      <sheetName val="RINC.LAP.BOLA.Trbuka"/>
      <sheetName val="REK.GED.MANAJ"/>
      <sheetName val="RINC.GED.MANAJ"/>
      <sheetName val="REK.MASJID"/>
      <sheetName val="RINC.MASJID"/>
      <sheetName val="REK.PLAZA"/>
      <sheetName val="RINC.PLAZA"/>
      <sheetName val="REK.PARKIR"/>
      <sheetName val="RINC.PARKIR"/>
      <sheetName val="REK.JALAN"/>
      <sheetName val="RINC.JALAN"/>
      <sheetName val="Drain"/>
      <sheetName val="Anal.Ri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_1"/>
      <sheetName val="L_11"/>
      <sheetName val="MOS"/>
      <sheetName val="Pekerjaan Utama"/>
      <sheetName val="Rekap Biaya"/>
      <sheetName val="Kuantitas &amp; Harga"/>
      <sheetName val="Div-6"/>
      <sheetName val="Div-5"/>
      <sheetName val="Mobilisasi"/>
      <sheetName val="Aggr"/>
      <sheetName val="Quarry"/>
      <sheetName val="alat"/>
      <sheetName val="Basic Price"/>
      <sheetName val="Informasi"/>
    </sheetNames>
    <sheetDataSet>
      <sheetData sheetId="0"/>
      <sheetData sheetId="1" refreshError="1"/>
      <sheetData sheetId="2" refreshError="1"/>
      <sheetData sheetId="3"/>
      <sheetData sheetId="4">
        <row r="3">
          <cell r="B3" t="str">
            <v>REKAPITULASI</v>
          </cell>
        </row>
        <row r="4">
          <cell r="B4" t="str">
            <v>DAFTAR KUANTITAS DAN HARGA</v>
          </cell>
        </row>
        <row r="6">
          <cell r="B6" t="str">
            <v xml:space="preserve"> Proyek/Bagpro</v>
          </cell>
          <cell r="E6" t="str">
            <v>:  Pembangunan Peningkatan dan Pemeliharaan/Rehabilitasi Jalan &amp; Jembatan</v>
          </cell>
        </row>
        <row r="7">
          <cell r="B7" t="str">
            <v xml:space="preserve"> No. Paket Kontrak</v>
          </cell>
          <cell r="E7" t="str">
            <v>:</v>
          </cell>
        </row>
        <row r="8">
          <cell r="B8" t="str">
            <v xml:space="preserve"> Nama Paket</v>
          </cell>
          <cell r="E8" t="str">
            <v>:  Peningkatan Jalan Halong - Tabuan - Mantuyan</v>
          </cell>
        </row>
        <row r="9">
          <cell r="B9" t="str">
            <v xml:space="preserve"> Prop / Kab / Kodya</v>
          </cell>
          <cell r="E9" t="str">
            <v>:  Kab. Balangan</v>
          </cell>
        </row>
        <row r="12">
          <cell r="B12" t="str">
            <v>No.</v>
          </cell>
          <cell r="I12" t="str">
            <v>Jumlah Harga</v>
          </cell>
        </row>
        <row r="13">
          <cell r="B13" t="str">
            <v>Divisi</v>
          </cell>
          <cell r="E13" t="str">
            <v xml:space="preserve">                    Uraian</v>
          </cell>
          <cell r="I13" t="str">
            <v>Pekerjaan</v>
          </cell>
        </row>
        <row r="14">
          <cell r="I14" t="str">
            <v>(Rupiah)</v>
          </cell>
        </row>
        <row r="16">
          <cell r="B16">
            <v>1</v>
          </cell>
          <cell r="D16" t="str">
            <v>Umum</v>
          </cell>
          <cell r="I16">
            <v>29280000</v>
          </cell>
        </row>
        <row r="17">
          <cell r="B17">
            <v>2</v>
          </cell>
          <cell r="D17" t="str">
            <v>Drainase</v>
          </cell>
          <cell r="I17">
            <v>0</v>
          </cell>
        </row>
        <row r="18">
          <cell r="B18">
            <v>3</v>
          </cell>
          <cell r="D18" t="str">
            <v>Pekerjaan Tanah</v>
          </cell>
          <cell r="I18">
            <v>0</v>
          </cell>
        </row>
        <row r="19">
          <cell r="B19">
            <v>4</v>
          </cell>
          <cell r="D19" t="str">
            <v>Pelebaran Perkerasan dan Bahu Jalan</v>
          </cell>
          <cell r="I19">
            <v>0</v>
          </cell>
        </row>
        <row r="20">
          <cell r="B20">
            <v>5</v>
          </cell>
          <cell r="D20" t="str">
            <v>Pekerasan Berbutir</v>
          </cell>
          <cell r="I20">
            <v>608899850.12</v>
          </cell>
        </row>
        <row r="21">
          <cell r="B21">
            <v>6</v>
          </cell>
          <cell r="D21" t="str">
            <v>Perkerasan Aspal</v>
          </cell>
          <cell r="I21">
            <v>1493998130.8399999</v>
          </cell>
        </row>
        <row r="22">
          <cell r="B22">
            <v>7</v>
          </cell>
          <cell r="D22" t="str">
            <v>Struktur</v>
          </cell>
          <cell r="I22">
            <v>0</v>
          </cell>
        </row>
        <row r="23">
          <cell r="B23">
            <v>8</v>
          </cell>
          <cell r="D23" t="str">
            <v>Pengembalian Kondisi dan Pekerjaan  Minor</v>
          </cell>
          <cell r="I23">
            <v>0</v>
          </cell>
        </row>
        <row r="24">
          <cell r="B24">
            <v>9</v>
          </cell>
          <cell r="D24" t="str">
            <v>Pekerjaan Harian</v>
          </cell>
          <cell r="I24">
            <v>0</v>
          </cell>
        </row>
        <row r="25">
          <cell r="B25">
            <v>10</v>
          </cell>
          <cell r="D25" t="str">
            <v>Pekerjaan Pemeliharaan Rutin</v>
          </cell>
          <cell r="I25">
            <v>0</v>
          </cell>
        </row>
        <row r="26">
          <cell r="B26" t="str">
            <v xml:space="preserve">  (A)    Jumlah Harga Pekerjaan ( termasuk Biaya Umum dan Keuntungan )</v>
          </cell>
          <cell r="I26">
            <v>2132177980.96</v>
          </cell>
        </row>
        <row r="27">
          <cell r="B27" t="str">
            <v xml:space="preserve">  (B)    Pajak Pertambahan Nilai ( PPN ) = 10% x (A)</v>
          </cell>
          <cell r="I27">
            <v>213217798.09600002</v>
          </cell>
        </row>
        <row r="28">
          <cell r="B28" t="str">
            <v xml:space="preserve">  (C)    JUMLAH TOTAL HARGA PEKERJAAN = (A) + (B)</v>
          </cell>
          <cell r="I28">
            <v>2345395779.0560002</v>
          </cell>
        </row>
        <row r="29">
          <cell r="D29" t="str">
            <v>DIBULATKAN</v>
          </cell>
          <cell r="I29">
            <v>2345395000</v>
          </cell>
        </row>
        <row r="30">
          <cell r="B30" t="str">
            <v xml:space="preserve">  Terbilang :</v>
          </cell>
          <cell r="C30" t="str">
            <v>DUA MILYAR TIGA RATUS EMPAT PULUH LIMA JUTA TIGA RATUS SEMBILAN PULUH LIMA</v>
          </cell>
        </row>
        <row r="31">
          <cell r="C31" t="str">
            <v>RIBIU RUPIAH</v>
          </cell>
        </row>
        <row r="35">
          <cell r="H35" t="str">
            <v>Amuntai, 13 Juni 2006</v>
          </cell>
        </row>
        <row r="36">
          <cell r="H36" t="str">
            <v>PT. WAHYU UTAMA PERSADA MULIA</v>
          </cell>
        </row>
      </sheetData>
      <sheetData sheetId="5">
        <row r="131">
          <cell r="D131" t="str">
            <v>DIVISI  6.  PERKERASAN  ASPAL</v>
          </cell>
        </row>
        <row r="133">
          <cell r="B133" t="str">
            <v>6.1 (1)</v>
          </cell>
          <cell r="D133" t="str">
            <v>Lapis Resap Pengikat</v>
          </cell>
          <cell r="F133" t="str">
            <v>Liter</v>
          </cell>
          <cell r="G133">
            <v>16940</v>
          </cell>
          <cell r="H133">
            <v>5923.9656644460592</v>
          </cell>
          <cell r="I133">
            <v>100351978.36</v>
          </cell>
        </row>
        <row r="134">
          <cell r="B134" t="str">
            <v>6.1 (2)</v>
          </cell>
          <cell r="D134" t="str">
            <v>Lapis Perekat</v>
          </cell>
          <cell r="F134" t="str">
            <v>Liter</v>
          </cell>
        </row>
        <row r="136">
          <cell r="B136" t="str">
            <v>6.2 (1)</v>
          </cell>
          <cell r="D136" t="str">
            <v>Agregat Penutup BURTU</v>
          </cell>
          <cell r="F136" t="str">
            <v>M2</v>
          </cell>
        </row>
        <row r="137">
          <cell r="B137" t="str">
            <v>6.2 (2)</v>
          </cell>
          <cell r="D137" t="str">
            <v>Agregat Penutup BURDA</v>
          </cell>
          <cell r="F137" t="str">
            <v>M2</v>
          </cell>
        </row>
        <row r="138">
          <cell r="B138" t="str">
            <v>6.2 (3)</v>
          </cell>
          <cell r="D138" t="str">
            <v>Bahan Aspal untuk Pekerjaan Laburan</v>
          </cell>
          <cell r="F138" t="str">
            <v>Liter</v>
          </cell>
        </row>
        <row r="141">
          <cell r="B141" t="str">
            <v>6.3 (1)</v>
          </cell>
          <cell r="D141" t="str">
            <v>Latasir (SS) Kelas A</v>
          </cell>
          <cell r="F141" t="str">
            <v>M2</v>
          </cell>
        </row>
        <row r="142">
          <cell r="B142" t="str">
            <v>6.3 (2)</v>
          </cell>
          <cell r="D142" t="str">
            <v>Latasir (SS) Kelas B</v>
          </cell>
          <cell r="F142" t="str">
            <v>M2</v>
          </cell>
        </row>
        <row r="143">
          <cell r="B143" t="str">
            <v>6.3 (3)</v>
          </cell>
          <cell r="D143" t="str">
            <v>Lataston-Lapis Aus (HRS-WC)</v>
          </cell>
          <cell r="F143" t="str">
            <v>M2</v>
          </cell>
        </row>
        <row r="144">
          <cell r="B144" t="str">
            <v>6.3 (4)</v>
          </cell>
          <cell r="D144" t="str">
            <v>Asphalt Treated Base (ATB)</v>
          </cell>
          <cell r="F144" t="str">
            <v>M3</v>
          </cell>
          <cell r="G144">
            <v>1058.8</v>
          </cell>
          <cell r="H144">
            <v>1316250.6162422297</v>
          </cell>
          <cell r="I144">
            <v>1393646152.48</v>
          </cell>
        </row>
        <row r="145">
          <cell r="B145" t="str">
            <v>6.3 (5)</v>
          </cell>
          <cell r="D145" t="str">
            <v>Lapis Aus Aspal Beton (AC-WC)</v>
          </cell>
          <cell r="F145" t="str">
            <v>M2</v>
          </cell>
        </row>
        <row r="146">
          <cell r="B146" t="str">
            <v>6.3 (6)</v>
          </cell>
          <cell r="D146" t="str">
            <v>Lapis Aus Aspal Beton (AC-BC)</v>
          </cell>
          <cell r="F146" t="str">
            <v>M3</v>
          </cell>
        </row>
        <row r="148">
          <cell r="B148" t="str">
            <v>6.4 (1)</v>
          </cell>
          <cell r="D148" t="str">
            <v>Lasbutag</v>
          </cell>
          <cell r="F148" t="str">
            <v>M2</v>
          </cell>
        </row>
        <row r="149">
          <cell r="B149" t="str">
            <v>6.4 (2)</v>
          </cell>
          <cell r="D149" t="str">
            <v>Latasbusir Kelas A</v>
          </cell>
          <cell r="F149" t="str">
            <v>M2</v>
          </cell>
        </row>
        <row r="150">
          <cell r="B150" t="str">
            <v>6.4 (3)</v>
          </cell>
          <cell r="D150" t="str">
            <v>Latasbusir Kelas B</v>
          </cell>
          <cell r="F150" t="str">
            <v>M2</v>
          </cell>
        </row>
        <row r="151">
          <cell r="B151" t="str">
            <v>6.4 (4)</v>
          </cell>
          <cell r="D151" t="str">
            <v>Bitumen Asbuton</v>
          </cell>
          <cell r="F151" t="str">
            <v>Ton</v>
          </cell>
        </row>
        <row r="152">
          <cell r="B152" t="str">
            <v>6.4 (5)</v>
          </cell>
          <cell r="D152" t="str">
            <v>Bitumen Bahan Peremaja</v>
          </cell>
          <cell r="F152" t="str">
            <v>Ton</v>
          </cell>
        </row>
        <row r="153">
          <cell r="B153" t="str">
            <v>6.4 (6)</v>
          </cell>
          <cell r="D153" t="str">
            <v>Bahan Anti-Stripping</v>
          </cell>
          <cell r="F153" t="str">
            <v>Liter</v>
          </cell>
        </row>
        <row r="155">
          <cell r="B155" t="str">
            <v>6.5 (1)</v>
          </cell>
          <cell r="D155" t="str">
            <v xml:space="preserve">Aspal Campuran Dingin </v>
          </cell>
          <cell r="F155" t="str">
            <v>M3</v>
          </cell>
        </row>
        <row r="157">
          <cell r="B157" t="str">
            <v>6.6</v>
          </cell>
          <cell r="D157" t="str">
            <v>Lapis Penetrasi Macadam Perata (Levelling)</v>
          </cell>
          <cell r="F157" t="str">
            <v>M3</v>
          </cell>
        </row>
        <row r="165">
          <cell r="C165" t="str">
            <v>Jumlah Harga Pekerjaan DIVISI 6  (masuk pada Rekapitulasi Perkiraan Harga Pekerjaan)</v>
          </cell>
          <cell r="I165">
            <v>1493998130.8399999</v>
          </cell>
        </row>
      </sheetData>
      <sheetData sheetId="6" refreshError="1"/>
      <sheetData sheetId="7" refreshError="1"/>
      <sheetData sheetId="8"/>
      <sheetData sheetId="9"/>
      <sheetData sheetId="10"/>
      <sheetData sheetId="11"/>
      <sheetData sheetId="12"/>
      <sheetData sheetId="13"/>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LE ALAT"/>
      <sheetName val="ATB pers (2)"/>
      <sheetName val="FOTO PR"/>
      <sheetName val="Sheet3"/>
      <sheetName val="G.umum"/>
      <sheetName val="SCHE vareto"/>
      <sheetName val="ATB pers"/>
      <sheetName val="BQ diva"/>
      <sheetName val="Item7"/>
      <sheetName val="MAT BARU AC"/>
      <sheetName val="H.Satuan"/>
      <sheetName val="CashFlow"/>
      <sheetName val="AC +"/>
      <sheetName val="an.ATB G"/>
      <sheetName val="an.AC"/>
      <sheetName val="an.ATB L"/>
      <sheetName val="ATB +"/>
      <sheetName val="Mat"/>
      <sheetName val="Alat DC"/>
      <sheetName val="Camp"/>
      <sheetName val="Kap.Tenaga"/>
      <sheetName val="H_Satuan"/>
      <sheetName val=""/>
      <sheetName val="HRG BHN"/>
      <sheetName val="IDLE_ALAT"/>
      <sheetName val="ATB_pers_(2)"/>
      <sheetName val="FOTO_PR"/>
      <sheetName val="G_umum"/>
      <sheetName val="SCHE_vareto"/>
      <sheetName val="ATB_pers"/>
      <sheetName val="BQ_diva"/>
      <sheetName val="MAT_BARU_AC"/>
      <sheetName val="H_Satuan1"/>
      <sheetName val="AC_+"/>
      <sheetName val="an_ATB_G"/>
      <sheetName val="an_AC"/>
      <sheetName val="an_ATB_L"/>
      <sheetName val="ATB_+"/>
      <sheetName val="Alat_DC"/>
      <sheetName val="Kap_Tenaga"/>
      <sheetName val="Agregat Halus &amp; Kasar"/>
      <sheetName val="FA"/>
      <sheetName val="Analisa HS"/>
      <sheetName val="Kr tengahDiva"/>
      <sheetName val="ANALISA"/>
      <sheetName val="Boq"/>
      <sheetName val="bill qty"/>
      <sheetName val="meth hsl nego"/>
      <sheetName val="DAPRO"/>
      <sheetName val="BL"/>
      <sheetName val="L3 An H Sat Mob"/>
      <sheetName val="LO"/>
      <sheetName val="Markup"/>
      <sheetName val="Isolasi Luar Dalam"/>
      <sheetName val="Isolasi Luar"/>
      <sheetName val="SITE-E"/>
      <sheetName val="LOADDAT"/>
      <sheetName val="GASATAGG.XLS"/>
      <sheetName val="Informasi"/>
      <sheetName val="EXTERNAL WORK"/>
      <sheetName val="REKAP"/>
      <sheetName val="Man Power"/>
      <sheetName val="rekap mekanikal"/>
      <sheetName val="BASEMENT"/>
      <sheetName val="Anls"/>
      <sheetName val="BAG_2"/>
      <sheetName val="Analisa _ Upah"/>
      <sheetName val="Material"/>
      <sheetName val="Upah"/>
      <sheetName val="ANAL.BOW"/>
      <sheetName val="anal_alat"/>
      <sheetName val="hsd"/>
      <sheetName val="Break_down"/>
      <sheetName val="Equipment"/>
      <sheetName val="Subkon"/>
      <sheetName val="B - Norelec"/>
      <sheetName val="upahbahan"/>
      <sheetName val="rab me (by owner) "/>
      <sheetName val="BQ (by owner)"/>
      <sheetName val="rab me (fisik)"/>
      <sheetName val="Analisa &amp; Upah"/>
      <sheetName val="Pipe"/>
      <sheetName val="M_12 _2_"/>
      <sheetName val="analis"/>
      <sheetName val="bahan"/>
      <sheetName val="Cover"/>
      <sheetName val="ANAL. ME"/>
      <sheetName val="BAG-2"/>
      <sheetName val="BW analisa cika 2005"/>
      <sheetName val="01A- RAB"/>
      <sheetName val="L_Mechanical"/>
      <sheetName val="Data"/>
      <sheetName val="villa"/>
      <sheetName val="BTL-Persiapan"/>
      <sheetName val="BTL-Bau"/>
      <sheetName val="BTL-alat"/>
      <sheetName val="BTL-Rupa"/>
      <sheetName val="M&amp;E R"/>
      <sheetName val="RAB PERSIAPAN "/>
      <sheetName val="AHSP"/>
      <sheetName val="Scedule(S-Curve)"/>
      <sheetName val="Fin-Bengkel"/>
      <sheetName val="Fin-Showroom"/>
      <sheetName val="Hal_Pagar"/>
      <sheetName val="Str-Bengkel"/>
      <sheetName val="Str-Showroom"/>
      <sheetName val="WT-LIST"/>
      <sheetName val="G_SUMMARY"/>
      <sheetName val="Anal"/>
      <sheetName val="U_rate"/>
      <sheetName val="Art"/>
      <sheetName val="CPAoC"/>
      <sheetName val="NS GD.UTAMA"/>
      <sheetName val="ANAL_BOW"/>
      <sheetName val="Eng_Hrs"/>
      <sheetName val="HARGA ALAT"/>
      <sheetName val="UMUM"/>
      <sheetName val="BASIC"/>
      <sheetName val="BOQ KSN"/>
      <sheetName val="alat,bahan,sub"/>
      <sheetName val="ETAB 1"/>
      <sheetName val="REKAP_ARSITEKTUR."/>
      <sheetName val="RAB.ADMINISTRASI PUSAT (1)"/>
      <sheetName val="RAB_HREZ"/>
      <sheetName val="ANAL_HREZ"/>
      <sheetName val="EQ_an"/>
      <sheetName val="GFA-20-N"/>
      <sheetName val="L-Mechanical"/>
      <sheetName val="ESCON"/>
      <sheetName val="KET"/>
      <sheetName val="Equip"/>
      <sheetName val="TELEPON"/>
      <sheetName val="PROTEKSI PETIR"/>
      <sheetName val="KABEL FEEDER"/>
      <sheetName val="PENRNGN &amp; KTK-KNTK"/>
      <sheetName val="REKAP-MEK"/>
      <sheetName val="FIRE FIGHTING"/>
      <sheetName val="Master 1.0"/>
      <sheetName val="Bill No 2.1 Cold Water System"/>
      <sheetName val="Civil Works"/>
      <sheetName val="analysis"/>
      <sheetName val="BANGUNAN PENUNJANG"/>
      <sheetName val="har-sat"/>
      <sheetName val="AC-C"/>
      <sheetName val="A"/>
      <sheetName val="Fill this out first..."/>
      <sheetName val="Fill this out first___"/>
      <sheetName val="5-Peralatan"/>
      <sheetName val="hardas"/>
      <sheetName val="BHN"/>
      <sheetName val="BoQ C4"/>
      <sheetName val="harga"/>
      <sheetName val="LISTRIK"/>
      <sheetName val="F ALARM"/>
      <sheetName val="Persiapan"/>
      <sheetName val="STD Lanjutan"/>
      <sheetName val="NS Lanjutan"/>
      <sheetName val="1.B"/>
      <sheetName val="Sat Upah"/>
      <sheetName val="HS Alat"/>
      <sheetName val="HS Upah"/>
      <sheetName val="HS Sub-Kon"/>
      <sheetName val="Analisa ME (2)"/>
      <sheetName val="HB "/>
      <sheetName val="Unit Rate"/>
      <sheetName val="BQ Stdr R-1"/>
      <sheetName val="Transfer Pump"/>
      <sheetName val="pricing"/>
      <sheetName val="DPENSIUN"/>
      <sheetName val="AC_C"/>
      <sheetName val="Daftar berat"/>
      <sheetName val="Telephone"/>
      <sheetName val="Rek_ELEKT"/>
      <sheetName val="Fire Alarm"/>
      <sheetName val="AC"/>
      <sheetName val="Duct"/>
      <sheetName val="MON_OH"/>
      <sheetName val="BQWH3"/>
      <sheetName val="D &amp; W sizes"/>
      <sheetName val="D _ W sizes"/>
      <sheetName val="Bill of Qty MEP"/>
      <sheetName val="eq_data"/>
      <sheetName val="coeff"/>
      <sheetName val="Cable 150kV Ref."/>
      <sheetName val="CBL"/>
      <sheetName val="Harga Satuan"/>
      <sheetName val="sheet 2"/>
      <sheetName val="RAB ME"/>
      <sheetName val="RAW MATERIALS "/>
      <sheetName val="COST-PERSON-J.O."/>
      <sheetName val="RENTAL1"/>
      <sheetName val="EQ"/>
      <sheetName val="Valve"/>
      <sheetName val="Sanitair+Drain"/>
      <sheetName val="Flange"/>
      <sheetName val="Pipa (2)"/>
      <sheetName val="Lamp BAP"/>
      <sheetName val="Div2"/>
      <sheetName val="MAP-1"/>
      <sheetName val="HARSAT"/>
      <sheetName val="Pos 4-1"/>
      <sheetName val="AHS-E"/>
      <sheetName val="BQ-ME"/>
      <sheetName val="Rekap Prelim"/>
      <sheetName val="Dasboard"/>
      <sheetName val="H_Upah"/>
      <sheetName val="H-Upah"/>
      <sheetName val="Fin_Bengkel"/>
      <sheetName val="Fin_Showroom"/>
      <sheetName val="Str_Bengkel"/>
      <sheetName val="Str_Showroom"/>
      <sheetName val="Rate"/>
      <sheetName val="Mat.Mek"/>
      <sheetName val="IDLE_ALAT1"/>
      <sheetName val="ATB_pers_(2)1"/>
      <sheetName val="FOTO_PR1"/>
      <sheetName val="G_umum1"/>
      <sheetName val="SCHE_vareto1"/>
      <sheetName val="ATB_pers1"/>
      <sheetName val="BQ_diva1"/>
      <sheetName val="MAT_BARU_AC1"/>
      <sheetName val="H_Satuan2"/>
      <sheetName val="AC_+1"/>
      <sheetName val="an_ATB_G1"/>
      <sheetName val="an_AC1"/>
      <sheetName val="an_ATB_L1"/>
      <sheetName val="ATB_+1"/>
      <sheetName val="Alat_DC1"/>
      <sheetName val="Kap_Tenaga1"/>
      <sheetName val="HRG_BHN"/>
      <sheetName val="Agregat_Halus_&amp;_Kasar"/>
      <sheetName val="Analisa_HS"/>
      <sheetName val="Kr_tengahDiva"/>
      <sheetName val="B_-_Norelec"/>
      <sheetName val="Isolasi_Luar_Dalam"/>
      <sheetName val="Isolasi_Luar"/>
      <sheetName val="Man_Power"/>
      <sheetName val="L3_An_H_Sat_Mob"/>
      <sheetName val="Analisa ME"/>
      <sheetName val="ALAT"/>
      <sheetName val="MAIN EQUIP AC"/>
      <sheetName val="Upah Bahan"/>
      <sheetName val="index"/>
      <sheetName val="351BQMCN"/>
      <sheetName val="EE-PROP"/>
      <sheetName val="DUTCH CONE"/>
      <sheetName val="공정양식"/>
      <sheetName val="slab"/>
      <sheetName val="Rekap Direct Cost"/>
      <sheetName val="Urai _ Guide Post"/>
      <sheetName val="Met_Pas Batu"/>
      <sheetName val="Urai_Galian Tanah"/>
      <sheetName val="Met_ Minor"/>
      <sheetName val="R.A.B."/>
      <sheetName val="Perm. Test"/>
      <sheetName val="2_Plumbing"/>
      <sheetName val="3_FF"/>
      <sheetName val="Material&amp;Upah"/>
      <sheetName val="Piping"/>
      <sheetName val="AHS str"/>
      <sheetName val="name"/>
      <sheetName val="MAPDC"/>
      <sheetName val="Data Ktr Bupati Tapsel"/>
      <sheetName val="BAU"/>
      <sheetName val="DAF-2"/>
      <sheetName val="REK"/>
      <sheetName val="Panel"/>
      <sheetName val="Inst_penerangan_"/>
      <sheetName val="Plumbing"/>
      <sheetName val="Petir"/>
      <sheetName val="MATV"/>
      <sheetName val="CCTV"/>
      <sheetName val="Alarm"/>
      <sheetName val="Hydran _ springkler"/>
      <sheetName val="BasicPrice"/>
      <sheetName val="Hsat1"/>
      <sheetName val="New MADC"/>
      <sheetName val="bahan+upah"/>
      <sheetName val="AHSbj"/>
      <sheetName val="analisa_gedung"/>
      <sheetName val="Koefisien"/>
      <sheetName val="I-KAMAR"/>
      <sheetName val="MADC"/>
      <sheetName val="bilangan"/>
      <sheetName val="Project_P"/>
      <sheetName val="ANALIS.1"/>
      <sheetName val="BOI-me"/>
      <sheetName val="MUA"/>
      <sheetName val="BQ struktur"/>
      <sheetName val="AHS"/>
      <sheetName val="hs"/>
      <sheetName val="RKP PLUMBING"/>
      <sheetName val="BQ Arsit"/>
      <sheetName val="An HarSatPek"/>
      <sheetName val="Sat Bah &amp; Up"/>
      <sheetName val="Analisa Pusaka Jaya"/>
      <sheetName val="BASIC-PRICE"/>
      <sheetName val="NS GD.UGD"/>
      <sheetName val="STD GD.UGD"/>
      <sheetName val="Report detil kondisi"/>
      <sheetName val="ANALISA 1"/>
      <sheetName val="4-Basic Price"/>
      <sheetName val="HSD_Alat"/>
      <sheetName val="Daftar Upah,Bhn,&amp; alat"/>
      <sheetName val="Lead Schedule"/>
      <sheetName val="NP"/>
      <sheetName val="DKH"/>
      <sheetName val="Anal Koef"/>
      <sheetName val="Rekap Biaya"/>
      <sheetName val="ANALISA HARGA SATUAN"/>
      <sheetName val="REKAP TOTAL"/>
      <sheetName val="Jadwal"/>
      <sheetName val="Daf 1"/>
      <sheetName val="J"/>
      <sheetName val="2.NSB."/>
      <sheetName val="2.SB"/>
      <sheetName val="pinjen"/>
      <sheetName val="M.ITEM"/>
      <sheetName val="BHN.Ars"/>
      <sheetName val="7.NS.H"/>
      <sheetName val="Daf_ No_ _ 4_2"/>
      <sheetName val="Rates"/>
      <sheetName val="GH Quantity"/>
      <sheetName val="D.1.2_LT- 1 ~ Atap"/>
      <sheetName val="Market"/>
      <sheetName val="Bill 5 Summary"/>
      <sheetName val="FINISHING"/>
      <sheetName val="M"/>
      <sheetName val="Peralatan"/>
      <sheetName val="BOOQ"/>
      <sheetName val="ENC.14"/>
      <sheetName val="Speck ARSITEK"/>
      <sheetName val="Stden center"/>
      <sheetName val="KAN. LOKAL"/>
      <sheetName val="RAB"/>
      <sheetName val="kki"/>
      <sheetName val="fin pro centers"/>
      <sheetName val="SUMMARY"/>
      <sheetName val="LATIH1"/>
      <sheetName val="Data2"/>
      <sheetName val="FAK"/>
      <sheetName val="ana_str"/>
      <sheetName val="REKAP ARSITEKTUR"/>
      <sheetName val="anal_hs"/>
      <sheetName val="OVERHEAD"/>
      <sheetName val="rincian per proyek"/>
      <sheetName val="Terbilang"/>
      <sheetName val="Rkp"/>
      <sheetName val="MASTER"/>
      <sheetName val="SUMBER"/>
      <sheetName val="ISIAN"/>
      <sheetName val="database-emp"/>
      <sheetName val="Sheet1"/>
      <sheetName val="EMS"/>
      <sheetName val="Terbilang sertifikat"/>
      <sheetName val="PB_B_"/>
      <sheetName val="Analisa 2"/>
      <sheetName val="Upah dan bahan"/>
      <sheetName val="analisa "/>
      <sheetName val="SDM"/>
      <sheetName val="MAP"/>
      <sheetName val="AC LOAD"/>
      <sheetName val="AKUN"/>
      <sheetName val="DAFTAR HARGA"/>
      <sheetName val="daftar_harga"/>
      <sheetName val="Bill Of Quantity"/>
      <sheetName val="BGN PENUNJANG"/>
      <sheetName val="Bill_Qua"/>
      <sheetName val="KH Bahagia"/>
      <sheetName val="5-ALAT(1)"/>
      <sheetName val="????"/>
      <sheetName val="Rincian"/>
      <sheetName val="komponen"/>
      <sheetName val="QSS"/>
      <sheetName val="AN Panel"/>
      <sheetName val="NS"/>
      <sheetName val="Estimate"/>
      <sheetName val="KONTRAK INDUK BULANAN"/>
      <sheetName val="own"/>
      <sheetName val="Bq Ars"/>
      <sheetName val="Up&amp;Bhn "/>
      <sheetName val="H. Dasar"/>
      <sheetName val="Sat Alat"/>
      <sheetName val="ANALISA-HST"/>
      <sheetName val="T-3.4 Cost of Equipment"/>
      <sheetName val="bq"/>
      <sheetName val="HARDAS-ALAT"/>
      <sheetName val="HARDAS-MAT"/>
      <sheetName val="dasar"/>
      <sheetName val="Mtd_Pelak"/>
      <sheetName val="An H.Sat Pek.Ut"/>
      <sheetName val="list"/>
      <sheetName val="Harga Sat Das"/>
      <sheetName val="T-3.2 UP Labour"/>
      <sheetName val="T-3.3 UP Material"/>
      <sheetName val="pivot2"/>
      <sheetName val="pivot1"/>
      <sheetName val="struktur tdk dipakai"/>
      <sheetName val="BasPri"/>
      <sheetName val="MEP"/>
      <sheetName val="D_S_UPAH"/>
      <sheetName val="Progress"/>
      <sheetName val="KEBALAT"/>
      <sheetName val="FINAL"/>
      <sheetName val="CRUSER"/>
      <sheetName val="List Plant"/>
      <sheetName val="SAP"/>
      <sheetName val="analisa stroke"/>
      <sheetName val="Bill 4 Summary"/>
      <sheetName val="keb-BHN"/>
      <sheetName val="UPH,BHN,ALT"/>
      <sheetName val="PRICE-COMP"/>
      <sheetName val="QUARRY"/>
      <sheetName val="대비표"/>
      <sheetName val="Upah&amp;Bahan"/>
      <sheetName val="Harsat Bahan"/>
      <sheetName val="REKAP ME"/>
      <sheetName val="struktur"/>
      <sheetName val="B _ Norelec"/>
      <sheetName val="Site Expenses"/>
      <sheetName val="2. MVAC R1"/>
      <sheetName val="SOP"/>
      <sheetName val="bill_qty"/>
      <sheetName val="meth_hsl_nego"/>
      <sheetName val="AN_Panel"/>
      <sheetName val="HS_Alat"/>
      <sheetName val="HS_Upah"/>
      <sheetName val="HS_Sub-Kon"/>
      <sheetName val="Input monthly capex"/>
      <sheetName val="Cover Daf-2"/>
      <sheetName val="ALEK"/>
      <sheetName val="Uph&amp;bhn"/>
      <sheetName val="PDMP"/>
      <sheetName val="PCE"/>
      <sheetName val="PRODUK"/>
      <sheetName val="TOOL-ME"/>
      <sheetName val="GFA 22"/>
      <sheetName val="CC-20-N"/>
      <sheetName val="An_Basic"/>
      <sheetName val="소업1교"/>
      <sheetName val="AnalisaKantor"/>
      <sheetName val="T. Cs Log P III"/>
      <sheetName val="Sheet2"/>
      <sheetName val="Rekapitulasi"/>
      <sheetName val="S-Curve-print"/>
      <sheetName val="CH"/>
      <sheetName val="UshDeb00"/>
      <sheetName val="Data Sei Belutu"/>
      <sheetName val="610.6"/>
      <sheetName val="610.5"/>
      <sheetName val="Data Sinabung"/>
      <sheetName val="Kuantitas"/>
      <sheetName val="DIV1"/>
      <sheetName val="Profil"/>
      <sheetName val="may'03"/>
      <sheetName val="PENJ.NERACA"/>
      <sheetName val="CASH FLOW"/>
      <sheetName val="#REF"/>
      <sheetName val="BoQA"/>
      <sheetName val="U&amp;B"/>
      <sheetName val="3.3b"/>
      <sheetName val="ELEMEN"/>
      <sheetName val="Sec I ML"/>
      <sheetName val="Cash Flow bulanan"/>
      <sheetName val="[Kr tengahࡄiva.xls聝H_Satua聮"/>
      <sheetName val="IDL聅_AL聁T"/>
      <sheetName val="SCH聅_vareto"/>
      <sheetName val="[Kr te࡮gahࡄiva.xls聝MAT_BAR聕_AC"/>
      <sheetName val="[Kr tengahࡄiva࠮xls聝H_Satua聮1"/>
      <sheetName val="[Kࡲ tengahࡄiva.xls聝Kap聟Tenaga"/>
      <sheetName val="[Kࡲ te࡮gahࡄiva.xls聝Ana聬isa HS"/>
      <sheetName val="B -耠Nor聥lec"/>
      <sheetName val="Man耠Pow聥r"/>
      <sheetName val="[Kࡲ tengahࡄiva.xls聝5-P聥ralatan"/>
      <sheetName val="[Kࡲ te࡮gahࡄiva࠮xls聝Inf聯rmasi"/>
      <sheetName val="BTL耭ala聴"/>
      <sheetName val="BTL-Rup聡"/>
      <sheetName val="[Kr te࡮gahࡄiva.xls聝upahbahan"/>
      <sheetName val="[Kr tengahࡄiva࠮xls聝01A- RA聂"/>
      <sheetName val="BASEMEN联"/>
      <sheetName val="[Kr tengahࡄiva࠮xls聝NS GD.U联AMA"/>
      <sheetName val="[Kr tengahࡄiva.xls聝Str耭Bengkel"/>
      <sheetName val="[Kࡲ te࡮gahࡄiva࠮xls聝ANA职.BOW"/>
      <sheetName val="M_12 _2聟"/>
      <sheetName val="Mat聥ria聬"/>
      <sheetName val="[Kࡲ tengahࡄiva.xls聝G_SUMMARY"/>
      <sheetName val="GFA耭20-聎"/>
      <sheetName val="RAB聟HRE聚"/>
      <sheetName val="[Kr tengahDiva.xls聝ANAL_HREZ"/>
      <sheetName val="ANAL. M聅"/>
      <sheetName val="[Kr tengahDiva.xls聝analysis"/>
      <sheetName val="anal_al聡t"/>
      <sheetName val="[Kr tengah?iva.xls?H_Satua?"/>
      <sheetName val="IDL?_AL?T"/>
      <sheetName val="SCH?_vareto"/>
      <sheetName val="[Kr te?gah?iva.xls?MAT_BAR?_AC"/>
      <sheetName val="[Kr tengah?iva?xls?H_Satua?1"/>
      <sheetName val="[K? tengah?iva.xls?Kap?Tenaga"/>
      <sheetName val="[K? te?gah?iva.xls?Ana?isa HS"/>
      <sheetName val="B -?Nor?lec"/>
      <sheetName val="Man?Pow?r"/>
      <sheetName val="[K? tengah?iva.xls?5-P?ralatan"/>
      <sheetName val="[K? te?gah?iva?xls?Inf?rmasi"/>
      <sheetName val="BTL?ala?"/>
      <sheetName val="BTL-Rup?"/>
      <sheetName val="[Kr te?gah?iva.xls?upahbahan"/>
      <sheetName val="[Kr tengah?iva?xls?01A- RA?"/>
      <sheetName val="BASEMEN?"/>
      <sheetName val="[Kr tengah?iva?xls?NS GD.U?AMA"/>
      <sheetName val="[Kr tengah?iva.xls?Str?Bengkel"/>
      <sheetName val="[K? te?gah?iva?xls?ANA?.BOW"/>
      <sheetName val="M_12 _2?"/>
      <sheetName val="Mat?ria?"/>
      <sheetName val="[K? tengah?iva.xls?G_SUMMARY"/>
      <sheetName val="GFA?20-?"/>
      <sheetName val="RAB?HRE?"/>
      <sheetName val="[Kr tengahDiva.xls?ANAL_HREZ"/>
      <sheetName val="ANAL. M?"/>
      <sheetName val="[Kr tengahDiva.xls?analysis"/>
      <sheetName val="anal_al?t"/>
      <sheetName val="rab_me_(by_owner)_"/>
      <sheetName val="BQ_(by_owner)"/>
      <sheetName val="rab_me_(fisik)"/>
      <sheetName val="Daftar_berat"/>
      <sheetName val="Fill_this_out_first___"/>
      <sheetName val="rekap_mekanikal"/>
      <sheetName val="Analisa___Upah"/>
      <sheetName val="Analisa_&amp;_Upah"/>
      <sheetName val="GASATAGG_XLS"/>
      <sheetName val="EXTERNAL_WORK"/>
      <sheetName val="ANAL_BOW1"/>
      <sheetName val="M_12__2_"/>
      <sheetName val="Bill_No_2_1_Cold_Water_System"/>
      <sheetName val="Civil_Works"/>
      <sheetName val="D___W_sizes"/>
      <sheetName val="FIRE_FIGHTING"/>
      <sheetName val="Analisa_ME_(2)"/>
      <sheetName val="Fire_Alarm"/>
      <sheetName val="F_ALARM"/>
      <sheetName val="Bill_of_Qty_MEP"/>
      <sheetName val="01A-_RAB"/>
      <sheetName val="Fill_this_out_first___1"/>
      <sheetName val="1_B"/>
      <sheetName val="NS_GD_UTAMA"/>
      <sheetName val="BoQ_C4"/>
      <sheetName val="STD_Lanjutan"/>
      <sheetName val="NS_Lanjutan"/>
      <sheetName val="Sat_Upah"/>
      <sheetName val="REKAP_ARSITEKTUR_"/>
      <sheetName val="BOQ_KSN"/>
      <sheetName val="RAB_ADMINISTRASI_PUSAT_(1)"/>
      <sheetName val="ANAL__ME"/>
      <sheetName val="BW_analisa_cika_2005"/>
      <sheetName val="M&amp;E_R"/>
      <sheetName val="RAB_PERSIAPAN_"/>
      <sheetName val="Rekap_Prelim"/>
      <sheetName val="Pos_4-1"/>
      <sheetName val="PROTEKSI_PETIR"/>
      <sheetName val="KABEL_FEEDER"/>
      <sheetName val="PENRNGN_&amp;_KTK-KNTK"/>
      <sheetName val="Master_1_0"/>
      <sheetName val="BANGUNAN_PENUNJANG"/>
      <sheetName val="Mat_Mek"/>
      <sheetName val="D_&amp;_W_sizes"/>
      <sheetName val="Cable_150kV_Ref_"/>
      <sheetName val="MAIN_EQUIP_AC"/>
      <sheetName val="ANALIS_1"/>
      <sheetName val="DUTCH_CONE"/>
      <sheetName val="List of Eqp"/>
      <sheetName val="UPA"/>
      <sheetName val="faktor"/>
      <sheetName val="_Kr tengahࡄiva.xls聝H_Satua聮"/>
      <sheetName val="_Kr te࡮gahࡄiva.xls聝MAT_BAR聕_AC"/>
      <sheetName val="Pengujian"/>
      <sheetName val="Mobilisasi"/>
      <sheetName val="SUM"/>
      <sheetName val="Sat~Bahu"/>
      <sheetName val="RAB_STR"/>
      <sheetName val="Hrg_Bahan"/>
      <sheetName val="Mat.Elk"/>
      <sheetName val="AHS Isolasi"/>
      <sheetName val="Ref"/>
      <sheetName val="OHD"/>
      <sheetName val="_Kr tengahࡄiva࠮xls聝H_Satua聮1"/>
      <sheetName val="_Kࡲ tengahࡄiva.xls聝Kap聟Tenaga"/>
      <sheetName val="_Kࡲ te࡮gahࡄiva.xls聝Ana聬isa HS"/>
      <sheetName val="_Kࡲ tengahࡄiva.xls聝5-P聥ralatan"/>
      <sheetName val="_Kࡲ te࡮gahࡄiva࠮xls聝Inf聯rmasi"/>
      <sheetName val="_Kr te࡮gahࡄiva.xls聝upahbahan"/>
      <sheetName val="_Kr tengahࡄiva࠮xls聝01A- RA聂"/>
      <sheetName val="_Kr tengahࡄiva࠮xls聝NS GD.U联AMA"/>
      <sheetName val="_Kr tengahࡄiva.xls聝Str耭Bengkel"/>
      <sheetName val="_Kࡲ te࡮gahࡄiva࠮xls聝ANA职.BOW"/>
      <sheetName val="_Kࡲ tengahࡄiva.xls聝G_SUMMARY"/>
      <sheetName val="_Kr tengahDiva.xls聝ANAL_HREZ"/>
      <sheetName val="_Kr tengahDiva.xls聝analysis"/>
      <sheetName val="____"/>
      <sheetName val="Analisa Harga"/>
      <sheetName val="HARGA MATERIAL"/>
      <sheetName val="Blk B1"/>
      <sheetName val="Trafo"/>
      <sheetName val="Elekt"/>
      <sheetName val="PConsCS"/>
      <sheetName val="dia-in"/>
      <sheetName val="SEX"/>
      <sheetName val="HDasar"/>
      <sheetName val="INDEKS"/>
      <sheetName val="JABATAN"/>
      <sheetName val="ANALISA PEK.UMUM"/>
      <sheetName val="bilangkas"/>
      <sheetName val="TOTAL Agustus"/>
      <sheetName val="Pengalaman Per"/>
      <sheetName val="REF.ONLY"/>
      <sheetName val="Investment Valuation"/>
      <sheetName val="DAF-1"/>
      <sheetName val="Rate Analysis"/>
      <sheetName val="ME Apt2"/>
      <sheetName val="PileCap"/>
      <sheetName val="Unit Cost"/>
      <sheetName val="TE TS FA LAN MATV"/>
      <sheetName val="Du_lieu"/>
      <sheetName val="Bulanan"/>
      <sheetName val="Har-sat-dasr"/>
      <sheetName val="Appendix 2(SatDas)"/>
      <sheetName val="kuantts"/>
      <sheetName val="Kode"/>
      <sheetName val="daftar analisa"/>
      <sheetName val="PO-2"/>
      <sheetName val="Dashboard"/>
      <sheetName val="alm"/>
      <sheetName val="SELISIH HARGA"/>
      <sheetName val="Currency Rate"/>
      <sheetName val="bhn FINAL"/>
      <sheetName val="PAGE 1 "/>
      <sheetName val="dtxl"/>
      <sheetName val="Ｎｏ.13"/>
      <sheetName val="Price list"/>
      <sheetName val="ANAL TEKNIK"/>
      <sheetName val="Monitor"/>
      <sheetName val="Quantity"/>
      <sheetName val="Summary Sheets"/>
      <sheetName val="II.MAIN-LOB"/>
      <sheetName val="Main"/>
      <sheetName val="Ammonia"/>
      <sheetName val="General"/>
      <sheetName val="Page"/>
      <sheetName val="BQ Mekanikal"/>
      <sheetName val="Rkp Total"/>
      <sheetName val="bidang"/>
      <sheetName val="PC"/>
      <sheetName val="Basic Price"/>
      <sheetName val="Cessie"/>
      <sheetName val="AQC"/>
      <sheetName val="Detail-AQC"/>
      <sheetName val="IPA1"/>
      <sheetName val="TABEL-DETASIR"/>
      <sheetName val="gvl"/>
      <sheetName val="Harsat_marina"/>
      <sheetName val="ana_struktur"/>
      <sheetName val="IDLE_ALAT2"/>
      <sheetName val="ATB_pers_(2)2"/>
      <sheetName val="FOTO_PR2"/>
      <sheetName val="G_umum2"/>
      <sheetName val="SCHE_vareto2"/>
      <sheetName val="ATB_pers2"/>
      <sheetName val="BQ_diva2"/>
      <sheetName val="MAT_BARU_AC2"/>
      <sheetName val="H_Satuan3"/>
      <sheetName val="AC_+2"/>
      <sheetName val="an_ATB_G2"/>
      <sheetName val="an_AC2"/>
      <sheetName val="an_ATB_L2"/>
      <sheetName val="ATB_+2"/>
      <sheetName val="Alat_DC2"/>
      <sheetName val="Kap_Tenaga2"/>
      <sheetName val="HRG_BHN1"/>
      <sheetName val="Agregat_Halus_&amp;_Kasar1"/>
      <sheetName val="Analisa_HS1"/>
      <sheetName val="L3_An_H_Sat_Mob1"/>
      <sheetName val="Kr_tengahDiva1"/>
      <sheetName val="Isolasi_Luar_Dalam1"/>
      <sheetName val="Isolasi_Luar1"/>
      <sheetName val="B_-_Norelec1"/>
      <sheetName val="Man_Power1"/>
      <sheetName val="Perm__Test"/>
      <sheetName val="KAN__LOKAL"/>
      <sheetName val="HB_"/>
      <sheetName val="Unit_Rate"/>
      <sheetName val="BQ_Stdr_R-1"/>
      <sheetName val="Transfer_Pump"/>
      <sheetName val="GH_Quantity"/>
      <sheetName val="Harga_Satuan"/>
      <sheetName val="RAW_MATERIALS_"/>
      <sheetName val="COST-PERSON-J_O_"/>
      <sheetName val="Upah_dan_bahan"/>
      <sheetName val="analisa_"/>
      <sheetName val="NS_GD_UGD"/>
      <sheetName val="STD_GD_UGD"/>
      <sheetName val="HARGA_ALAT"/>
      <sheetName val="ETAB_1"/>
      <sheetName val="sheet_2"/>
      <sheetName val="RAB_ME"/>
      <sheetName val="Pipa_(2)"/>
      <sheetName val="Lamp_BAP"/>
      <sheetName val="Analisa_ME"/>
      <sheetName val="Upah_Bahan"/>
      <sheetName val="Rekap_Direct_Cost"/>
      <sheetName val="Urai___Guide_Post"/>
      <sheetName val="Met_Pas_Batu"/>
      <sheetName val="Urai_Galian_Tanah"/>
      <sheetName val="Met__Minor"/>
      <sheetName val="AHS_str"/>
      <sheetName val="An_HarSatPek"/>
      <sheetName val="RKP_PLUMBING"/>
      <sheetName val="ANALISA_1"/>
      <sheetName val="4-Basic_Price"/>
      <sheetName val="T-3_4_Cost_of_Equipment"/>
      <sheetName val="Daf_1"/>
      <sheetName val="Data_Ktr_Bupati_Tapsel"/>
      <sheetName val="New_MADC"/>
      <sheetName val="Analisa_Pusaka_Jaya"/>
      <sheetName val="R_A_B_"/>
      <sheetName val="BQ_Arsit"/>
      <sheetName val="Sat_Bah_&amp;_Up"/>
      <sheetName val="Daf__No____4_2"/>
      <sheetName val="fin_pro_centers"/>
      <sheetName val="Lead_Schedule"/>
      <sheetName val="REKAP_ARSITEKTUR"/>
      <sheetName val="rincian_per_proyek"/>
      <sheetName val="BQ_struktur"/>
      <sheetName val="An_H_Sat_Pek_Ut"/>
      <sheetName val="Harga_Sat_Das"/>
      <sheetName val="Analisa_2"/>
      <sheetName val="T-3_2_UP_Labour"/>
      <sheetName val="T-3_3_UP_Material"/>
      <sheetName val="Hydran___springkler"/>
      <sheetName val="Report_detil_kondisi"/>
      <sheetName val="Daftar_Upah,Bhn,&amp;_alat"/>
      <sheetName val="Anal_Koef"/>
      <sheetName val="Rekap_Biaya"/>
      <sheetName val="ANALISA_HARGA_SATUAN"/>
      <sheetName val="REKAP_TOTAL"/>
      <sheetName val="2_NSB_"/>
      <sheetName val="2_SB"/>
      <sheetName val="M_ITEM"/>
      <sheetName val="BHN_Ars"/>
      <sheetName val="7_NS_H"/>
      <sheetName val="D_1_2_LT-_1_~_Atap"/>
      <sheetName val="Input_monthly_capex"/>
      <sheetName val="Bill_5_Summary"/>
      <sheetName val="_Kr tengah_iva.xls_H_Satua_"/>
      <sheetName val="IDL__AL_T"/>
      <sheetName val="SCH__vareto"/>
      <sheetName val="_Kr te_gah_iva.xls_MAT_BAR__AC"/>
      <sheetName val="_Kr tengah_iva_xls_H_Satua_1"/>
      <sheetName val="_K_ tengah_iva.xls_Kap_Tenaga"/>
      <sheetName val="_K_ te_gah_iva.xls_Ana_isa HS"/>
      <sheetName val="B -_Nor_lec"/>
      <sheetName val="Man_Pow_r"/>
      <sheetName val="_K_ tengah_iva.xls_5-P_ralatan"/>
      <sheetName val="_K_ te_gah_iva_xls_Inf_rmasi"/>
      <sheetName val="BTL_ala_"/>
      <sheetName val="BTL-Rup_"/>
      <sheetName val="_Kr te_gah_iva.xls_upahbahan"/>
      <sheetName val="_Kr tengah_iva_xls_01A- RA_"/>
      <sheetName val="BASEMEN_"/>
      <sheetName val="_Kr tengah_iva_xls_NS GD.U_AMA"/>
      <sheetName val="_Kr tengah_iva.xls_Str_Bengkel"/>
      <sheetName val="_K_ te_gah_iva_xls_ANA_.BOW"/>
      <sheetName val="Mat_ria_"/>
      <sheetName val="_K_ tengah_iva.xls_G_SUMMARY"/>
      <sheetName val="GFA_20-_"/>
      <sheetName val="RAB_HRE_"/>
      <sheetName val="_Kr tengahDiva.xls_ANAL_HREZ"/>
      <sheetName val="ANAL. M_"/>
      <sheetName val="_Kr tengahDiva.xls_analysis"/>
      <sheetName val="anal_al_t"/>
      <sheetName val="HB"/>
      <sheetName val="hrg-sat.pek"/>
      <sheetName val="Anl"/>
      <sheetName val="(ANALISA-lain)"/>
      <sheetName val="Hargasatuan"/>
      <sheetName val="6-AGREGAT"/>
      <sheetName val="Sumber Daya"/>
      <sheetName val="DivVII"/>
      <sheetName val="GAJI"/>
      <sheetName val="Data-Masukan"/>
      <sheetName val="SAT-DAS"/>
      <sheetName val="집계표(OPTION)"/>
      <sheetName val="Data Pendukung"/>
      <sheetName val="Analisa-Harga"/>
      <sheetName val="3.Mob"/>
      <sheetName val="hitungan"/>
      <sheetName val="schman"/>
      <sheetName val="schmat"/>
      <sheetName val="TPI"/>
      <sheetName val="data_Asli"/>
      <sheetName val="Q'ty per m"/>
      <sheetName val="INPUT"/>
      <sheetName val="telp"/>
      <sheetName val="_Kr tengahDiva.xls聝analysi蕈"/>
      <sheetName val="DESBT"/>
      <sheetName val="Lt 1"/>
      <sheetName val="RAP"/>
      <sheetName val="BIIL ASLI"/>
      <sheetName val="PROD"/>
      <sheetName val="Saluran"/>
      <sheetName val="mek_REKAP"/>
      <sheetName val="UPAH BAHAN ARST"/>
      <sheetName val="ELEC STIS"/>
      <sheetName val="GASATAGG_XLS1"/>
      <sheetName val="EXTERNAL_WORK1"/>
      <sheetName val="rab_me_(by_owner)_1"/>
      <sheetName val="BQ_(by_owner)1"/>
      <sheetName val="rab_me_(fisik)1"/>
      <sheetName val="bill_qty1"/>
      <sheetName val="meth_hsl_nego1"/>
      <sheetName val="HS_Alat1"/>
      <sheetName val="HS_Upah1"/>
      <sheetName val="HS_Sub-Kon1"/>
      <sheetName val="Up&amp;Bhn_"/>
      <sheetName val="C_2_8"/>
      <sheetName val="C_2_12"/>
      <sheetName val="C_2_5"/>
      <sheetName val="C_2_15"/>
      <sheetName val="BANG TONG HOP (2)"/>
      <sheetName val="SATDAS"/>
      <sheetName val="01A-_RAB1"/>
      <sheetName val="REKAP_ARSITEKTUR_1"/>
      <sheetName val="RAB_ADMINISTRASI_PUSAT_(1)1"/>
      <sheetName val="rekap_mekanikal1"/>
      <sheetName val="PROTEKSI_PETIR1"/>
      <sheetName val="KABEL_FEEDER1"/>
      <sheetName val="PENRNGN_&amp;_KTK-KNTK1"/>
      <sheetName val="Bill_No_2_1_Cold_Water_System1"/>
      <sheetName val="Civil_Works1"/>
      <sheetName val="NS_GD_UTAMA1"/>
      <sheetName val="BANGUNAN_PENUNJANG1"/>
      <sheetName val="M&amp;E_R1"/>
      <sheetName val="RAB_PERSIAPAN_1"/>
      <sheetName val="FIRE_FIGHTING1"/>
      <sheetName val="Master_1_01"/>
      <sheetName val="Fill_this_out_first___2"/>
      <sheetName val="Fill_this_out_first___3"/>
      <sheetName val="BOQ_KSN1"/>
      <sheetName val="BoQ_C41"/>
      <sheetName val="F_ALARM1"/>
      <sheetName val="STD_Lanjutan1"/>
      <sheetName val="NS_Lanjutan1"/>
      <sheetName val="ANAL_BOW2"/>
      <sheetName val="1_B1"/>
      <sheetName val="ANAL__ME1"/>
      <sheetName val="BW_analisa_cika_20051"/>
      <sheetName val="Analisa___Upah1"/>
      <sheetName val="Sat_Upah1"/>
      <sheetName val="Analisa_ME_(2)1"/>
      <sheetName val="Analisa_&amp;_Upah1"/>
      <sheetName val="M_12__2_1"/>
      <sheetName val="Daftar_berat1"/>
      <sheetName val="Fire_Alarm1"/>
      <sheetName val="D_&amp;_W_sizes1"/>
      <sheetName val="Cable_150kV_Ref_1"/>
      <sheetName val="MAIN_EQUIP_AC1"/>
      <sheetName val="Rekap_Prelim1"/>
      <sheetName val="DUTCH_CONE1"/>
      <sheetName val="Pos_4-11"/>
      <sheetName val="D___W_sizes1"/>
      <sheetName val="Bill_of_Qty_MEP1"/>
      <sheetName val="Mat_Mek1"/>
      <sheetName val="ANALIS_11"/>
      <sheetName val="Terbilang_sertifikat"/>
      <sheetName val="AC_LOAD"/>
      <sheetName val="ENC_14"/>
      <sheetName val="Bill_Of_Quantity"/>
      <sheetName val="BGN_PENUNJANG"/>
      <sheetName val="KH_Bahagia"/>
      <sheetName val="AN_Panel1"/>
      <sheetName val="KONTRAK_INDUK_BULANAN"/>
      <sheetName val="Bq_Ars"/>
      <sheetName val="H__Dasar"/>
      <sheetName val="Sat_Alat"/>
      <sheetName val="Bill_4_Summary"/>
      <sheetName val="GFA_22"/>
      <sheetName val="PENJ_NERACA"/>
      <sheetName val="CASH_FLOW"/>
      <sheetName val="List_of_Eqp"/>
      <sheetName val="REKAP_ME"/>
      <sheetName val="SELISIH_HARGA"/>
      <sheetName val="struktur_tdk_dipakai"/>
      <sheetName val="B___Norelec"/>
      <sheetName val="Site_Expenses"/>
      <sheetName val="2__MVAC_R1"/>
      <sheetName val="Cover_Daf-2"/>
      <sheetName val="[Kr_tengahࡄiva_xls聝H_Satua聮"/>
      <sheetName val="[Kr_te࡮gahࡄiva_xls聝MAT_BAR聕_AC"/>
      <sheetName val="[Kr_tengahࡄiva࠮xls聝H_Satua聮1"/>
      <sheetName val="[Kࡲ_tengahࡄiva_xls聝Kap聟Tenaga"/>
      <sheetName val="[Kࡲ_te࡮gahࡄiva_xls聝Ana聬isa_HS"/>
      <sheetName val="B_-耠Nor聥lec"/>
      <sheetName val="[Kࡲ_tengahࡄiva_xls聝5-P聥ralatan"/>
      <sheetName val="[Kࡲ_te࡮gahࡄiva࠮xls聝Inf聯rmasi"/>
      <sheetName val="[Kr_te࡮gahࡄiva_xls聝upahbahan"/>
      <sheetName val="[Kr_tengahࡄiva࠮xls聝01A-_RA聂"/>
      <sheetName val="[Kr_tengahࡄiva࠮xls聝NS_GD_U联AMA"/>
      <sheetName val="[Kr_tengahࡄiva_xls聝Str耭Bengkel"/>
      <sheetName val="[Kࡲ_te࡮gahࡄiva࠮xls聝ANA职_BOW"/>
      <sheetName val="M_12__2聟"/>
      <sheetName val="[Kࡲ_tengahࡄiva_xls聝G_SUMMARY"/>
      <sheetName val="[Kr_tengahDiva_xls聝ANAL_HREZ"/>
      <sheetName val="ANAL__M聅"/>
      <sheetName val="[Kr_tengahDiva_xls聝analysis"/>
      <sheetName val="3_3b"/>
      <sheetName val="Sec_I_ML"/>
      <sheetName val="Cash_Flow_bulanan"/>
      <sheetName val="[Kr_tengah?iva_xls?H_Satua?"/>
      <sheetName val="[Kr_te?gah?iva_xls?MAT_BAR?_AC"/>
      <sheetName val="[Kr_tengah?iva?xls?H_Satua?1"/>
      <sheetName val="[K?_tengah?iva_xls?Kap?Tenaga"/>
      <sheetName val="[K?_te?gah?iva_xls?Ana?isa_HS"/>
      <sheetName val="B_-?Nor?lec"/>
      <sheetName val="[K?_tengah?iva_xls?5-P?ralatan"/>
      <sheetName val="[K?_te?gah?iva?xls?Inf?rmasi"/>
      <sheetName val="[Kr_te?gah?iva_xls?upahbahan"/>
      <sheetName val="[Kr_tengah?iva?xls?01A-_RA?"/>
      <sheetName val="[Kr_tengah?iva?xls?NS_GD_U?AMA"/>
      <sheetName val="[Kr_tengah?iva_xls?Str?Bengkel"/>
      <sheetName val="[K?_te?gah?iva?xls?ANA?_BOW"/>
      <sheetName val="M_12__2?"/>
      <sheetName val="[K?_tengah?iva_xls?G_SUMMARY"/>
      <sheetName val="[Kr_tengahDiva_xls?ANAL_HREZ"/>
      <sheetName val="ANAL__M?"/>
      <sheetName val="[Kr_tengahDiva_xls?analysis"/>
      <sheetName val="Summary_Sheets"/>
      <sheetName val="T__Cs_Log_P_III"/>
      <sheetName val="REF_ONLY"/>
      <sheetName val="Mat_Elk"/>
      <sheetName val="AHS_Isolasi"/>
      <sheetName val="Data_Sei_Belutu"/>
      <sheetName val="610_6"/>
      <sheetName val="610_5"/>
      <sheetName val="Data_Sinabung"/>
      <sheetName val="List_Plant"/>
      <sheetName val="3_Mob"/>
      <sheetName val="Price_list"/>
      <sheetName val="ANAL_TEKNIK"/>
      <sheetName val="bhn_FINAL"/>
      <sheetName val="TE_TS_FA_LAN_MATV"/>
      <sheetName val="_Kr_tengahࡄiva_xls聝H_Satua聮"/>
      <sheetName val="_Kr_te࡮gahࡄiva_xls聝MAT_BAR聕_AC"/>
      <sheetName val="_Kr_tengahࡄiva࠮xls聝H_Satua聮1"/>
      <sheetName val="_Kࡲ_tengahࡄiva_xls聝Kap聟Tenaga"/>
      <sheetName val="_Kࡲ_te࡮gahࡄiva_xls聝Ana聬isa_HS"/>
      <sheetName val="_Kࡲ_tengahࡄiva_xls聝5-P聥ralatan"/>
      <sheetName val="_Kࡲ_te࡮gahࡄiva࠮xls聝Inf聯rmasi"/>
      <sheetName val="_Kr_te࡮gahࡄiva_xls聝upahbahan"/>
      <sheetName val="_Kr_tengahࡄiva࠮xls聝01A-_RA聂"/>
      <sheetName val="_Kr_tengahࡄiva࠮xls聝NS_GD_U联AMA"/>
      <sheetName val="_Kr_tengahࡄiva_xls聝Str耭Bengkel"/>
      <sheetName val="_Kࡲ_te࡮gahࡄiva࠮xls聝ANA职_BOW"/>
      <sheetName val="_Kࡲ_tengahࡄiva_xls聝G_SUMMARY"/>
      <sheetName val="_Kr_tengahDiva_xls聝ANAL_HREZ"/>
      <sheetName val="_Kr_tengahDiva_xls聝analysis"/>
      <sheetName val="PAGE_1_"/>
      <sheetName val="ME_Apt2"/>
      <sheetName val="Rate_Analysis"/>
      <sheetName val="HARGA_MATERIAL"/>
      <sheetName val="Blk_B1"/>
      <sheetName val="IDLE_ALAT3"/>
      <sheetName val="ATB_pers_(2)3"/>
      <sheetName val="FOTO_PR3"/>
      <sheetName val="G_umum3"/>
      <sheetName val="SCHE_vareto3"/>
      <sheetName val="ATB_pers3"/>
      <sheetName val="BQ_diva3"/>
      <sheetName val="MAT_BARU_AC3"/>
      <sheetName val="H_Satuan4"/>
      <sheetName val="AC_+3"/>
      <sheetName val="an_ATB_G3"/>
      <sheetName val="an_AC3"/>
      <sheetName val="an_ATB_L3"/>
      <sheetName val="ATB_+3"/>
      <sheetName val="Alat_DC3"/>
      <sheetName val="Kap_Tenaga3"/>
      <sheetName val="HRG_BHN2"/>
      <sheetName val="Agregat_Halus_&amp;_Kasar2"/>
      <sheetName val="B_-_Norelec2"/>
      <sheetName val="01A-_RAB2"/>
      <sheetName val="Analisa_HS2"/>
      <sheetName val="Kr_tengahDiva2"/>
      <sheetName val="Isolasi_Luar_Dalam2"/>
      <sheetName val="Isolasi_Luar2"/>
      <sheetName val="REKAP_ARSITEKTUR_2"/>
      <sheetName val="RAB_ADMINISTRASI_PUSAT_(1)2"/>
      <sheetName val="Man_Power2"/>
      <sheetName val="L3_An_H_Sat_Mob2"/>
      <sheetName val="RKP_PLUMBING1"/>
      <sheetName val="HB_1"/>
      <sheetName val="rekap_mekanikal2"/>
      <sheetName val="PROTEKSI_PETIR2"/>
      <sheetName val="KABEL_FEEDER2"/>
      <sheetName val="PENRNGN_&amp;_KTK-KNTK2"/>
      <sheetName val="Bill_No_2_1_Cold_Water_System2"/>
      <sheetName val="Civil_Works2"/>
      <sheetName val="GASATAGG_XLS2"/>
      <sheetName val="rab_me_(by_owner)_2"/>
      <sheetName val="BQ_(by_owner)2"/>
      <sheetName val="NS_GD_UTAMA2"/>
      <sheetName val="BANGUNAN_PENUNJANG2"/>
      <sheetName val="M&amp;E_R2"/>
      <sheetName val="RAB_PERSIAPAN_2"/>
      <sheetName val="FIRE_FIGHTING2"/>
      <sheetName val="Master_1_02"/>
      <sheetName val="EXTERNAL_WORK2"/>
      <sheetName val="Fill_this_out_first___4"/>
      <sheetName val="Fill_this_out_first___5"/>
      <sheetName val="BOQ_KSN2"/>
      <sheetName val="BoQ_C42"/>
      <sheetName val="F_ALARM2"/>
      <sheetName val="STD_Lanjutan2"/>
      <sheetName val="NS_Lanjutan2"/>
      <sheetName val="ANAL_BOW3"/>
      <sheetName val="rab_me_(fisik)2"/>
      <sheetName val="1_B2"/>
      <sheetName val="ANAL__ME2"/>
      <sheetName val="BW_analisa_cika_20052"/>
      <sheetName val="Analisa___Upah2"/>
      <sheetName val="Sat_Upah2"/>
      <sheetName val="HS_Alat2"/>
      <sheetName val="HS_Upah2"/>
      <sheetName val="HS_Sub-Kon2"/>
      <sheetName val="Analisa_ME_(2)2"/>
      <sheetName val="sheet_21"/>
      <sheetName val="RAB_ME1"/>
      <sheetName val="Harga_Satuan1"/>
      <sheetName val="fin_pro_centers1"/>
      <sheetName val="bill_qty2"/>
      <sheetName val="meth_hsl_nego2"/>
      <sheetName val="ANALISA_11"/>
      <sheetName val="4-Basic_Price1"/>
      <sheetName val="R_A_B_1"/>
      <sheetName val="Analisa_&amp;_Upah2"/>
      <sheetName val="M_12__2_2"/>
      <sheetName val="Daftar_berat2"/>
      <sheetName val="Fire_Alarm2"/>
      <sheetName val="D_&amp;_W_sizes2"/>
      <sheetName val="Cable_150kV_Ref_2"/>
      <sheetName val="MAIN_EQUIP_AC2"/>
      <sheetName val="Rekap_Prelim2"/>
      <sheetName val="An_HarSatPek1"/>
      <sheetName val="Unit_Rate1"/>
      <sheetName val="BQ_Stdr_R-11"/>
      <sheetName val="Pipa_(2)1"/>
      <sheetName val="Lamp_BAP1"/>
      <sheetName val="DUTCH_CONE2"/>
      <sheetName val="Rekap_Direct_Cost1"/>
      <sheetName val="Urai___Guide_Post1"/>
      <sheetName val="Met_Pas_Batu1"/>
      <sheetName val="Urai_Galian_Tanah1"/>
      <sheetName val="Met__Minor1"/>
      <sheetName val="Pos_4-12"/>
      <sheetName val="Lead_Schedule1"/>
      <sheetName val="NS_GD_UGD1"/>
      <sheetName val="STD_GD_UGD1"/>
      <sheetName val="D___W_sizes2"/>
      <sheetName val="Bill_of_Qty_MEP2"/>
      <sheetName val="Mat_Mek2"/>
      <sheetName val="Transfer_Pump1"/>
      <sheetName val="RAW_MATERIALS_1"/>
      <sheetName val="COST-PERSON-J_O_1"/>
      <sheetName val="Data_Ktr_Bupati_Tapsel1"/>
      <sheetName val="BQ_struktur1"/>
      <sheetName val="Analisa_ME1"/>
      <sheetName val="Upah_Bahan1"/>
      <sheetName val="ANALIS_12"/>
      <sheetName val="REKAP_ARSITEKTUR1"/>
      <sheetName val="rincian_per_proyek1"/>
      <sheetName val="AHS_str1"/>
      <sheetName val="Daf__No____4_21"/>
      <sheetName val="BQ_Arsit1"/>
      <sheetName val="Sat_Bah_&amp;_Up1"/>
      <sheetName val="Perm__Test1"/>
      <sheetName val="New_MADC1"/>
      <sheetName val="HARGA_ALAT1"/>
      <sheetName val="ETAB_11"/>
      <sheetName val="Daf_11"/>
      <sheetName val="Anal_Koef1"/>
      <sheetName val="Rekap_Biaya1"/>
      <sheetName val="Hydran___springkler1"/>
      <sheetName val="GH_Quantity1"/>
      <sheetName val="Daftar_Upah,Bhn,&amp;_alat1"/>
      <sheetName val="KAN__LOKAL1"/>
      <sheetName val="Terbilang_sertifikat1"/>
      <sheetName val="Bill_5_Summary1"/>
      <sheetName val="Analisa_21"/>
      <sheetName val="Upah_dan_bahan1"/>
      <sheetName val="AC_LOAD1"/>
      <sheetName val="D_1_2_LT-_1_~_Atap1"/>
      <sheetName val="ENC_141"/>
      <sheetName val="2_NSB_1"/>
      <sheetName val="2_SB1"/>
      <sheetName val="M_ITEM1"/>
      <sheetName val="BHN_Ars1"/>
      <sheetName val="7_NS_H1"/>
      <sheetName val="Analisa_Pusaka_Jaya1"/>
      <sheetName val="Report_detil_kondisi1"/>
      <sheetName val="REKAP_TOTAL1"/>
      <sheetName val="Bill_Of_Quantity1"/>
      <sheetName val="BGN_PENUNJANG1"/>
      <sheetName val="KH_Bahagia1"/>
      <sheetName val="AN_Panel2"/>
      <sheetName val="KONTRAK_INDUK_BULANAN1"/>
      <sheetName val="Bq_Ars1"/>
      <sheetName val="Up&amp;Bhn_1"/>
      <sheetName val="H__Dasar1"/>
      <sheetName val="Sat_Alat1"/>
      <sheetName val="ANALISA_HARGA_SATUAN1"/>
      <sheetName val="Bill_4_Summary1"/>
      <sheetName val="GFA_221"/>
      <sheetName val="T-3_4_Cost_of_Equipment1"/>
      <sheetName val="An_H_Sat_Pek_Ut1"/>
      <sheetName val="Harga_Sat_Das1"/>
      <sheetName val="T-3_2_UP_Labour1"/>
      <sheetName val="T-3_3_UP_Material1"/>
      <sheetName val="Input_monthly_capex1"/>
      <sheetName val="PENJ_NERACA1"/>
      <sheetName val="CASH_FLOW1"/>
      <sheetName val="List_of_Eqp1"/>
      <sheetName val="REKAP_ME1"/>
      <sheetName val="SELISIH_HARGA1"/>
      <sheetName val="struktur_tdk_dipakai1"/>
      <sheetName val="B___Norelec1"/>
      <sheetName val="Site_Expenses1"/>
      <sheetName val="2__MVAC_R11"/>
      <sheetName val="Cover_Daf-21"/>
      <sheetName val="[Kr_tengahࡄiva_xls聝H_Satua聮1"/>
      <sheetName val="[Kr_te࡮gahࡄiva_xls聝MAT_BAR聕_AC1"/>
      <sheetName val="[Kr_tengahࡄiva࠮xls聝H_Satua聮11"/>
      <sheetName val="[Kࡲ_tengahࡄiva_xls聝Kap聟Tenaga1"/>
      <sheetName val="[Kࡲ_te࡮gahࡄiva_xls聝Ana聬isa_HS1"/>
      <sheetName val="B_-耠Nor聥lec1"/>
      <sheetName val="[Kࡲ_tengahࡄiva_xls聝5-P聥ralatan1"/>
      <sheetName val="[Kࡲ_te࡮gahࡄiva࠮xls聝Inf聯rmasi1"/>
      <sheetName val="[Kr_te࡮gahࡄiva_xls聝upahbahan1"/>
      <sheetName val="[Kr_tengahࡄiva࠮xls聝01A-_RA聂1"/>
      <sheetName val="[Kr_tengahࡄiva࠮xls聝NS_GD_U联AMA1"/>
      <sheetName val="[Kr_tengahࡄiva_xls聝Str耭Bengkel1"/>
      <sheetName val="[Kࡲ_te࡮gahࡄiva࠮xls聝ANA职_BOW1"/>
      <sheetName val="M_12__2聟1"/>
      <sheetName val="[Kࡲ_tengahࡄiva_xls聝G_SUMMARY1"/>
      <sheetName val="[Kr_tengahDiva_xls聝ANAL_HREZ1"/>
      <sheetName val="ANAL__M聅1"/>
      <sheetName val="[Kr_tengahDiva_xls聝analysis1"/>
      <sheetName val="3_3b1"/>
      <sheetName val="Sec_I_ML1"/>
      <sheetName val="Cash_Flow_bulanan1"/>
      <sheetName val="[Kr_tengah?iva_xls?H_Satua?1"/>
      <sheetName val="[Kr_te?gah?iva_xls?MAT_BAR?_AC1"/>
      <sheetName val="[Kr_tengah?iva?xls?H_Satua?11"/>
      <sheetName val="[K?_tengah?iva_xls?Kap?Tenaga1"/>
      <sheetName val="[K?_te?gah?iva_xls?Ana?isa_HS1"/>
      <sheetName val="B_-?Nor?lec1"/>
      <sheetName val="[K?_tengah?iva_xls?5-P?ralatan1"/>
      <sheetName val="[K?_te?gah?iva?xls?Inf?rmasi1"/>
      <sheetName val="[Kr_te?gah?iva_xls?upahbahan1"/>
      <sheetName val="[Kr_tengah?iva?xls?01A-_RA?1"/>
      <sheetName val="[Kr_tengah?iva?xls?NS_GD_U?AMA1"/>
      <sheetName val="[Kr_tengah?iva_xls?Str?Bengkel1"/>
      <sheetName val="[K?_te?gah?iva?xls?ANA?_BOW1"/>
      <sheetName val="M_12__2?1"/>
      <sheetName val="[K?_tengah?iva_xls?G_SUMMARY1"/>
      <sheetName val="[Kr_tengahDiva_xls?ANAL_HREZ1"/>
      <sheetName val="ANAL__M?1"/>
      <sheetName val="[Kr_tengahDiva_xls?analysis1"/>
      <sheetName val="Summary_Sheets1"/>
      <sheetName val="T__Cs_Log_P_III1"/>
      <sheetName val="REF_ONLY1"/>
      <sheetName val="Mat_Elk1"/>
      <sheetName val="AHS_Isolasi1"/>
      <sheetName val="Data_Sei_Belutu1"/>
      <sheetName val="610_61"/>
      <sheetName val="610_51"/>
      <sheetName val="Data_Sinabung1"/>
      <sheetName val="List_Plant1"/>
      <sheetName val="3_Mob1"/>
      <sheetName val="Price_list1"/>
      <sheetName val="ANAL_TEKNIK1"/>
      <sheetName val="bhn_FINAL1"/>
      <sheetName val="TE_TS_FA_LAN_MATV1"/>
      <sheetName val="_Kr_tengahࡄiva_xls聝H_Satua聮1"/>
      <sheetName val="_Kr_te࡮gahࡄiva_xls聝MAT_BAR聕_AC1"/>
      <sheetName val="_Kr_tengahࡄiva࠮xls聝H_Satua聮11"/>
      <sheetName val="_Kࡲ_tengahࡄiva_xls聝Kap聟Tenaga1"/>
      <sheetName val="_Kࡲ_te࡮gahࡄiva_xls聝Ana聬isa_HS1"/>
      <sheetName val="_Kࡲ_tengahࡄiva_xls聝5-P聥ralatan1"/>
      <sheetName val="_Kࡲ_te࡮gahࡄiva࠮xls聝Inf聯rmasi1"/>
      <sheetName val="_Kr_te࡮gahࡄiva_xls聝upahbahan1"/>
      <sheetName val="_Kr_tengahࡄiva࠮xls聝01A-_RA聂1"/>
      <sheetName val="_Kr_tengahࡄiva࠮xls聝NS_GD_U联AMA1"/>
      <sheetName val="_Kr_tengahࡄiva_xls聝Str耭Bengkel1"/>
      <sheetName val="_Kࡲ_te࡮gahࡄiva࠮xls聝ANA职_BOW1"/>
      <sheetName val="_Kࡲ_tengahࡄiva_xls聝G_SUMMARY1"/>
      <sheetName val="_Kr_tengahDiva_xls聝ANAL_HREZ1"/>
      <sheetName val="_Kr_tengahDiva_xls聝analysis1"/>
      <sheetName val="PAGE_1_1"/>
      <sheetName val="ME_Apt21"/>
      <sheetName val="Rate_Analysis1"/>
      <sheetName val="HARGA_MATERIAL1"/>
      <sheetName val="Blk_B11"/>
      <sheetName val="Analisa HSP"/>
      <sheetName val="Galian 1"/>
      <sheetName val="Analisa (ok)"/>
      <sheetName val="Kuantitas &amp; Harga"/>
      <sheetName val="On Time"/>
      <sheetName val="Curup"/>
      <sheetName val="Prabu"/>
      <sheetName val="PESANTREN"/>
      <sheetName val="G"/>
      <sheetName val="STR"/>
      <sheetName val="List Material"/>
      <sheetName val="Break Down"/>
      <sheetName val="ANAL-TRM"/>
      <sheetName val="Hrg_elemen"/>
      <sheetName val="hub"/>
      <sheetName val="Proposal"/>
      <sheetName val="7.공정표"/>
      <sheetName val="DAF.ALAT"/>
      <sheetName val="Basic alat"/>
      <sheetName val="Basic bahan"/>
      <sheetName val="Basic upah"/>
      <sheetName val="Konfirm"/>
      <sheetName val="BHN-ALAT"/>
      <sheetName val="TNG"/>
      <sheetName val="Enc14"/>
      <sheetName val="DaftarHS"/>
      <sheetName val="MAP-Tot"/>
      <sheetName val="SAT UPH BHN"/>
      <sheetName val="MP3"/>
      <sheetName val="22"/>
      <sheetName val="mat&amp;upah"/>
      <sheetName val="a-hardsc"/>
      <sheetName val="ARSITEKTUR"/>
      <sheetName val="Master Edit"/>
      <sheetName val="Vibro_Roller"/>
      <sheetName val="1.2"/>
      <sheetName val="33"/>
      <sheetName val="Hst_mat"/>
      <sheetName val="P&amp;L"/>
      <sheetName val="DafHrgSatuan"/>
      <sheetName val="AnBiaya OperasionalAlat"/>
      <sheetName val="ana pt"/>
      <sheetName val="MobAlt"/>
      <sheetName val="BQ-4storey"/>
      <sheetName val="MS"/>
      <sheetName val="ANAL-1"/>
      <sheetName val="DHS"/>
      <sheetName val="一発シート"/>
      <sheetName val="SubmitCal"/>
      <sheetName val="FORM"/>
      <sheetName val="Anls-Um"/>
      <sheetName val="Daftar Kuantitas &amp; Harga"/>
      <sheetName val="Huruf"/>
      <sheetName val="info"/>
      <sheetName val="Assumptions"/>
      <sheetName val="Control Settings"/>
      <sheetName val="Dates &amp; Escalators"/>
      <sheetName val="Check Totals"/>
      <sheetName val="DaftarHarga"/>
      <sheetName val="ANALISA railing"/>
      <sheetName val="An-str(krgnyr)"/>
      <sheetName val="alt1"/>
      <sheetName val="Har Sat"/>
      <sheetName val="REQDELTA"/>
      <sheetName val="FGL"/>
      <sheetName val="LAIN-LAIN"/>
      <sheetName val="PRELIM"/>
      <sheetName val="402"/>
      <sheetName val="beam"/>
      <sheetName val="rab me _by owner_ "/>
      <sheetName val="BQ _by owner_"/>
      <sheetName val="rab me _fisik_"/>
      <sheetName val="KJ 2002"/>
      <sheetName val="ANALISAGATE"/>
      <sheetName val="hs-str"/>
      <sheetName val="hs_str"/>
      <sheetName val="Pag_hal"/>
      <sheetName val="UPAH&amp;BHN"/>
      <sheetName val="AI"/>
      <sheetName val="Div.1"/>
      <sheetName val="Form 4,5,6"/>
      <sheetName val="DMPU&amp;DUP"/>
      <sheetName val="BoQ1"/>
      <sheetName val="RAB-NEGO"/>
      <sheetName val="PL (MONTHLY)"/>
      <sheetName val="revisiSTR-pondasi"/>
      <sheetName val="ASSUM-COMB-Prop"/>
      <sheetName val="HQ-TO"/>
      <sheetName val="List Pla_x0000_È"/>
      <sheetName val="Daftar Upah"/>
      <sheetName val="Sum IF"/>
      <sheetName val="Har_mat"/>
      <sheetName val="3"/>
      <sheetName val="Cover Daf_2"/>
      <sheetName val="JadwaPenugasanl"/>
      <sheetName val="table"/>
      <sheetName val="Analisa Upah &amp; Bahan Plum"/>
      <sheetName val="JSiar"/>
      <sheetName val="DHSD"/>
      <sheetName val="Assumption &amp; Dashboard."/>
      <sheetName val="SNI FIX"/>
      <sheetName val="PANELKAST"/>
      <sheetName val="BAHAN (2)"/>
      <sheetName val="DAF-BAHAN"/>
      <sheetName val="DAF-UPAH"/>
      <sheetName val="Analisa SNI"/>
      <sheetName val="500kV BOQ"/>
      <sheetName val="Data Tower"/>
      <sheetName val="H.Alat"/>
      <sheetName val="H.Bahan"/>
      <sheetName val="RAB-ME"/>
      <sheetName val="RAB-Pipa"/>
      <sheetName val="RAB-Sipil"/>
      <sheetName val="Rekap RAB"/>
      <sheetName val="Factor"/>
      <sheetName val="unit 3"/>
      <sheetName val="trns-c1"/>
      <sheetName val="Uraian"/>
      <sheetName val="SCH2"/>
      <sheetName val="RPP01 6"/>
      <sheetName val="pricelist"/>
      <sheetName val="m schedule"/>
      <sheetName val="HM.MEK."/>
      <sheetName val="STOK MAT"/>
      <sheetName val="Luas-Tot"/>
      <sheetName val="metode"/>
      <sheetName val="LR-OKT-06"/>
      <sheetName val="Rokan 1"/>
      <sheetName val="mg"/>
      <sheetName val="Basic P"/>
      <sheetName val="10"/>
      <sheetName val="5"/>
      <sheetName val="Rekap BQ-Pompong"/>
      <sheetName val="prog-mgu"/>
      <sheetName val="BANK"/>
      <sheetName val="PERS PENY"/>
      <sheetName val="RAB DC"/>
      <sheetName val="anal rinci"/>
      <sheetName val="PRICE"/>
      <sheetName val="Rek.An"/>
      <sheetName val="Ranges"/>
      <sheetName val="cons workpapers"/>
      <sheetName val="적용환율"/>
      <sheetName val="SILICATE"/>
      <sheetName val="Engine"/>
      <sheetName val="HARSAT-lain"/>
      <sheetName val="HARSAT-tanah"/>
      <sheetName val="HARSAT-lhn"/>
      <sheetName val="Des_05"/>
      <sheetName val="Agst"/>
      <sheetName val="eQUIPMENT COST"/>
      <sheetName val="ub"/>
      <sheetName val="01.FA"/>
      <sheetName val="."/>
      <sheetName val="BIALANG"/>
      <sheetName val="H. Satuan Upah &amp; Bahan"/>
      <sheetName val="Analisa Satuan Pekerjaan"/>
      <sheetName val="H. Satuan Pekerjaan"/>
      <sheetName val="대비"/>
      <sheetName val="Vendor Information"/>
      <sheetName val="Tata Udara"/>
      <sheetName val="Daf.Biaya sewa alat"/>
      <sheetName val="rekap-ans"/>
      <sheetName val="Supl.X"/>
      <sheetName val="DU&amp;B"/>
      <sheetName val="HSLAIN-LAIN"/>
      <sheetName val="An. HS"/>
      <sheetName val="K210"/>
      <sheetName val="5-Ur-ALAT"/>
      <sheetName val="4-Basic Price-Upah"/>
      <sheetName val="GAL.BIASA"/>
      <sheetName val="M.Pekerjaan"/>
      <sheetName val="satpek"/>
      <sheetName val="A+Supl."/>
      <sheetName val="7"/>
      <sheetName val="RAB 1"/>
      <sheetName val="RAB 2"/>
      <sheetName val="RAB 3"/>
      <sheetName val="Material-List,mekanikal"/>
      <sheetName val="PNT"/>
      <sheetName val="REKAP Tbh"/>
      <sheetName val="Urai _Resap pengikat"/>
      <sheetName val="DAF.HRG"/>
      <sheetName val="sanitair"/>
      <sheetName val="A-Pintu"/>
      <sheetName val="4.2 Public"/>
      <sheetName val="BUL. A"/>
      <sheetName val="K"/>
      <sheetName val="Analisa Upah _ Bahan Plum"/>
      <sheetName val="DATA BASE"/>
      <sheetName val="Price of Equip"/>
      <sheetName val="Price of Mat"/>
      <sheetName val="Rencana Anggaran Biaya"/>
      <sheetName val="Mobilisasi (2)"/>
      <sheetName val="3-DIV4"/>
      <sheetName val="Data Umum Penawaran"/>
      <sheetName val="Pekerjaan"/>
      <sheetName val="ANALHASA"/>
      <sheetName val="Anas"/>
      <sheetName val="chitimc"/>
      <sheetName val="dongia (2)"/>
      <sheetName val="LKVL-CK-HT-GD1"/>
      <sheetName val="gtrinh"/>
      <sheetName val="THPDMoi  (2)"/>
      <sheetName val="lam-moi"/>
      <sheetName val="2"/>
      <sheetName val="6"/>
      <sheetName val="sched-induk-(Th.2008 5M)"/>
      <sheetName val="HDS Sipil"/>
      <sheetName val="hrg sat"/>
      <sheetName val="Tie Beam GN"/>
      <sheetName val="Tangga GN"/>
      <sheetName val="ANA bab 6"/>
      <sheetName val="HSD ALAT"/>
      <sheetName val="HSD BAHAN"/>
      <sheetName val="HSD UPAH "/>
      <sheetName val="7.PEK-STRUKTUR"/>
      <sheetName val="upah bahan "/>
      <sheetName val="Rinc. Harg.BHN"/>
      <sheetName val="Ana Fin"/>
      <sheetName val="KALKULASI"/>
      <sheetName val="Lists"/>
      <sheetName val="Upah&amp;Bahan (2)"/>
      <sheetName val="Analisa-Harga (1F)"/>
      <sheetName val="Daf Besi"/>
      <sheetName val="RAB-3"/>
      <sheetName val="BUL"/>
      <sheetName val="ITB COST"/>
      <sheetName val="Summ"/>
      <sheetName val="TERMINAL"/>
      <sheetName val="Uraian Analisa"/>
      <sheetName val="영업소실적"/>
      <sheetName val="Anl-BM"/>
      <sheetName val="E450"/>
      <sheetName val="DAF_2"/>
      <sheetName val="A_2"/>
      <sheetName val="K3"/>
      <sheetName val="MATRL"/>
      <sheetName val="PL"/>
      <sheetName val="IDLE_ALAT4"/>
      <sheetName val="ATB_pers_(2)4"/>
      <sheetName val="FOTO_PR4"/>
      <sheetName val="G_umum4"/>
      <sheetName val="SCHE_vareto4"/>
      <sheetName val="ATB_pers4"/>
      <sheetName val="BQ_diva4"/>
      <sheetName val="MAT_BARU_AC4"/>
      <sheetName val="H_Satuan5"/>
      <sheetName val="AC_+4"/>
      <sheetName val="an_ATB_G4"/>
      <sheetName val="an_AC4"/>
      <sheetName val="an_ATB_L4"/>
      <sheetName val="ATB_+4"/>
      <sheetName val="Alat_DC4"/>
      <sheetName val="Kap_Tenaga4"/>
      <sheetName val="HRG_BHN3"/>
      <sheetName val="Agregat_Halus_&amp;_Kasar3"/>
      <sheetName val="Analisa_HS3"/>
      <sheetName val="Kr_tengahDiva3"/>
      <sheetName val="B_-_Norelec3"/>
      <sheetName val="01A-_RAB3"/>
      <sheetName val="Isolasi_Luar_Dalam3"/>
      <sheetName val="Isolasi_Luar3"/>
      <sheetName val="REKAP_ARSITEKTUR_3"/>
      <sheetName val="RAB_ADMINISTRASI_PUSAT_(1)3"/>
      <sheetName val="M&amp;E_R3"/>
      <sheetName val="RAB_PERSIAPAN_3"/>
      <sheetName val="Man_Power3"/>
      <sheetName val="L3_An_H_Sat_Mob3"/>
      <sheetName val="PROTEKSI_PETIR3"/>
      <sheetName val="KABEL_FEEDER3"/>
      <sheetName val="PENRNGN_&amp;_KTK-KNTK3"/>
      <sheetName val="FIRE_FIGHTING3"/>
      <sheetName val="Master_1_03"/>
      <sheetName val="Bill_No_2_1_Cold_Water_System3"/>
      <sheetName val="Civil_Works3"/>
      <sheetName val="GASATAGG_XLS3"/>
      <sheetName val="rab_me_(by_owner)_3"/>
      <sheetName val="BQ_(by_owner)3"/>
      <sheetName val="NS_GD_UTAMA3"/>
      <sheetName val="ANAL__ME3"/>
      <sheetName val="BW_analisa_cika_20053"/>
      <sheetName val="EXTERNAL_WORK3"/>
      <sheetName val="rekap_mekanikal3"/>
      <sheetName val="Analisa___Upah3"/>
      <sheetName val="Harga_Satuan2"/>
      <sheetName val="Fill_this_out_first___6"/>
      <sheetName val="ANAL_BOW4"/>
      <sheetName val="rab_me_(fisik)3"/>
      <sheetName val="Analisa_&amp;_Upah3"/>
      <sheetName val="M_12__2_3"/>
      <sheetName val="BoQ_C43"/>
      <sheetName val="BOQ_KSN3"/>
      <sheetName val="Fill_this_out_first___7"/>
      <sheetName val="F_ALARM3"/>
      <sheetName val="1_B3"/>
      <sheetName val="STD_Lanjutan3"/>
      <sheetName val="NS_Lanjutan3"/>
      <sheetName val="Sat_Upah3"/>
      <sheetName val="Daftar_berat3"/>
      <sheetName val="Fire_Alarm3"/>
      <sheetName val="BANGUNAN_PENUNJANG3"/>
      <sheetName val="HS_Alat3"/>
      <sheetName val="HS_Upah3"/>
      <sheetName val="HS_Sub-Kon3"/>
      <sheetName val="Analisa_ME_(2)3"/>
      <sheetName val="HB_2"/>
      <sheetName val="D_&amp;_W_sizes3"/>
      <sheetName val="Cable_150kV_Ref_3"/>
      <sheetName val="MAIN_EQUIP_AC3"/>
      <sheetName val="Rekap_Prelim3"/>
      <sheetName val="bill_qty3"/>
      <sheetName val="meth_hsl_nego3"/>
      <sheetName val="Unit_Rate2"/>
      <sheetName val="BQ_Stdr_R-12"/>
      <sheetName val="sheet_22"/>
      <sheetName val="RAB_ME2"/>
      <sheetName val="An_HarSatPek2"/>
      <sheetName val="RKP_PLUMBING2"/>
      <sheetName val="ANALISA_12"/>
      <sheetName val="4-Basic_Price2"/>
      <sheetName val="NS_GD_UGD2"/>
      <sheetName val="STD_GD_UGD2"/>
      <sheetName val="Transfer_Pump2"/>
      <sheetName val="D___W_sizes3"/>
      <sheetName val="Bill_of_Qty_MEP3"/>
      <sheetName val="Pipa_(2)2"/>
      <sheetName val="Lamp_BAP2"/>
      <sheetName val="Pos_4-13"/>
      <sheetName val="RAW_MATERIALS_2"/>
      <sheetName val="COST-PERSON-J_O_2"/>
      <sheetName val="fin_pro_centers2"/>
      <sheetName val="R_A_B_2"/>
      <sheetName val="DUTCH_CONE3"/>
      <sheetName val="Rekap_Direct_Cost2"/>
      <sheetName val="Urai___Guide_Post2"/>
      <sheetName val="Met_Pas_Batu2"/>
      <sheetName val="Urai_Galian_Tanah2"/>
      <sheetName val="Met__Minor2"/>
      <sheetName val="Mat_Mek3"/>
      <sheetName val="Data_Ktr_Bupati_Tapsel2"/>
      <sheetName val="AHS_str2"/>
      <sheetName val="Perm__Test2"/>
      <sheetName val="GH_Quantity2"/>
      <sheetName val="New_MADC2"/>
      <sheetName val="Anal_Koef2"/>
      <sheetName val="Rekap_Biaya2"/>
      <sheetName val="Hydran___springkler2"/>
      <sheetName val="BQ_Arsit2"/>
      <sheetName val="Sat_Bah_&amp;_Up2"/>
      <sheetName val="D_1_2_LT-_1_~_Atap2"/>
      <sheetName val="ANALIS_13"/>
      <sheetName val="Upah_Bahan2"/>
      <sheetName val="Daftar_Upah,Bhn,&amp;_alat2"/>
      <sheetName val="Lead_Schedule2"/>
      <sheetName val="REKAP_TOTAL2"/>
      <sheetName val="Daf_12"/>
      <sheetName val="2_NSB_2"/>
      <sheetName val="2_SB2"/>
      <sheetName val="M_ITEM2"/>
      <sheetName val="BHN_Ars2"/>
      <sheetName val="7_NS_H2"/>
      <sheetName val="Daf__No____4_22"/>
      <sheetName val="BQ_struktur2"/>
      <sheetName val="Analisa_ME2"/>
      <sheetName val="REKAP_ARSITEKTUR2"/>
      <sheetName val="rincian_per_proyek2"/>
      <sheetName val="HARGA_ALAT2"/>
      <sheetName val="ETAB_12"/>
      <sheetName val="KAN__LOKAL2"/>
      <sheetName val="Terbilang_sertifikat2"/>
      <sheetName val="Bill_5_Summary2"/>
      <sheetName val="Analisa_22"/>
      <sheetName val="Upah_dan_bahan2"/>
      <sheetName val="AC_LOAD2"/>
      <sheetName val="ENC_142"/>
      <sheetName val="KH_Bahagia2"/>
      <sheetName val="Analisa_Pusaka_Jaya2"/>
      <sheetName val="Report_detil_kondisi2"/>
      <sheetName val="Bill_Of_Quantity2"/>
      <sheetName val="BGN_PENUNJANG2"/>
      <sheetName val="AN_Panel3"/>
      <sheetName val="KONTRAK_INDUK_BULANAN2"/>
      <sheetName val="Bq_Ars2"/>
      <sheetName val="Up&amp;Bhn_2"/>
      <sheetName val="H__Dasar2"/>
      <sheetName val="Sat_Alat2"/>
      <sheetName val="ANALISA_HARGA_SATUAN2"/>
      <sheetName val="Bill_4_Summary2"/>
      <sheetName val="GFA_222"/>
      <sheetName val="T-3_4_Cost_of_Equipment2"/>
      <sheetName val="An_H_Sat_Pek_Ut2"/>
      <sheetName val="Harga_Sat_Das2"/>
      <sheetName val="T-3_2_UP_Labour2"/>
      <sheetName val="T-3_3_UP_Material2"/>
      <sheetName val="Input_monthly_capex2"/>
      <sheetName val="PENJ_NERACA2"/>
      <sheetName val="CASH_FLOW2"/>
      <sheetName val="REKAP_ME2"/>
      <sheetName val="SELISIH_HARGA2"/>
      <sheetName val="struktur_tdk_dipakai2"/>
      <sheetName val="List_of_Eqp2"/>
      <sheetName val="B___Norelec2"/>
      <sheetName val="Site_Expenses2"/>
      <sheetName val="2__MVAC_R12"/>
      <sheetName val="Cover_Daf-22"/>
      <sheetName val="[Kr_tengahࡄiva_xls聝H_Satua聮2"/>
      <sheetName val="[Kr_te࡮gahࡄiva_xls聝MAT_BAR聕_AC2"/>
      <sheetName val="[Kr_tengahࡄiva࠮xls聝H_Satua聮12"/>
      <sheetName val="[Kࡲ_tengahࡄiva_xls聝Kap聟Tenaga2"/>
      <sheetName val="[Kࡲ_te࡮gahࡄiva_xls聝Ana聬isa_HS2"/>
      <sheetName val="B_-耠Nor聥lec2"/>
      <sheetName val="[Kࡲ_tengahࡄiva_xls聝5-P聥ralatan2"/>
      <sheetName val="[Kࡲ_te࡮gahࡄiva࠮xls聝Inf聯rmasi2"/>
      <sheetName val="[Kr_te࡮gahࡄiva_xls聝upahbahan2"/>
      <sheetName val="[Kr_tengahࡄiva࠮xls聝01A-_RA聂2"/>
      <sheetName val="[Kr_tengahࡄiva࠮xls聝NS_GD_U联AMA2"/>
      <sheetName val="[Kr_tengahࡄiva_xls聝Str耭Bengkel2"/>
      <sheetName val="[Kࡲ_te࡮gahࡄiva࠮xls聝ANA职_BOW2"/>
      <sheetName val="M_12__2聟2"/>
      <sheetName val="[Kࡲ_tengahࡄiva_xls聝G_SUMMARY2"/>
      <sheetName val="[Kr_tengahDiva_xls聝ANAL_HREZ2"/>
      <sheetName val="ANAL__M聅2"/>
      <sheetName val="[Kr_tengahDiva_xls聝analysis2"/>
      <sheetName val="3_3b2"/>
      <sheetName val="Sec_I_ML2"/>
      <sheetName val="Cash_Flow_bulanan2"/>
      <sheetName val="[Kr_tengah?iva_xls?H_Satua?2"/>
      <sheetName val="[Kr_te?gah?iva_xls?MAT_BAR?_AC2"/>
      <sheetName val="[Kr_tengah?iva?xls?H_Satua?12"/>
      <sheetName val="[K?_tengah?iva_xls?Kap?Tenaga2"/>
      <sheetName val="[K?_te?gah?iva_xls?Ana?isa_HS2"/>
      <sheetName val="B_-?Nor?lec2"/>
      <sheetName val="[K?_tengah?iva_xls?5-P?ralatan2"/>
      <sheetName val="[K?_te?gah?iva?xls?Inf?rmasi2"/>
      <sheetName val="[Kr_te?gah?iva_xls?upahbahan2"/>
      <sheetName val="[Kr_tengah?iva?xls?01A-_RA?2"/>
      <sheetName val="[Kr_tengah?iva?xls?NS_GD_U?AMA2"/>
      <sheetName val="[Kr_tengah?iva_xls?Str?Bengkel2"/>
      <sheetName val="[K?_te?gah?iva?xls?ANA?_BOW2"/>
      <sheetName val="M_12__2?2"/>
      <sheetName val="[K?_tengah?iva_xls?G_SUMMARY2"/>
      <sheetName val="[Kr_tengahDiva_xls?ANAL_HREZ2"/>
      <sheetName val="ANAL__M?2"/>
      <sheetName val="[Kr_tengahDiva_xls?analysis2"/>
      <sheetName val="Mat_Elk2"/>
      <sheetName val="AHS_Isolasi2"/>
      <sheetName val="Data_Sei_Belutu2"/>
      <sheetName val="610_62"/>
      <sheetName val="610_52"/>
      <sheetName val="Data_Sinabung2"/>
      <sheetName val="List_Plant2"/>
      <sheetName val="T__Cs_Log_P_III2"/>
      <sheetName val="REF_ONLY2"/>
      <sheetName val="Summary_Sheets2"/>
      <sheetName val="Price_list2"/>
      <sheetName val="ANAL_TEKNIK2"/>
      <sheetName val="bhn_FINAL2"/>
      <sheetName val="_Kr_tengahࡄiva_xls聝H_Satua聮2"/>
      <sheetName val="_Kr_te࡮gahࡄiva_xls聝MAT_BAR聕_AC2"/>
      <sheetName val="_Kr_tengahࡄiva࠮xls聝H_Satua聮12"/>
      <sheetName val="_Kࡲ_tengahࡄiva_xls聝Kap聟Tenaga2"/>
      <sheetName val="_Kࡲ_te࡮gahࡄiva_xls聝Ana聬isa_HS2"/>
      <sheetName val="_Kࡲ_tengahࡄiva_xls聝5-P聥ralatan2"/>
      <sheetName val="_Kࡲ_te࡮gahࡄiva࠮xls聝Inf聯rmasi2"/>
      <sheetName val="_Kr_te࡮gahࡄiva_xls聝upahbahan2"/>
      <sheetName val="_Kr_tengahࡄiva࠮xls聝01A-_RA聂2"/>
      <sheetName val="_Kr_tengahࡄiva࠮xls聝NS_GD_U联AMA2"/>
      <sheetName val="_Kr_tengahࡄiva_xls聝Str耭Bengkel2"/>
      <sheetName val="_Kࡲ_te࡮gahࡄiva࠮xls聝ANA职_BOW2"/>
      <sheetName val="_Kࡲ_tengahࡄiva_xls聝G_SUMMARY2"/>
      <sheetName val="_Kr_tengahDiva_xls聝ANAL_HREZ2"/>
      <sheetName val="_Kr_tengahDiva_xls聝analysis2"/>
      <sheetName val="3_Mob2"/>
      <sheetName val="TE_TS_FA_LAN_MATV2"/>
      <sheetName val="PAGE_1_2"/>
      <sheetName val="ME_Apt22"/>
      <sheetName val="Rate_Analysis2"/>
      <sheetName val="HARGA_MATERIAL2"/>
      <sheetName val="Blk_B12"/>
      <sheetName val="Pengalaman_Per"/>
      <sheetName val="II_MAIN-LOB"/>
      <sheetName val="Investment_Valuation"/>
      <sheetName val="Unit_Cost"/>
      <sheetName val="analisa_stroke"/>
      <sheetName val="Rkp_Total"/>
      <sheetName val="Harsat_Bahan"/>
      <sheetName val="Appendix_2(SatDas)"/>
      <sheetName val="daftar_analisa"/>
      <sheetName val="Sumber_Daya"/>
      <sheetName val="Currency_Rate"/>
      <sheetName val="List_Material"/>
      <sheetName val="On_Time"/>
      <sheetName val="Analisa_Harga"/>
      <sheetName val="Ｎｏ_13"/>
      <sheetName val="Analisa_HSP"/>
      <sheetName val="Galian_1"/>
      <sheetName val="Basic_alat"/>
      <sheetName val="Basic_bahan"/>
      <sheetName val="Basic_upah"/>
      <sheetName val="Analisa_(ok)"/>
      <sheetName val="Kuantitas_&amp;_Harga"/>
      <sheetName val="Master_Edit"/>
      <sheetName val="1_2"/>
      <sheetName val="ELEC_STIS"/>
      <sheetName val="Div_1"/>
      <sheetName val="Form_4,5,6"/>
      <sheetName val="UPAH_BAHAN_ARST"/>
      <sheetName val="Data_Pendukung"/>
      <sheetName val="Basic_Price"/>
      <sheetName val="PL_(MONTHLY)"/>
      <sheetName val="_Kr_tengah_iva_xls_H_Satua_"/>
      <sheetName val="_Kr_te_gah_iva_xls_MAT_BAR__AC"/>
      <sheetName val="_Kr_tengah_iva_xls_H_Satua_1"/>
      <sheetName val="_K__tengah_iva_xls_Kap_Tenaga"/>
      <sheetName val="_K__te_gah_iva_xls_Ana_isa_HS"/>
      <sheetName val="B_-_Nor_lec"/>
      <sheetName val="_K__tengah_iva_xls_5-P_ralatan"/>
      <sheetName val="_K__te_gah_iva_xls_Inf_rmasi"/>
      <sheetName val="_Kr_te_gah_iva_xls_upahbahan"/>
      <sheetName val="_Kr_tengah_iva_xls_01A-_RA_"/>
      <sheetName val="_Kr_tengah_iva_xls_NS_GD_U_AMA"/>
      <sheetName val="_Kr_tengah_iva_xls_Str_Bengkel"/>
      <sheetName val="_K__te_gah_iva_xls_ANA__BOW"/>
      <sheetName val="_K__tengah_iva_xls_G_SUMMARY"/>
      <sheetName val="_Kr_tengahDiva_xls_ANAL_HREZ"/>
      <sheetName val="ANAL__M_"/>
      <sheetName val="_Kr_tengahDiva_xls_analysis"/>
      <sheetName val="7_공정표"/>
      <sheetName val="TOTAL_Agustus"/>
      <sheetName val="DAF_ALAT"/>
      <sheetName val="Vendor_Information"/>
      <sheetName val="M_Pekerjaan"/>
      <sheetName val="Analisa_Upah_&amp;_Bahan_Plum"/>
      <sheetName val="Upah&amp;Bahan_(2)"/>
      <sheetName val="Analisa-Harga_(1F)"/>
      <sheetName val="List_PlaÈ"/>
      <sheetName val="Daf_Besi"/>
      <sheetName val="ITB_COST"/>
      <sheetName val="List Pla"/>
      <sheetName val="Rekap-link"/>
      <sheetName val="HSAT"/>
      <sheetName val="AnProd"/>
      <sheetName val="Rencana _2_"/>
      <sheetName val="TA"/>
      <sheetName val="8LT 12"/>
      <sheetName val="LoTA"/>
      <sheetName val="BILL"/>
      <sheetName val="GeneralInfo"/>
      <sheetName val="Marshal"/>
      <sheetName val="Anl.2s.d4e"/>
      <sheetName val="u.aLAT"/>
      <sheetName val="HARI"/>
      <sheetName val="Standby Alat"/>
      <sheetName val="LAP_ HARIAN"/>
      <sheetName val="ALS4"/>
      <sheetName val="ALS1"/>
      <sheetName val="ALS5"/>
      <sheetName val="ALS3"/>
      <sheetName val="ANALISA SBU"/>
      <sheetName val="H_ Dasar"/>
      <sheetName val="ANL K"/>
      <sheetName val="chemcal"/>
      <sheetName val="PRODALAT"/>
      <sheetName val="CHIPPING"/>
      <sheetName val="ANPRO"/>
      <sheetName val="L_O&amp;O"/>
      <sheetName val="RUMUS"/>
      <sheetName val="Koef"/>
      <sheetName val="NK"/>
      <sheetName val="ALATSEWA"/>
      <sheetName val="terbilang1"/>
      <sheetName val="JAD-PEL"/>
      <sheetName val="BANTU"/>
      <sheetName val="TAGIHAN"/>
      <sheetName val="Detail"/>
      <sheetName val="EL"/>
      <sheetName val="Villa A"/>
      <sheetName val="Bunga"/>
      <sheetName val="Mark-up"/>
      <sheetName val="HRG BAHAN _ UPAH okk"/>
      <sheetName val="HRG BAHAN &amp; UPAH okk"/>
      <sheetName val="Analis Kusen okk"/>
      <sheetName val="BQ-IABK"/>
      <sheetName val="CASHFLOW FORECAST"/>
      <sheetName val="rab g. menara pengawas"/>
      <sheetName val="tabel pnganan mslh"/>
      <sheetName val="BQ-E20-02(Rp)"/>
      <sheetName val="notasi"/>
      <sheetName val="HASAT DASAR"/>
      <sheetName val="Cont"/>
      <sheetName val="Bhn_upah"/>
      <sheetName val="billed"/>
      <sheetName val="COST TOGO"/>
      <sheetName val="report"/>
      <sheetName val="antisipasi"/>
      <sheetName val="H Satuan Dasar"/>
      <sheetName val="perbhn"/>
      <sheetName val="waktu"/>
      <sheetName val="128+800"/>
      <sheetName val="LINK-MAST. BASIC PRICE"/>
      <sheetName val="FP"/>
      <sheetName val="PLB"/>
      <sheetName val="RAB Ekstern"/>
      <sheetName val="岩性"/>
      <sheetName val="OFFICE 2 LT"/>
      <sheetName val="data profit"/>
      <sheetName val="0504"/>
      <sheetName val="profit"/>
      <sheetName val="sumpro"/>
      <sheetName val="srt"/>
      <sheetName val="Mob"/>
      <sheetName val="Daftar Paket"/>
      <sheetName val="D.1.7"/>
      <sheetName val="D.1.5"/>
      <sheetName val="D.2.3"/>
      <sheetName val="D.2.2"/>
      <sheetName val="Cost_BD_Steel"/>
      <sheetName val="SCH_GG &amp; SAS"/>
      <sheetName val="Data Base List"/>
      <sheetName val="CAB 2"/>
      <sheetName val="Anal Alat Type II A"/>
      <sheetName val="BOQ EM"/>
      <sheetName val="Field DCPT"/>
      <sheetName val="BOQ+BTL"/>
      <sheetName val="(htp@.. "/>
      <sheetName val="SAT UPAH RAPI"/>
      <sheetName val="RAB (A) (2)"/>
      <sheetName val="3-DIV2"/>
      <sheetName val="RAB TTB_ADM8"/>
      <sheetName val="RAPA"/>
      <sheetName val="ANALISA GRS TENGAH"/>
      <sheetName val="HSU 2016"/>
      <sheetName val="reinforce"/>
      <sheetName val="Schedule(overall)"/>
      <sheetName val="DAF-HARSAT"/>
      <sheetName val="_Kr tengahDiva.xls聝analysi"/>
      <sheetName val="Goodwill Calculation"/>
      <sheetName val="sort2"/>
      <sheetName val="Urugan Pasir"/>
      <sheetName val="ANALISA EL DAN ELC"/>
      <sheetName val="Unit Price"/>
      <sheetName val="4"/>
      <sheetName val="1"/>
      <sheetName val="modal"/>
      <sheetName val="ANALIS-ALAT"/>
      <sheetName val="AN-HSD"/>
      <sheetName val="AN-Agregat"/>
      <sheetName val="ANALISA-MOB"/>
      <sheetName val="sai"/>
      <sheetName val="Luas"/>
      <sheetName val="HSP LT BS"/>
      <sheetName val="BAHAN MKNL"/>
      <sheetName val="harsat sdy"/>
      <sheetName val="SPK"/>
      <sheetName val="LP-IDR"/>
      <sheetName val="MB"/>
      <sheetName val="Metod TWR"/>
      <sheetName val="Hargamat"/>
      <sheetName val="견적기준"/>
      <sheetName val="RAB AR&amp;STR"/>
      <sheetName val="HargaDasar"/>
      <sheetName val="Tanaman"/>
      <sheetName val="Dash"/>
      <sheetName val="AnalisaSIPIL RIIL RAP"/>
      <sheetName val="ANALI.PP"/>
      <sheetName val="HARST"/>
      <sheetName val="Harga S Dasar UNTUK IDISI"/>
      <sheetName val="inst.pemrintah"/>
      <sheetName val="Rekap "/>
      <sheetName val="BAHAN~"/>
      <sheetName val="HRG"/>
      <sheetName val="DATUM"/>
      <sheetName val="BQ-Tenis"/>
      <sheetName val="BOQ_Au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6">
          <cell r="C106" t="str">
            <v>Hour</v>
          </cell>
          <cell r="D106">
            <v>50625</v>
          </cell>
          <cell r="E106">
            <v>25312.5</v>
          </cell>
          <cell r="F106">
            <v>5000</v>
          </cell>
          <cell r="G106">
            <v>7142.8571428571431</v>
          </cell>
          <cell r="H106">
            <v>7142.8571428571431</v>
          </cell>
          <cell r="I106">
            <v>55000</v>
          </cell>
          <cell r="J106">
            <v>6666.67</v>
          </cell>
          <cell r="K106">
            <v>7700</v>
          </cell>
          <cell r="L106">
            <v>80937.5</v>
          </cell>
          <cell r="M106">
            <v>76509.527142857143</v>
          </cell>
          <cell r="N106">
            <v>157447.02714285717</v>
          </cell>
          <cell r="O106">
            <v>80937.5</v>
          </cell>
          <cell r="P106">
            <v>76509.527142857143</v>
          </cell>
        </row>
        <row r="107">
          <cell r="C107" t="str">
            <v>Hour</v>
          </cell>
          <cell r="D107">
            <v>4500</v>
          </cell>
          <cell r="E107">
            <v>2700</v>
          </cell>
          <cell r="F107">
            <v>531</v>
          </cell>
          <cell r="G107">
            <v>4250</v>
          </cell>
          <cell r="H107">
            <v>850</v>
          </cell>
          <cell r="I107">
            <v>4250</v>
          </cell>
          <cell r="J107">
            <v>850</v>
          </cell>
          <cell r="K107">
            <v>5100</v>
          </cell>
          <cell r="L107">
            <v>0</v>
          </cell>
          <cell r="M107">
            <v>0</v>
          </cell>
          <cell r="N107">
            <v>12831</v>
          </cell>
          <cell r="O107">
            <v>7731</v>
          </cell>
          <cell r="P107">
            <v>5100</v>
          </cell>
        </row>
        <row r="108">
          <cell r="C108" t="str">
            <v>Hour</v>
          </cell>
          <cell r="D108">
            <v>2250</v>
          </cell>
          <cell r="E108">
            <v>405</v>
          </cell>
          <cell r="F108">
            <v>7600</v>
          </cell>
          <cell r="G108">
            <v>7600</v>
          </cell>
          <cell r="H108">
            <v>0</v>
          </cell>
          <cell r="I108">
            <v>5000</v>
          </cell>
          <cell r="J108">
            <v>225</v>
          </cell>
          <cell r="K108">
            <v>0</v>
          </cell>
          <cell r="L108">
            <v>2655</v>
          </cell>
          <cell r="M108">
            <v>12825</v>
          </cell>
          <cell r="N108">
            <v>15480</v>
          </cell>
          <cell r="O108">
            <v>2655</v>
          </cell>
          <cell r="P108">
            <v>12825</v>
          </cell>
        </row>
        <row r="109">
          <cell r="C109" t="str">
            <v>Hour</v>
          </cell>
          <cell r="D109">
            <v>8250</v>
          </cell>
          <cell r="E109">
            <v>3300</v>
          </cell>
          <cell r="F109">
            <v>1093.75</v>
          </cell>
          <cell r="G109">
            <v>16730</v>
          </cell>
          <cell r="H109">
            <v>0</v>
          </cell>
          <cell r="I109">
            <v>9125</v>
          </cell>
          <cell r="J109">
            <v>1600</v>
          </cell>
          <cell r="K109">
            <v>0</v>
          </cell>
          <cell r="L109">
            <v>40098.75</v>
          </cell>
          <cell r="M109">
            <v>12643.75</v>
          </cell>
          <cell r="N109">
            <v>40098.75</v>
          </cell>
          <cell r="O109">
            <v>12643.75</v>
          </cell>
          <cell r="P109">
            <v>27455</v>
          </cell>
        </row>
        <row r="110">
          <cell r="C110" t="str">
            <v>Hour</v>
          </cell>
          <cell r="D110">
            <v>22800</v>
          </cell>
          <cell r="E110">
            <v>5700</v>
          </cell>
          <cell r="F110">
            <v>0</v>
          </cell>
          <cell r="G110">
            <v>22800</v>
          </cell>
          <cell r="H110">
            <v>5700</v>
          </cell>
          <cell r="I110">
            <v>0</v>
          </cell>
          <cell r="J110">
            <v>128500</v>
          </cell>
          <cell r="K110">
            <v>100000</v>
          </cell>
          <cell r="L110">
            <v>0</v>
          </cell>
          <cell r="M110">
            <v>0</v>
          </cell>
          <cell r="N110">
            <v>128500</v>
          </cell>
          <cell r="O110">
            <v>0</v>
          </cell>
          <cell r="P110">
            <v>128500</v>
          </cell>
        </row>
        <row r="111">
          <cell r="C111" t="str">
            <v>Hour</v>
          </cell>
          <cell r="D111">
            <v>25000</v>
          </cell>
          <cell r="E111">
            <v>0</v>
          </cell>
          <cell r="F111">
            <v>0</v>
          </cell>
          <cell r="G111">
            <v>16280</v>
          </cell>
          <cell r="H111">
            <v>0</v>
          </cell>
          <cell r="I111">
            <v>15500</v>
          </cell>
          <cell r="J111">
            <v>2500</v>
          </cell>
          <cell r="K111">
            <v>0</v>
          </cell>
          <cell r="L111">
            <v>59280</v>
          </cell>
          <cell r="M111">
            <v>25000</v>
          </cell>
          <cell r="N111">
            <v>59280</v>
          </cell>
          <cell r="O111">
            <v>25000</v>
          </cell>
          <cell r="P111">
            <v>34280</v>
          </cell>
        </row>
        <row r="112">
          <cell r="C112" t="str">
            <v>Ls</v>
          </cell>
          <cell r="D112">
            <v>1000</v>
          </cell>
          <cell r="E112">
            <v>1000</v>
          </cell>
          <cell r="F112">
            <v>0</v>
          </cell>
          <cell r="G112">
            <v>1000</v>
          </cell>
          <cell r="H112">
            <v>0</v>
          </cell>
          <cell r="I112">
            <v>0</v>
          </cell>
          <cell r="J112">
            <v>0</v>
          </cell>
          <cell r="K112">
            <v>1000</v>
          </cell>
          <cell r="L112">
            <v>0</v>
          </cell>
          <cell r="M112">
            <v>0</v>
          </cell>
          <cell r="N112">
            <v>1000</v>
          </cell>
          <cell r="O112">
            <v>0</v>
          </cell>
          <cell r="P112">
            <v>1000</v>
          </cell>
        </row>
        <row r="113">
          <cell r="C113" t="str">
            <v>Hour</v>
          </cell>
          <cell r="D113">
            <v>7865</v>
          </cell>
          <cell r="E113">
            <v>5160</v>
          </cell>
          <cell r="F113">
            <v>830</v>
          </cell>
          <cell r="G113">
            <v>0</v>
          </cell>
          <cell r="H113">
            <v>0</v>
          </cell>
          <cell r="I113">
            <v>1750</v>
          </cell>
          <cell r="J113">
            <v>0</v>
          </cell>
          <cell r="K113">
            <v>0</v>
          </cell>
          <cell r="L113">
            <v>15605</v>
          </cell>
          <cell r="M113">
            <v>13855</v>
          </cell>
          <cell r="N113">
            <v>15605</v>
          </cell>
          <cell r="O113">
            <v>13855</v>
          </cell>
          <cell r="P113">
            <v>1750</v>
          </cell>
        </row>
        <row r="114">
          <cell r="C114" t="str">
            <v>Hour</v>
          </cell>
          <cell r="D114">
            <v>28500</v>
          </cell>
          <cell r="E114">
            <v>5700</v>
          </cell>
          <cell r="F114">
            <v>130000</v>
          </cell>
          <cell r="G114">
            <v>28500</v>
          </cell>
          <cell r="H114">
            <v>5700</v>
          </cell>
          <cell r="I114">
            <v>164200</v>
          </cell>
          <cell r="J114">
            <v>0</v>
          </cell>
          <cell r="K114">
            <v>130000</v>
          </cell>
          <cell r="L114">
            <v>0</v>
          </cell>
          <cell r="M114">
            <v>0</v>
          </cell>
          <cell r="N114">
            <v>164200</v>
          </cell>
          <cell r="O114">
            <v>0</v>
          </cell>
          <cell r="P114">
            <v>164200</v>
          </cell>
        </row>
        <row r="115">
          <cell r="C115" t="str">
            <v>Hour</v>
          </cell>
          <cell r="D115">
            <v>28500</v>
          </cell>
          <cell r="E115">
            <v>5700</v>
          </cell>
          <cell r="F115">
            <v>130000</v>
          </cell>
          <cell r="G115">
            <v>28500</v>
          </cell>
          <cell r="H115">
            <v>5700</v>
          </cell>
          <cell r="I115">
            <v>164200</v>
          </cell>
          <cell r="J115">
            <v>0</v>
          </cell>
          <cell r="K115">
            <v>130000</v>
          </cell>
          <cell r="L115">
            <v>0</v>
          </cell>
          <cell r="M115">
            <v>0</v>
          </cell>
          <cell r="N115">
            <v>164200</v>
          </cell>
          <cell r="O115">
            <v>0</v>
          </cell>
          <cell r="P115">
            <v>164200</v>
          </cell>
        </row>
        <row r="116">
          <cell r="C116" t="str">
            <v>Hour</v>
          </cell>
          <cell r="D116">
            <v>1750</v>
          </cell>
          <cell r="E116">
            <v>315</v>
          </cell>
          <cell r="F116">
            <v>21.88</v>
          </cell>
          <cell r="G116">
            <v>2087.5</v>
          </cell>
          <cell r="H116">
            <v>445.5</v>
          </cell>
          <cell r="I116">
            <v>875</v>
          </cell>
          <cell r="J116">
            <v>175</v>
          </cell>
          <cell r="K116">
            <v>280</v>
          </cell>
          <cell r="L116">
            <v>5949.88</v>
          </cell>
          <cell r="M116">
            <v>2086.88</v>
          </cell>
          <cell r="N116">
            <v>5949.88</v>
          </cell>
          <cell r="O116">
            <v>2086.88</v>
          </cell>
          <cell r="P116">
            <v>3863</v>
          </cell>
        </row>
        <row r="117">
          <cell r="C117" t="str">
            <v>Hour</v>
          </cell>
          <cell r="D117">
            <v>15200</v>
          </cell>
          <cell r="E117">
            <v>4300</v>
          </cell>
          <cell r="F117">
            <v>1000</v>
          </cell>
          <cell r="G117">
            <v>15200</v>
          </cell>
          <cell r="H117">
            <v>4300</v>
          </cell>
          <cell r="I117">
            <v>0</v>
          </cell>
          <cell r="J117">
            <v>1000</v>
          </cell>
          <cell r="K117">
            <v>60000</v>
          </cell>
          <cell r="L117">
            <v>0</v>
          </cell>
          <cell r="M117">
            <v>0</v>
          </cell>
          <cell r="N117">
            <v>80500</v>
          </cell>
          <cell r="O117">
            <v>0</v>
          </cell>
          <cell r="P117">
            <v>80500</v>
          </cell>
        </row>
        <row r="118">
          <cell r="C118" t="str">
            <v>Hour</v>
          </cell>
          <cell r="D118">
            <v>15200</v>
          </cell>
          <cell r="E118">
            <v>0</v>
          </cell>
          <cell r="F118">
            <v>1000</v>
          </cell>
          <cell r="G118">
            <v>15200</v>
          </cell>
          <cell r="H118">
            <v>0</v>
          </cell>
          <cell r="I118">
            <v>0</v>
          </cell>
          <cell r="J118">
            <v>1000</v>
          </cell>
          <cell r="K118">
            <v>0</v>
          </cell>
          <cell r="L118">
            <v>0</v>
          </cell>
          <cell r="M118">
            <v>0</v>
          </cell>
          <cell r="N118">
            <v>16200</v>
          </cell>
          <cell r="O118">
            <v>0</v>
          </cell>
          <cell r="P118">
            <v>16200</v>
          </cell>
        </row>
        <row r="119">
          <cell r="C119" t="str">
            <v>Hour</v>
          </cell>
          <cell r="D119">
            <v>50000</v>
          </cell>
          <cell r="E119">
            <v>0</v>
          </cell>
          <cell r="F119">
            <v>0</v>
          </cell>
          <cell r="G119">
            <v>29275</v>
          </cell>
          <cell r="H119">
            <v>0</v>
          </cell>
          <cell r="I119">
            <v>33500</v>
          </cell>
          <cell r="J119">
            <v>7500</v>
          </cell>
          <cell r="K119">
            <v>0</v>
          </cell>
          <cell r="L119">
            <v>120275</v>
          </cell>
          <cell r="M119">
            <v>50000</v>
          </cell>
          <cell r="N119">
            <v>120275</v>
          </cell>
          <cell r="O119">
            <v>50000</v>
          </cell>
          <cell r="P119">
            <v>70275</v>
          </cell>
        </row>
        <row r="120">
          <cell r="C120" t="str">
            <v>Hour</v>
          </cell>
          <cell r="D120">
            <v>0</v>
          </cell>
          <cell r="E120">
            <v>0</v>
          </cell>
          <cell r="F120">
            <v>0</v>
          </cell>
          <cell r="G120">
            <v>38000</v>
          </cell>
          <cell r="H120">
            <v>5700</v>
          </cell>
          <cell r="I120">
            <v>0</v>
          </cell>
          <cell r="J120">
            <v>0</v>
          </cell>
          <cell r="K120">
            <v>125000</v>
          </cell>
          <cell r="L120">
            <v>168700</v>
          </cell>
          <cell r="M120">
            <v>0</v>
          </cell>
          <cell r="N120">
            <v>168700</v>
          </cell>
          <cell r="O120">
            <v>0</v>
          </cell>
          <cell r="P120">
            <v>168700</v>
          </cell>
        </row>
        <row r="121">
          <cell r="O121">
            <v>0</v>
          </cell>
        </row>
        <row r="122">
          <cell r="N122">
            <v>165583</v>
          </cell>
          <cell r="O122">
            <v>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ow r="106">
          <cell r="C106" t="str">
            <v>Hour</v>
          </cell>
        </row>
      </sheetData>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ow r="106">
          <cell r="C106" t="str">
            <v>Hour</v>
          </cell>
        </row>
      </sheetData>
      <sheetData sheetId="660"/>
      <sheetData sheetId="661"/>
      <sheetData sheetId="662"/>
      <sheetData sheetId="663">
        <row r="106">
          <cell r="C106" t="str">
            <v>Hour</v>
          </cell>
        </row>
      </sheetData>
      <sheetData sheetId="664"/>
      <sheetData sheetId="665">
        <row r="106">
          <cell r="C106" t="str">
            <v>Hour</v>
          </cell>
        </row>
      </sheetData>
      <sheetData sheetId="666"/>
      <sheetData sheetId="667">
        <row r="106">
          <cell r="C106" t="str">
            <v>Hour</v>
          </cell>
        </row>
      </sheetData>
      <sheetData sheetId="668"/>
      <sheetData sheetId="669">
        <row r="106">
          <cell r="C106" t="str">
            <v>Hour</v>
          </cell>
        </row>
      </sheetData>
      <sheetData sheetId="670"/>
      <sheetData sheetId="671">
        <row r="106">
          <cell r="C106" t="str">
            <v>Hour</v>
          </cell>
        </row>
      </sheetData>
      <sheetData sheetId="672">
        <row r="106">
          <cell r="C106" t="str">
            <v>Hour</v>
          </cell>
        </row>
      </sheetData>
      <sheetData sheetId="673"/>
      <sheetData sheetId="674">
        <row r="106">
          <cell r="C106" t="str">
            <v>Hour</v>
          </cell>
        </row>
      </sheetData>
      <sheetData sheetId="675">
        <row r="106">
          <cell r="C106" t="str">
            <v>Hour</v>
          </cell>
        </row>
      </sheetData>
      <sheetData sheetId="676">
        <row r="106">
          <cell r="C106" t="str">
            <v>Hour</v>
          </cell>
        </row>
      </sheetData>
      <sheetData sheetId="677">
        <row r="106">
          <cell r="C106" t="str">
            <v>Hour</v>
          </cell>
        </row>
      </sheetData>
      <sheetData sheetId="678">
        <row r="106">
          <cell r="C106" t="str">
            <v>Hour</v>
          </cell>
        </row>
      </sheetData>
      <sheetData sheetId="679">
        <row r="106">
          <cell r="C106" t="str">
            <v>Hour</v>
          </cell>
        </row>
      </sheetData>
      <sheetData sheetId="680">
        <row r="106">
          <cell r="C106" t="str">
            <v>Hour</v>
          </cell>
        </row>
      </sheetData>
      <sheetData sheetId="681">
        <row r="106">
          <cell r="C106" t="str">
            <v>Hour</v>
          </cell>
        </row>
      </sheetData>
      <sheetData sheetId="682"/>
      <sheetData sheetId="683">
        <row r="106">
          <cell r="C106" t="str">
            <v>Hour</v>
          </cell>
        </row>
      </sheetData>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ow r="106">
          <cell r="C106" t="str">
            <v>Hour</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ow r="106">
          <cell r="C106" t="str">
            <v>Hour</v>
          </cell>
        </row>
      </sheetData>
      <sheetData sheetId="739"/>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sheetData sheetId="811">
        <row r="106">
          <cell r="C106" t="str">
            <v>Hour</v>
          </cell>
        </row>
      </sheetData>
      <sheetData sheetId="812">
        <row r="106">
          <cell r="C106" t="str">
            <v>Hour</v>
          </cell>
        </row>
      </sheetData>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ow r="106">
          <cell r="C106" t="str">
            <v>Hour</v>
          </cell>
        </row>
      </sheetData>
      <sheetData sheetId="826" refreshError="1"/>
      <sheetData sheetId="827">
        <row r="106">
          <cell r="C106" t="str">
            <v>Hour</v>
          </cell>
        </row>
      </sheetData>
      <sheetData sheetId="828">
        <row r="106">
          <cell r="C106" t="str">
            <v>Hour</v>
          </cell>
        </row>
      </sheetData>
      <sheetData sheetId="829">
        <row r="106">
          <cell r="C106" t="str">
            <v>Hour</v>
          </cell>
        </row>
      </sheetData>
      <sheetData sheetId="830">
        <row r="106">
          <cell r="C106" t="str">
            <v>Hour</v>
          </cell>
        </row>
      </sheetData>
      <sheetData sheetId="831">
        <row r="106">
          <cell r="C106" t="str">
            <v>Hour</v>
          </cell>
        </row>
      </sheetData>
      <sheetData sheetId="832">
        <row r="106">
          <cell r="C106" t="str">
            <v>Hour</v>
          </cell>
        </row>
      </sheetData>
      <sheetData sheetId="833">
        <row r="106">
          <cell r="C106" t="str">
            <v>Hour</v>
          </cell>
        </row>
      </sheetData>
      <sheetData sheetId="834">
        <row r="106">
          <cell r="C106" t="str">
            <v>Hour</v>
          </cell>
        </row>
      </sheetData>
      <sheetData sheetId="835">
        <row r="106">
          <cell r="C106" t="str">
            <v>Hour</v>
          </cell>
        </row>
      </sheetData>
      <sheetData sheetId="836">
        <row r="106">
          <cell r="C106" t="str">
            <v>Hour</v>
          </cell>
        </row>
      </sheetData>
      <sheetData sheetId="837">
        <row r="106">
          <cell r="C106" t="str">
            <v>Hour</v>
          </cell>
        </row>
      </sheetData>
      <sheetData sheetId="838">
        <row r="106">
          <cell r="C106" t="str">
            <v>Hour</v>
          </cell>
        </row>
      </sheetData>
      <sheetData sheetId="839">
        <row r="106">
          <cell r="C106" t="str">
            <v>Hour</v>
          </cell>
        </row>
      </sheetData>
      <sheetData sheetId="840">
        <row r="106">
          <cell r="C106" t="str">
            <v>Hour</v>
          </cell>
        </row>
      </sheetData>
      <sheetData sheetId="841">
        <row r="106">
          <cell r="C106" t="str">
            <v>Hour</v>
          </cell>
        </row>
      </sheetData>
      <sheetData sheetId="842">
        <row r="106">
          <cell r="C106" t="str">
            <v>Hour</v>
          </cell>
        </row>
      </sheetData>
      <sheetData sheetId="843">
        <row r="106">
          <cell r="C106" t="str">
            <v>Hour</v>
          </cell>
        </row>
      </sheetData>
      <sheetData sheetId="844">
        <row r="106">
          <cell r="C106" t="str">
            <v>Hour</v>
          </cell>
        </row>
      </sheetData>
      <sheetData sheetId="845">
        <row r="106">
          <cell r="C106" t="str">
            <v>Hour</v>
          </cell>
        </row>
      </sheetData>
      <sheetData sheetId="846">
        <row r="106">
          <cell r="C106" t="str">
            <v>Hour</v>
          </cell>
        </row>
      </sheetData>
      <sheetData sheetId="847">
        <row r="106">
          <cell r="C106" t="str">
            <v>Hour</v>
          </cell>
        </row>
      </sheetData>
      <sheetData sheetId="848">
        <row r="106">
          <cell r="C106" t="str">
            <v>Hour</v>
          </cell>
        </row>
      </sheetData>
      <sheetData sheetId="849">
        <row r="106">
          <cell r="C106" t="str">
            <v>Hour</v>
          </cell>
        </row>
      </sheetData>
      <sheetData sheetId="850">
        <row r="106">
          <cell r="C106" t="str">
            <v>Hour</v>
          </cell>
        </row>
      </sheetData>
      <sheetData sheetId="851">
        <row r="106">
          <cell r="C106" t="str">
            <v>Hour</v>
          </cell>
        </row>
      </sheetData>
      <sheetData sheetId="852">
        <row r="106">
          <cell r="C106" t="str">
            <v>Hour</v>
          </cell>
        </row>
      </sheetData>
      <sheetData sheetId="853">
        <row r="106">
          <cell r="C106" t="str">
            <v>Hour</v>
          </cell>
        </row>
      </sheetData>
      <sheetData sheetId="854">
        <row r="106">
          <cell r="C106" t="str">
            <v>Hour</v>
          </cell>
        </row>
      </sheetData>
      <sheetData sheetId="855">
        <row r="106">
          <cell r="C106" t="str">
            <v>Hour</v>
          </cell>
        </row>
      </sheetData>
      <sheetData sheetId="856">
        <row r="106">
          <cell r="C106" t="str">
            <v>Hour</v>
          </cell>
        </row>
      </sheetData>
      <sheetData sheetId="857">
        <row r="106">
          <cell r="C106" t="str">
            <v>Hour</v>
          </cell>
        </row>
      </sheetData>
      <sheetData sheetId="858">
        <row r="106">
          <cell r="C106" t="str">
            <v>Hour</v>
          </cell>
        </row>
      </sheetData>
      <sheetData sheetId="859">
        <row r="106">
          <cell r="C106" t="str">
            <v>Hour</v>
          </cell>
        </row>
      </sheetData>
      <sheetData sheetId="860">
        <row r="106">
          <cell r="C106" t="str">
            <v>Hour</v>
          </cell>
        </row>
      </sheetData>
      <sheetData sheetId="861">
        <row r="106">
          <cell r="C106" t="str">
            <v>Hour</v>
          </cell>
        </row>
      </sheetData>
      <sheetData sheetId="862">
        <row r="106">
          <cell r="C106" t="str">
            <v>Hour</v>
          </cell>
        </row>
      </sheetData>
      <sheetData sheetId="863">
        <row r="106">
          <cell r="C106" t="str">
            <v>Hour</v>
          </cell>
        </row>
      </sheetData>
      <sheetData sheetId="864">
        <row r="106">
          <cell r="C106" t="str">
            <v>Hour</v>
          </cell>
        </row>
      </sheetData>
      <sheetData sheetId="865">
        <row r="106">
          <cell r="C106" t="str">
            <v>Hour</v>
          </cell>
        </row>
      </sheetData>
      <sheetData sheetId="866">
        <row r="106">
          <cell r="C106" t="str">
            <v>Hour</v>
          </cell>
        </row>
      </sheetData>
      <sheetData sheetId="867">
        <row r="106">
          <cell r="C106" t="str">
            <v>Hour</v>
          </cell>
        </row>
      </sheetData>
      <sheetData sheetId="868">
        <row r="106">
          <cell r="C106" t="str">
            <v>Hour</v>
          </cell>
        </row>
      </sheetData>
      <sheetData sheetId="869">
        <row r="106">
          <cell r="C106" t="str">
            <v>Hour</v>
          </cell>
        </row>
      </sheetData>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ow r="106">
          <cell r="C106" t="str">
            <v>Hour</v>
          </cell>
        </row>
      </sheetData>
      <sheetData sheetId="883" refreshError="1"/>
      <sheetData sheetId="884" refreshError="1"/>
      <sheetData sheetId="885">
        <row r="106">
          <cell r="C106" t="str">
            <v>Hour</v>
          </cell>
        </row>
      </sheetData>
      <sheetData sheetId="886" refreshError="1"/>
      <sheetData sheetId="887" refreshError="1"/>
      <sheetData sheetId="888">
        <row r="106">
          <cell r="C106" t="str">
            <v>Hour</v>
          </cell>
        </row>
      </sheetData>
      <sheetData sheetId="889" refreshError="1"/>
      <sheetData sheetId="890" refreshError="1"/>
      <sheetData sheetId="891">
        <row r="106">
          <cell r="C106" t="str">
            <v>Hour</v>
          </cell>
        </row>
      </sheetData>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ow r="106">
          <cell r="C106" t="str">
            <v>Hour</v>
          </cell>
        </row>
      </sheetData>
      <sheetData sheetId="912">
        <row r="106">
          <cell r="C106" t="str">
            <v>Hour</v>
          </cell>
        </row>
      </sheetData>
      <sheetData sheetId="913">
        <row r="106">
          <cell r="C106" t="str">
            <v>Hour</v>
          </cell>
        </row>
      </sheetData>
      <sheetData sheetId="914">
        <row r="106">
          <cell r="C106" t="str">
            <v>Hour</v>
          </cell>
        </row>
      </sheetData>
      <sheetData sheetId="915">
        <row r="106">
          <cell r="C106" t="str">
            <v>Hour</v>
          </cell>
        </row>
      </sheetData>
      <sheetData sheetId="916">
        <row r="106">
          <cell r="C106" t="str">
            <v>Hour</v>
          </cell>
        </row>
      </sheetData>
      <sheetData sheetId="917">
        <row r="106">
          <cell r="C106" t="str">
            <v>Hour</v>
          </cell>
        </row>
      </sheetData>
      <sheetData sheetId="918">
        <row r="106">
          <cell r="C106" t="str">
            <v>Hour</v>
          </cell>
        </row>
      </sheetData>
      <sheetData sheetId="919">
        <row r="106">
          <cell r="C106" t="str">
            <v>Hour</v>
          </cell>
        </row>
      </sheetData>
      <sheetData sheetId="920">
        <row r="106">
          <cell r="C106" t="str">
            <v>Hour</v>
          </cell>
        </row>
      </sheetData>
      <sheetData sheetId="921">
        <row r="106">
          <cell r="C106" t="str">
            <v>Hour</v>
          </cell>
        </row>
      </sheetData>
      <sheetData sheetId="922">
        <row r="106">
          <cell r="C106" t="str">
            <v>Hour</v>
          </cell>
        </row>
      </sheetData>
      <sheetData sheetId="923">
        <row r="106">
          <cell r="C106" t="str">
            <v>Hour</v>
          </cell>
        </row>
      </sheetData>
      <sheetData sheetId="924">
        <row r="106">
          <cell r="C106" t="str">
            <v>Hour</v>
          </cell>
        </row>
      </sheetData>
      <sheetData sheetId="925">
        <row r="106">
          <cell r="C106" t="str">
            <v>Hour</v>
          </cell>
        </row>
      </sheetData>
      <sheetData sheetId="926">
        <row r="106">
          <cell r="C106" t="str">
            <v>Hour</v>
          </cell>
        </row>
      </sheetData>
      <sheetData sheetId="927">
        <row r="106">
          <cell r="C106" t="str">
            <v>Hour</v>
          </cell>
        </row>
      </sheetData>
      <sheetData sheetId="928">
        <row r="106">
          <cell r="C106" t="str">
            <v>Hour</v>
          </cell>
        </row>
      </sheetData>
      <sheetData sheetId="929">
        <row r="106">
          <cell r="C106" t="str">
            <v>Hour</v>
          </cell>
        </row>
      </sheetData>
      <sheetData sheetId="930">
        <row r="106">
          <cell r="C106" t="str">
            <v>Hour</v>
          </cell>
        </row>
      </sheetData>
      <sheetData sheetId="931">
        <row r="106">
          <cell r="C106" t="str">
            <v>Hour</v>
          </cell>
        </row>
      </sheetData>
      <sheetData sheetId="932">
        <row r="106">
          <cell r="C106" t="str">
            <v>Hour</v>
          </cell>
        </row>
      </sheetData>
      <sheetData sheetId="933" refreshError="1"/>
      <sheetData sheetId="934">
        <row r="106">
          <cell r="C106" t="str">
            <v>Hour</v>
          </cell>
        </row>
      </sheetData>
      <sheetData sheetId="935" refreshError="1"/>
      <sheetData sheetId="936" refreshError="1"/>
      <sheetData sheetId="937" refreshError="1"/>
      <sheetData sheetId="938" refreshError="1"/>
      <sheetData sheetId="939" refreshError="1"/>
      <sheetData sheetId="940" refreshError="1"/>
      <sheetData sheetId="941" refreshError="1"/>
      <sheetData sheetId="942">
        <row r="106">
          <cell r="C106" t="str">
            <v>Hour</v>
          </cell>
        </row>
      </sheetData>
      <sheetData sheetId="943">
        <row r="106">
          <cell r="C106" t="str">
            <v>Hour</v>
          </cell>
        </row>
      </sheetData>
      <sheetData sheetId="944" refreshError="1"/>
      <sheetData sheetId="945" refreshError="1"/>
      <sheetData sheetId="946">
        <row r="106">
          <cell r="C106" t="str">
            <v>Hour</v>
          </cell>
        </row>
      </sheetData>
      <sheetData sheetId="947">
        <row r="106">
          <cell r="C106" t="str">
            <v>Hour</v>
          </cell>
        </row>
      </sheetData>
      <sheetData sheetId="948">
        <row r="106">
          <cell r="C106" t="str">
            <v>Hour</v>
          </cell>
        </row>
      </sheetData>
      <sheetData sheetId="949">
        <row r="106">
          <cell r="C106" t="str">
            <v>Hour</v>
          </cell>
        </row>
      </sheetData>
      <sheetData sheetId="950">
        <row r="106">
          <cell r="C106" t="str">
            <v>Hour</v>
          </cell>
        </row>
      </sheetData>
      <sheetData sheetId="951">
        <row r="106">
          <cell r="C106" t="str">
            <v>Hour</v>
          </cell>
        </row>
      </sheetData>
      <sheetData sheetId="952">
        <row r="106">
          <cell r="C106" t="str">
            <v>Hour</v>
          </cell>
        </row>
      </sheetData>
      <sheetData sheetId="953">
        <row r="106">
          <cell r="C106" t="str">
            <v>Hour</v>
          </cell>
        </row>
      </sheetData>
      <sheetData sheetId="954">
        <row r="106">
          <cell r="C106" t="str">
            <v>Hour</v>
          </cell>
        </row>
      </sheetData>
      <sheetData sheetId="955">
        <row r="106">
          <cell r="C106" t="str">
            <v>Hour</v>
          </cell>
        </row>
      </sheetData>
      <sheetData sheetId="956">
        <row r="106">
          <cell r="C106" t="str">
            <v>Hour</v>
          </cell>
        </row>
      </sheetData>
      <sheetData sheetId="957">
        <row r="106">
          <cell r="C106" t="str">
            <v>Hour</v>
          </cell>
        </row>
      </sheetData>
      <sheetData sheetId="958">
        <row r="106">
          <cell r="C106" t="str">
            <v>Hour</v>
          </cell>
        </row>
      </sheetData>
      <sheetData sheetId="959">
        <row r="106">
          <cell r="C106" t="str">
            <v>Hour</v>
          </cell>
        </row>
      </sheetData>
      <sheetData sheetId="960">
        <row r="106">
          <cell r="C106" t="str">
            <v>Hour</v>
          </cell>
        </row>
      </sheetData>
      <sheetData sheetId="961">
        <row r="106">
          <cell r="C106" t="str">
            <v>Hour</v>
          </cell>
        </row>
      </sheetData>
      <sheetData sheetId="962">
        <row r="106">
          <cell r="C106" t="str">
            <v>Hour</v>
          </cell>
        </row>
      </sheetData>
      <sheetData sheetId="963">
        <row r="106">
          <cell r="C106" t="str">
            <v>Hour</v>
          </cell>
        </row>
      </sheetData>
      <sheetData sheetId="964">
        <row r="106">
          <cell r="C106" t="str">
            <v>Hour</v>
          </cell>
        </row>
      </sheetData>
      <sheetData sheetId="965">
        <row r="106">
          <cell r="C106" t="str">
            <v>Hour</v>
          </cell>
        </row>
      </sheetData>
      <sheetData sheetId="966">
        <row r="106">
          <cell r="C106" t="str">
            <v>Hour</v>
          </cell>
        </row>
      </sheetData>
      <sheetData sheetId="967">
        <row r="106">
          <cell r="C106" t="str">
            <v>Hour</v>
          </cell>
        </row>
      </sheetData>
      <sheetData sheetId="968">
        <row r="106">
          <cell r="C106" t="str">
            <v>Hour</v>
          </cell>
        </row>
      </sheetData>
      <sheetData sheetId="969">
        <row r="106">
          <cell r="C106" t="str">
            <v>Hour</v>
          </cell>
        </row>
      </sheetData>
      <sheetData sheetId="970">
        <row r="106">
          <cell r="C106" t="str">
            <v>Hour</v>
          </cell>
        </row>
      </sheetData>
      <sheetData sheetId="971">
        <row r="106">
          <cell r="C106" t="str">
            <v>Hour</v>
          </cell>
        </row>
      </sheetData>
      <sheetData sheetId="972">
        <row r="106">
          <cell r="C106" t="str">
            <v>Hour</v>
          </cell>
        </row>
      </sheetData>
      <sheetData sheetId="973">
        <row r="106">
          <cell r="C106" t="str">
            <v>Hour</v>
          </cell>
        </row>
      </sheetData>
      <sheetData sheetId="974">
        <row r="106">
          <cell r="C106" t="str">
            <v>Hour</v>
          </cell>
        </row>
      </sheetData>
      <sheetData sheetId="975">
        <row r="106">
          <cell r="C106" t="str">
            <v>Hour</v>
          </cell>
        </row>
      </sheetData>
      <sheetData sheetId="976">
        <row r="106">
          <cell r="C106" t="str">
            <v>Hour</v>
          </cell>
        </row>
      </sheetData>
      <sheetData sheetId="977">
        <row r="106">
          <cell r="C106" t="str">
            <v>Hour</v>
          </cell>
        </row>
      </sheetData>
      <sheetData sheetId="978">
        <row r="106">
          <cell r="C106" t="str">
            <v>Hour</v>
          </cell>
        </row>
      </sheetData>
      <sheetData sheetId="979">
        <row r="106">
          <cell r="C106" t="str">
            <v>Hour</v>
          </cell>
        </row>
      </sheetData>
      <sheetData sheetId="980">
        <row r="106">
          <cell r="C106" t="str">
            <v>Hour</v>
          </cell>
        </row>
      </sheetData>
      <sheetData sheetId="981">
        <row r="106">
          <cell r="C106" t="str">
            <v>Hour</v>
          </cell>
        </row>
      </sheetData>
      <sheetData sheetId="982">
        <row r="106">
          <cell r="C106" t="str">
            <v>Hour</v>
          </cell>
        </row>
      </sheetData>
      <sheetData sheetId="983">
        <row r="106">
          <cell r="C106" t="str">
            <v>Hour</v>
          </cell>
        </row>
      </sheetData>
      <sheetData sheetId="984">
        <row r="106">
          <cell r="C106" t="str">
            <v>Hour</v>
          </cell>
        </row>
      </sheetData>
      <sheetData sheetId="985">
        <row r="106">
          <cell r="C106" t="str">
            <v>Hour</v>
          </cell>
        </row>
      </sheetData>
      <sheetData sheetId="986">
        <row r="106">
          <cell r="C106" t="str">
            <v>Hour</v>
          </cell>
        </row>
      </sheetData>
      <sheetData sheetId="987">
        <row r="106">
          <cell r="C106" t="str">
            <v>Hour</v>
          </cell>
        </row>
      </sheetData>
      <sheetData sheetId="988">
        <row r="106">
          <cell r="C106" t="str">
            <v>Hour</v>
          </cell>
        </row>
      </sheetData>
      <sheetData sheetId="989">
        <row r="106">
          <cell r="C106" t="str">
            <v>Hour</v>
          </cell>
        </row>
      </sheetData>
      <sheetData sheetId="990">
        <row r="106">
          <cell r="C106" t="str">
            <v>Hour</v>
          </cell>
        </row>
      </sheetData>
      <sheetData sheetId="991">
        <row r="106">
          <cell r="C106" t="str">
            <v>Hour</v>
          </cell>
        </row>
      </sheetData>
      <sheetData sheetId="992">
        <row r="106">
          <cell r="C106" t="str">
            <v>Hour</v>
          </cell>
        </row>
      </sheetData>
      <sheetData sheetId="993">
        <row r="106">
          <cell r="C106" t="str">
            <v>Hour</v>
          </cell>
        </row>
      </sheetData>
      <sheetData sheetId="994">
        <row r="106">
          <cell r="C106" t="str">
            <v>Hour</v>
          </cell>
        </row>
      </sheetData>
      <sheetData sheetId="995">
        <row r="106">
          <cell r="C106" t="str">
            <v>Hour</v>
          </cell>
        </row>
      </sheetData>
      <sheetData sheetId="996">
        <row r="106">
          <cell r="C106" t="str">
            <v>Hour</v>
          </cell>
        </row>
      </sheetData>
      <sheetData sheetId="997">
        <row r="106">
          <cell r="C106" t="str">
            <v>Hour</v>
          </cell>
        </row>
      </sheetData>
      <sheetData sheetId="998">
        <row r="106">
          <cell r="C106" t="str">
            <v>Hour</v>
          </cell>
        </row>
      </sheetData>
      <sheetData sheetId="999">
        <row r="106">
          <cell r="C106" t="str">
            <v>Hour</v>
          </cell>
        </row>
      </sheetData>
      <sheetData sheetId="1000">
        <row r="106">
          <cell r="C106" t="str">
            <v>Hour</v>
          </cell>
        </row>
      </sheetData>
      <sheetData sheetId="1001">
        <row r="106">
          <cell r="C106" t="str">
            <v>Hour</v>
          </cell>
        </row>
      </sheetData>
      <sheetData sheetId="1002">
        <row r="106">
          <cell r="C106" t="str">
            <v>Hour</v>
          </cell>
        </row>
      </sheetData>
      <sheetData sheetId="1003">
        <row r="106">
          <cell r="C106" t="str">
            <v>Hour</v>
          </cell>
        </row>
      </sheetData>
      <sheetData sheetId="1004">
        <row r="106">
          <cell r="C106" t="str">
            <v>Hour</v>
          </cell>
        </row>
      </sheetData>
      <sheetData sheetId="1005">
        <row r="106">
          <cell r="C106" t="str">
            <v>Hour</v>
          </cell>
        </row>
      </sheetData>
      <sheetData sheetId="1006">
        <row r="106">
          <cell r="C106" t="str">
            <v>Hour</v>
          </cell>
        </row>
      </sheetData>
      <sheetData sheetId="1007">
        <row r="106">
          <cell r="C106" t="str">
            <v>Hour</v>
          </cell>
        </row>
      </sheetData>
      <sheetData sheetId="1008">
        <row r="106">
          <cell r="C106" t="str">
            <v>Hour</v>
          </cell>
        </row>
      </sheetData>
      <sheetData sheetId="1009">
        <row r="106">
          <cell r="C106" t="str">
            <v>Hour</v>
          </cell>
        </row>
      </sheetData>
      <sheetData sheetId="1010">
        <row r="106">
          <cell r="C106" t="str">
            <v>Hour</v>
          </cell>
        </row>
      </sheetData>
      <sheetData sheetId="1011">
        <row r="106">
          <cell r="C106" t="str">
            <v>Hour</v>
          </cell>
        </row>
      </sheetData>
      <sheetData sheetId="1012">
        <row r="106">
          <cell r="C106" t="str">
            <v>Hour</v>
          </cell>
        </row>
      </sheetData>
      <sheetData sheetId="1013">
        <row r="106">
          <cell r="C106" t="str">
            <v>Hour</v>
          </cell>
        </row>
      </sheetData>
      <sheetData sheetId="1014">
        <row r="106">
          <cell r="C106" t="str">
            <v>Hour</v>
          </cell>
        </row>
      </sheetData>
      <sheetData sheetId="1015">
        <row r="106">
          <cell r="C106" t="str">
            <v>Hour</v>
          </cell>
        </row>
      </sheetData>
      <sheetData sheetId="1016">
        <row r="106">
          <cell r="C106" t="str">
            <v>Hour</v>
          </cell>
        </row>
      </sheetData>
      <sheetData sheetId="1017">
        <row r="106">
          <cell r="C106" t="str">
            <v>Hour</v>
          </cell>
        </row>
      </sheetData>
      <sheetData sheetId="1018">
        <row r="106">
          <cell r="C106" t="str">
            <v>Hour</v>
          </cell>
        </row>
      </sheetData>
      <sheetData sheetId="1019">
        <row r="106">
          <cell r="C106" t="str">
            <v>Hour</v>
          </cell>
        </row>
      </sheetData>
      <sheetData sheetId="1020">
        <row r="106">
          <cell r="C106" t="str">
            <v>Hour</v>
          </cell>
        </row>
      </sheetData>
      <sheetData sheetId="1021">
        <row r="106">
          <cell r="C106" t="str">
            <v>Hour</v>
          </cell>
        </row>
      </sheetData>
      <sheetData sheetId="1022">
        <row r="106">
          <cell r="C106" t="str">
            <v>Hour</v>
          </cell>
        </row>
      </sheetData>
      <sheetData sheetId="1023">
        <row r="106">
          <cell r="C106" t="str">
            <v>Hour</v>
          </cell>
        </row>
      </sheetData>
      <sheetData sheetId="1024">
        <row r="106">
          <cell r="C106" t="str">
            <v>Hour</v>
          </cell>
        </row>
      </sheetData>
      <sheetData sheetId="1025">
        <row r="106">
          <cell r="C106" t="str">
            <v>Hour</v>
          </cell>
        </row>
      </sheetData>
      <sheetData sheetId="1026">
        <row r="106">
          <cell r="C106" t="str">
            <v>Hour</v>
          </cell>
        </row>
      </sheetData>
      <sheetData sheetId="1027">
        <row r="106">
          <cell r="C106" t="str">
            <v>Hour</v>
          </cell>
        </row>
      </sheetData>
      <sheetData sheetId="1028">
        <row r="106">
          <cell r="C106" t="str">
            <v>Hour</v>
          </cell>
        </row>
      </sheetData>
      <sheetData sheetId="1029">
        <row r="106">
          <cell r="C106" t="str">
            <v>Hour</v>
          </cell>
        </row>
      </sheetData>
      <sheetData sheetId="1030">
        <row r="106">
          <cell r="C106" t="str">
            <v>Hour</v>
          </cell>
        </row>
      </sheetData>
      <sheetData sheetId="1031">
        <row r="106">
          <cell r="C106" t="str">
            <v>Hour</v>
          </cell>
        </row>
      </sheetData>
      <sheetData sheetId="1032">
        <row r="106">
          <cell r="C106" t="str">
            <v>Hour</v>
          </cell>
        </row>
      </sheetData>
      <sheetData sheetId="1033">
        <row r="106">
          <cell r="C106" t="str">
            <v>Hour</v>
          </cell>
        </row>
      </sheetData>
      <sheetData sheetId="1034">
        <row r="106">
          <cell r="C106" t="str">
            <v>Hour</v>
          </cell>
        </row>
      </sheetData>
      <sheetData sheetId="1035">
        <row r="106">
          <cell r="C106" t="str">
            <v>Hour</v>
          </cell>
        </row>
      </sheetData>
      <sheetData sheetId="1036">
        <row r="106">
          <cell r="C106" t="str">
            <v>Hour</v>
          </cell>
        </row>
      </sheetData>
      <sheetData sheetId="1037">
        <row r="106">
          <cell r="C106" t="str">
            <v>Hour</v>
          </cell>
        </row>
      </sheetData>
      <sheetData sheetId="1038">
        <row r="106">
          <cell r="C106" t="str">
            <v>Hour</v>
          </cell>
        </row>
      </sheetData>
      <sheetData sheetId="1039">
        <row r="106">
          <cell r="C106" t="str">
            <v>Hour</v>
          </cell>
        </row>
      </sheetData>
      <sheetData sheetId="1040">
        <row r="106">
          <cell r="C106" t="str">
            <v>Hour</v>
          </cell>
        </row>
      </sheetData>
      <sheetData sheetId="1041">
        <row r="106">
          <cell r="C106" t="str">
            <v>Hour</v>
          </cell>
        </row>
      </sheetData>
      <sheetData sheetId="1042">
        <row r="106">
          <cell r="C106" t="str">
            <v>Hour</v>
          </cell>
        </row>
      </sheetData>
      <sheetData sheetId="1043">
        <row r="106">
          <cell r="C106" t="str">
            <v>Hour</v>
          </cell>
        </row>
      </sheetData>
      <sheetData sheetId="1044">
        <row r="106">
          <cell r="C106" t="str">
            <v>Hour</v>
          </cell>
        </row>
      </sheetData>
      <sheetData sheetId="1045">
        <row r="106">
          <cell r="C106" t="str">
            <v>Hour</v>
          </cell>
        </row>
      </sheetData>
      <sheetData sheetId="1046">
        <row r="106">
          <cell r="C106" t="str">
            <v>Hour</v>
          </cell>
        </row>
      </sheetData>
      <sheetData sheetId="1047">
        <row r="106">
          <cell r="C106" t="str">
            <v>Hour</v>
          </cell>
        </row>
      </sheetData>
      <sheetData sheetId="1048">
        <row r="106">
          <cell r="C106" t="str">
            <v>Hour</v>
          </cell>
        </row>
      </sheetData>
      <sheetData sheetId="1049">
        <row r="106">
          <cell r="C106" t="str">
            <v>Hour</v>
          </cell>
        </row>
      </sheetData>
      <sheetData sheetId="1050">
        <row r="106">
          <cell r="C106" t="str">
            <v>Hour</v>
          </cell>
        </row>
      </sheetData>
      <sheetData sheetId="1051">
        <row r="106">
          <cell r="C106" t="str">
            <v>Hour</v>
          </cell>
        </row>
      </sheetData>
      <sheetData sheetId="1052">
        <row r="106">
          <cell r="C106" t="str">
            <v>Hour</v>
          </cell>
        </row>
      </sheetData>
      <sheetData sheetId="1053">
        <row r="106">
          <cell r="C106" t="str">
            <v>Hour</v>
          </cell>
        </row>
      </sheetData>
      <sheetData sheetId="1054">
        <row r="106">
          <cell r="C106" t="str">
            <v>Hour</v>
          </cell>
        </row>
      </sheetData>
      <sheetData sheetId="1055">
        <row r="106">
          <cell r="C106" t="str">
            <v>Hour</v>
          </cell>
        </row>
      </sheetData>
      <sheetData sheetId="1056">
        <row r="106">
          <cell r="C106" t="str">
            <v>Hour</v>
          </cell>
        </row>
      </sheetData>
      <sheetData sheetId="1057">
        <row r="106">
          <cell r="C106" t="str">
            <v>Hour</v>
          </cell>
        </row>
      </sheetData>
      <sheetData sheetId="1058">
        <row r="106">
          <cell r="C106" t="str">
            <v>Hour</v>
          </cell>
        </row>
      </sheetData>
      <sheetData sheetId="1059">
        <row r="106">
          <cell r="C106" t="str">
            <v>Hour</v>
          </cell>
        </row>
      </sheetData>
      <sheetData sheetId="1060">
        <row r="106">
          <cell r="C106" t="str">
            <v>Hour</v>
          </cell>
        </row>
      </sheetData>
      <sheetData sheetId="1061">
        <row r="106">
          <cell r="C106" t="str">
            <v>Hour</v>
          </cell>
        </row>
      </sheetData>
      <sheetData sheetId="1062">
        <row r="106">
          <cell r="C106" t="str">
            <v>Hour</v>
          </cell>
        </row>
      </sheetData>
      <sheetData sheetId="1063">
        <row r="106">
          <cell r="C106" t="str">
            <v>Hour</v>
          </cell>
        </row>
      </sheetData>
      <sheetData sheetId="1064">
        <row r="106">
          <cell r="C106" t="str">
            <v>Hour</v>
          </cell>
        </row>
      </sheetData>
      <sheetData sheetId="1065">
        <row r="106">
          <cell r="C106" t="str">
            <v>Hour</v>
          </cell>
        </row>
      </sheetData>
      <sheetData sheetId="1066">
        <row r="106">
          <cell r="C106" t="str">
            <v>Hour</v>
          </cell>
        </row>
      </sheetData>
      <sheetData sheetId="1067">
        <row r="106">
          <cell r="C106" t="str">
            <v>Hour</v>
          </cell>
        </row>
      </sheetData>
      <sheetData sheetId="1068">
        <row r="106">
          <cell r="C106" t="str">
            <v>Hour</v>
          </cell>
        </row>
      </sheetData>
      <sheetData sheetId="1069">
        <row r="106">
          <cell r="C106" t="str">
            <v>Hour</v>
          </cell>
        </row>
      </sheetData>
      <sheetData sheetId="1070">
        <row r="106">
          <cell r="C106" t="str">
            <v>Hour</v>
          </cell>
        </row>
      </sheetData>
      <sheetData sheetId="1071">
        <row r="106">
          <cell r="C106" t="str">
            <v>Hour</v>
          </cell>
        </row>
      </sheetData>
      <sheetData sheetId="1072">
        <row r="106">
          <cell r="C106" t="str">
            <v>Hour</v>
          </cell>
        </row>
      </sheetData>
      <sheetData sheetId="1073">
        <row r="106">
          <cell r="C106" t="str">
            <v>Hour</v>
          </cell>
        </row>
      </sheetData>
      <sheetData sheetId="1074">
        <row r="106">
          <cell r="C106" t="str">
            <v>Hour</v>
          </cell>
        </row>
      </sheetData>
      <sheetData sheetId="1075">
        <row r="106">
          <cell r="C106" t="str">
            <v>Hour</v>
          </cell>
        </row>
      </sheetData>
      <sheetData sheetId="1076">
        <row r="106">
          <cell r="C106" t="str">
            <v>Hour</v>
          </cell>
        </row>
      </sheetData>
      <sheetData sheetId="1077">
        <row r="106">
          <cell r="C106" t="str">
            <v>Hour</v>
          </cell>
        </row>
      </sheetData>
      <sheetData sheetId="1078">
        <row r="106">
          <cell r="C106" t="str">
            <v>Hour</v>
          </cell>
        </row>
      </sheetData>
      <sheetData sheetId="1079">
        <row r="106">
          <cell r="C106" t="str">
            <v>Hour</v>
          </cell>
        </row>
      </sheetData>
      <sheetData sheetId="1080">
        <row r="106">
          <cell r="C106" t="str">
            <v>Hour</v>
          </cell>
        </row>
      </sheetData>
      <sheetData sheetId="1081">
        <row r="106">
          <cell r="C106" t="str">
            <v>Hour</v>
          </cell>
        </row>
      </sheetData>
      <sheetData sheetId="1082">
        <row r="106">
          <cell r="C106" t="str">
            <v>Hour</v>
          </cell>
        </row>
      </sheetData>
      <sheetData sheetId="1083">
        <row r="106">
          <cell r="C106" t="str">
            <v>Hour</v>
          </cell>
        </row>
      </sheetData>
      <sheetData sheetId="1084">
        <row r="106">
          <cell r="C106" t="str">
            <v>Hour</v>
          </cell>
        </row>
      </sheetData>
      <sheetData sheetId="1085">
        <row r="106">
          <cell r="C106" t="str">
            <v>Hour</v>
          </cell>
        </row>
      </sheetData>
      <sheetData sheetId="1086">
        <row r="106">
          <cell r="C106" t="str">
            <v>Hour</v>
          </cell>
        </row>
      </sheetData>
      <sheetData sheetId="1087">
        <row r="106">
          <cell r="C106" t="str">
            <v>Hour</v>
          </cell>
        </row>
      </sheetData>
      <sheetData sheetId="1088">
        <row r="106">
          <cell r="C106" t="str">
            <v>Hour</v>
          </cell>
        </row>
      </sheetData>
      <sheetData sheetId="1089">
        <row r="106">
          <cell r="C106" t="str">
            <v>Hour</v>
          </cell>
        </row>
      </sheetData>
      <sheetData sheetId="1090">
        <row r="106">
          <cell r="C106" t="str">
            <v>Hour</v>
          </cell>
        </row>
      </sheetData>
      <sheetData sheetId="1091">
        <row r="106">
          <cell r="C106" t="str">
            <v>Hour</v>
          </cell>
        </row>
      </sheetData>
      <sheetData sheetId="1092">
        <row r="106">
          <cell r="C106" t="str">
            <v>Hour</v>
          </cell>
        </row>
      </sheetData>
      <sheetData sheetId="1093">
        <row r="106">
          <cell r="C106" t="str">
            <v>Hour</v>
          </cell>
        </row>
      </sheetData>
      <sheetData sheetId="1094">
        <row r="106">
          <cell r="C106" t="str">
            <v>Hour</v>
          </cell>
        </row>
      </sheetData>
      <sheetData sheetId="1095">
        <row r="106">
          <cell r="C106" t="str">
            <v>Hour</v>
          </cell>
        </row>
      </sheetData>
      <sheetData sheetId="1096">
        <row r="106">
          <cell r="C106" t="str">
            <v>Hour</v>
          </cell>
        </row>
      </sheetData>
      <sheetData sheetId="1097">
        <row r="106">
          <cell r="C106" t="str">
            <v>Hour</v>
          </cell>
        </row>
      </sheetData>
      <sheetData sheetId="1098">
        <row r="106">
          <cell r="C106" t="str">
            <v>Hour</v>
          </cell>
        </row>
      </sheetData>
      <sheetData sheetId="1099">
        <row r="106">
          <cell r="C106" t="str">
            <v>Hour</v>
          </cell>
        </row>
      </sheetData>
      <sheetData sheetId="1100">
        <row r="106">
          <cell r="C106" t="str">
            <v>Hour</v>
          </cell>
        </row>
      </sheetData>
      <sheetData sheetId="1101">
        <row r="106">
          <cell r="C106" t="str">
            <v>Hour</v>
          </cell>
        </row>
      </sheetData>
      <sheetData sheetId="1102">
        <row r="106">
          <cell r="C106" t="str">
            <v>Hour</v>
          </cell>
        </row>
      </sheetData>
      <sheetData sheetId="1103">
        <row r="106">
          <cell r="C106" t="str">
            <v>Hour</v>
          </cell>
        </row>
      </sheetData>
      <sheetData sheetId="1104">
        <row r="106">
          <cell r="C106" t="str">
            <v>Hour</v>
          </cell>
        </row>
      </sheetData>
      <sheetData sheetId="1105">
        <row r="106">
          <cell r="C106" t="str">
            <v>Hour</v>
          </cell>
        </row>
      </sheetData>
      <sheetData sheetId="1106">
        <row r="106">
          <cell r="C106" t="str">
            <v>Hour</v>
          </cell>
        </row>
      </sheetData>
      <sheetData sheetId="1107">
        <row r="106">
          <cell r="C106" t="str">
            <v>Hour</v>
          </cell>
        </row>
      </sheetData>
      <sheetData sheetId="1108">
        <row r="106">
          <cell r="C106" t="str">
            <v>Hour</v>
          </cell>
        </row>
      </sheetData>
      <sheetData sheetId="1109">
        <row r="106">
          <cell r="C106" t="str">
            <v>Hour</v>
          </cell>
        </row>
      </sheetData>
      <sheetData sheetId="1110">
        <row r="106">
          <cell r="C106" t="str">
            <v>Hour</v>
          </cell>
        </row>
      </sheetData>
      <sheetData sheetId="1111">
        <row r="106">
          <cell r="C106" t="str">
            <v>Hour</v>
          </cell>
        </row>
      </sheetData>
      <sheetData sheetId="1112">
        <row r="106">
          <cell r="C106" t="str">
            <v>Hour</v>
          </cell>
        </row>
      </sheetData>
      <sheetData sheetId="1113">
        <row r="106">
          <cell r="C106" t="str">
            <v>Hour</v>
          </cell>
        </row>
      </sheetData>
      <sheetData sheetId="1114">
        <row r="106">
          <cell r="C106" t="str">
            <v>Hour</v>
          </cell>
        </row>
      </sheetData>
      <sheetData sheetId="1115">
        <row r="106">
          <cell r="C106" t="str">
            <v>Hour</v>
          </cell>
        </row>
      </sheetData>
      <sheetData sheetId="1116">
        <row r="106">
          <cell r="C106" t="str">
            <v>Hour</v>
          </cell>
        </row>
      </sheetData>
      <sheetData sheetId="1117">
        <row r="106">
          <cell r="C106" t="str">
            <v>Hour</v>
          </cell>
        </row>
      </sheetData>
      <sheetData sheetId="1118">
        <row r="106">
          <cell r="C106" t="str">
            <v>Hour</v>
          </cell>
        </row>
      </sheetData>
      <sheetData sheetId="1119">
        <row r="106">
          <cell r="C106" t="str">
            <v>Hour</v>
          </cell>
        </row>
      </sheetData>
      <sheetData sheetId="1120">
        <row r="106">
          <cell r="C106" t="str">
            <v>Hour</v>
          </cell>
        </row>
      </sheetData>
      <sheetData sheetId="1121">
        <row r="106">
          <cell r="C106" t="str">
            <v>Hour</v>
          </cell>
        </row>
      </sheetData>
      <sheetData sheetId="1122">
        <row r="106">
          <cell r="C106" t="str">
            <v>Hour</v>
          </cell>
        </row>
      </sheetData>
      <sheetData sheetId="1123">
        <row r="106">
          <cell r="C106" t="str">
            <v>Hour</v>
          </cell>
        </row>
      </sheetData>
      <sheetData sheetId="1124">
        <row r="106">
          <cell r="C106" t="str">
            <v>Hour</v>
          </cell>
        </row>
      </sheetData>
      <sheetData sheetId="1125">
        <row r="106">
          <cell r="C106" t="str">
            <v>Hour</v>
          </cell>
        </row>
      </sheetData>
      <sheetData sheetId="1126">
        <row r="106">
          <cell r="C106" t="str">
            <v>Hour</v>
          </cell>
        </row>
      </sheetData>
      <sheetData sheetId="1127">
        <row r="106">
          <cell r="C106" t="str">
            <v>Hour</v>
          </cell>
        </row>
      </sheetData>
      <sheetData sheetId="1128">
        <row r="106">
          <cell r="C106" t="str">
            <v>Hour</v>
          </cell>
        </row>
      </sheetData>
      <sheetData sheetId="1129">
        <row r="106">
          <cell r="C106" t="str">
            <v>Hour</v>
          </cell>
        </row>
      </sheetData>
      <sheetData sheetId="1130">
        <row r="106">
          <cell r="C106" t="str">
            <v>Hour</v>
          </cell>
        </row>
      </sheetData>
      <sheetData sheetId="1131">
        <row r="106">
          <cell r="C106" t="str">
            <v>Hour</v>
          </cell>
        </row>
      </sheetData>
      <sheetData sheetId="1132">
        <row r="106">
          <cell r="C106" t="str">
            <v>Hour</v>
          </cell>
        </row>
      </sheetData>
      <sheetData sheetId="1133">
        <row r="106">
          <cell r="C106" t="str">
            <v>Hour</v>
          </cell>
        </row>
      </sheetData>
      <sheetData sheetId="1134">
        <row r="106">
          <cell r="C106" t="str">
            <v>Hour</v>
          </cell>
        </row>
      </sheetData>
      <sheetData sheetId="1135">
        <row r="106">
          <cell r="C106" t="str">
            <v>Hour</v>
          </cell>
        </row>
      </sheetData>
      <sheetData sheetId="1136">
        <row r="106">
          <cell r="C106" t="str">
            <v>Hour</v>
          </cell>
        </row>
      </sheetData>
      <sheetData sheetId="1137">
        <row r="106">
          <cell r="C106" t="str">
            <v>Hour</v>
          </cell>
        </row>
      </sheetData>
      <sheetData sheetId="1138">
        <row r="106">
          <cell r="C106" t="str">
            <v>Hour</v>
          </cell>
        </row>
      </sheetData>
      <sheetData sheetId="1139">
        <row r="106">
          <cell r="C106" t="str">
            <v>Hour</v>
          </cell>
        </row>
      </sheetData>
      <sheetData sheetId="1140">
        <row r="106">
          <cell r="C106" t="str">
            <v>Hour</v>
          </cell>
        </row>
      </sheetData>
      <sheetData sheetId="1141">
        <row r="106">
          <cell r="C106" t="str">
            <v>Hour</v>
          </cell>
        </row>
      </sheetData>
      <sheetData sheetId="1142">
        <row r="106">
          <cell r="C106" t="str">
            <v>Hour</v>
          </cell>
        </row>
      </sheetData>
      <sheetData sheetId="1143">
        <row r="106">
          <cell r="C106" t="str">
            <v>Hour</v>
          </cell>
        </row>
      </sheetData>
      <sheetData sheetId="1144">
        <row r="106">
          <cell r="C106" t="str">
            <v>Hour</v>
          </cell>
        </row>
      </sheetData>
      <sheetData sheetId="1145">
        <row r="106">
          <cell r="C106" t="str">
            <v>Hour</v>
          </cell>
        </row>
      </sheetData>
      <sheetData sheetId="1146">
        <row r="106">
          <cell r="C106" t="str">
            <v>Hour</v>
          </cell>
        </row>
      </sheetData>
      <sheetData sheetId="1147">
        <row r="106">
          <cell r="C106" t="str">
            <v>Hour</v>
          </cell>
        </row>
      </sheetData>
      <sheetData sheetId="1148">
        <row r="106">
          <cell r="C106" t="str">
            <v>Hour</v>
          </cell>
        </row>
      </sheetData>
      <sheetData sheetId="1149">
        <row r="106">
          <cell r="C106" t="str">
            <v>Hour</v>
          </cell>
        </row>
      </sheetData>
      <sheetData sheetId="1150">
        <row r="106">
          <cell r="C106" t="str">
            <v>Hour</v>
          </cell>
        </row>
      </sheetData>
      <sheetData sheetId="1151">
        <row r="106">
          <cell r="C106" t="str">
            <v>Hour</v>
          </cell>
        </row>
      </sheetData>
      <sheetData sheetId="1152">
        <row r="106">
          <cell r="C106" t="str">
            <v>Hour</v>
          </cell>
        </row>
      </sheetData>
      <sheetData sheetId="1153">
        <row r="106">
          <cell r="C106" t="str">
            <v>Hour</v>
          </cell>
        </row>
      </sheetData>
      <sheetData sheetId="1154">
        <row r="106">
          <cell r="C106" t="str">
            <v>Hour</v>
          </cell>
        </row>
      </sheetData>
      <sheetData sheetId="1155">
        <row r="106">
          <cell r="C106" t="str">
            <v>Hour</v>
          </cell>
        </row>
      </sheetData>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ow r="106">
          <cell r="C106" t="str">
            <v>Hour</v>
          </cell>
        </row>
      </sheetData>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sheetData sheetId="1286"/>
      <sheetData sheetId="1287"/>
      <sheetData sheetId="1288"/>
      <sheetData sheetId="1289"/>
      <sheetData sheetId="1290"/>
      <sheetData sheetId="1291"/>
      <sheetData sheetId="1292"/>
      <sheetData sheetId="1293"/>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sheetData sheetId="1363" refreshError="1"/>
      <sheetData sheetId="1364" refreshError="1"/>
      <sheetData sheetId="1365" refreshError="1"/>
      <sheetData sheetId="1366">
        <row r="106">
          <cell r="C106" t="str">
            <v>Hour</v>
          </cell>
        </row>
      </sheetData>
      <sheetData sheetId="1367"/>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sheetData sheetId="1384"/>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sheetData sheetId="1419">
        <row r="106">
          <cell r="C106" t="str">
            <v>Hour</v>
          </cell>
        </row>
      </sheetData>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sheetData sheetId="1429"/>
      <sheetData sheetId="1430">
        <row r="106">
          <cell r="C106" t="str">
            <v>Hour</v>
          </cell>
        </row>
      </sheetData>
      <sheetData sheetId="1431"/>
      <sheetData sheetId="1432"/>
      <sheetData sheetId="1433"/>
      <sheetData sheetId="1434">
        <row r="106">
          <cell r="C106" t="str">
            <v>Hour</v>
          </cell>
        </row>
      </sheetData>
      <sheetData sheetId="1435"/>
      <sheetData sheetId="1436"/>
      <sheetData sheetId="1437"/>
      <sheetData sheetId="1438">
        <row r="106">
          <cell r="C106" t="str">
            <v>Hour</v>
          </cell>
        </row>
      </sheetData>
      <sheetData sheetId="1439"/>
      <sheetData sheetId="1440">
        <row r="106">
          <cell r="C106" t="str">
            <v>Hour</v>
          </cell>
        </row>
      </sheetData>
      <sheetData sheetId="1441"/>
      <sheetData sheetId="1442">
        <row r="106">
          <cell r="C106" t="str">
            <v>Hour</v>
          </cell>
        </row>
      </sheetData>
      <sheetData sheetId="1443"/>
      <sheetData sheetId="1444">
        <row r="106">
          <cell r="C106" t="str">
            <v>Hour</v>
          </cell>
        </row>
      </sheetData>
      <sheetData sheetId="1445">
        <row r="106">
          <cell r="C106" t="str">
            <v>Hour</v>
          </cell>
        </row>
      </sheetData>
      <sheetData sheetId="1446"/>
      <sheetData sheetId="1447">
        <row r="106">
          <cell r="C106" t="str">
            <v>Hour</v>
          </cell>
        </row>
      </sheetData>
      <sheetData sheetId="1448">
        <row r="106">
          <cell r="C106" t="str">
            <v>Hour</v>
          </cell>
        </row>
      </sheetData>
      <sheetData sheetId="1449">
        <row r="106">
          <cell r="C106" t="str">
            <v>Hour</v>
          </cell>
        </row>
      </sheetData>
      <sheetData sheetId="1450"/>
      <sheetData sheetId="1451">
        <row r="106">
          <cell r="C106" t="str">
            <v>Hour</v>
          </cell>
        </row>
      </sheetData>
      <sheetData sheetId="1452"/>
      <sheetData sheetId="1453">
        <row r="106">
          <cell r="C106" t="str">
            <v>Hour</v>
          </cell>
        </row>
      </sheetData>
      <sheetData sheetId="1454">
        <row r="106">
          <cell r="C106" t="str">
            <v>Hour</v>
          </cell>
        </row>
      </sheetData>
      <sheetData sheetId="1455">
        <row r="106">
          <cell r="C106" t="str">
            <v>Hour</v>
          </cell>
        </row>
      </sheetData>
      <sheetData sheetId="1456">
        <row r="106">
          <cell r="C106" t="str">
            <v>Hour</v>
          </cell>
        </row>
      </sheetData>
      <sheetData sheetId="1457">
        <row r="106">
          <cell r="C106" t="str">
            <v>Hour</v>
          </cell>
        </row>
      </sheetData>
      <sheetData sheetId="1458">
        <row r="106">
          <cell r="C106" t="str">
            <v>Hour</v>
          </cell>
        </row>
      </sheetData>
      <sheetData sheetId="1459"/>
      <sheetData sheetId="1460">
        <row r="106">
          <cell r="C106" t="str">
            <v>Hour</v>
          </cell>
        </row>
      </sheetData>
      <sheetData sheetId="1461"/>
      <sheetData sheetId="1462">
        <row r="106">
          <cell r="C106" t="str">
            <v>Hour</v>
          </cell>
        </row>
      </sheetData>
      <sheetData sheetId="1463">
        <row r="106">
          <cell r="C106" t="str">
            <v>Hour</v>
          </cell>
        </row>
      </sheetData>
      <sheetData sheetId="1464">
        <row r="106">
          <cell r="C106" t="str">
            <v>Hour</v>
          </cell>
        </row>
      </sheetData>
      <sheetData sheetId="1465"/>
      <sheetData sheetId="1466">
        <row r="106">
          <cell r="C106" t="str">
            <v>Hour</v>
          </cell>
        </row>
      </sheetData>
      <sheetData sheetId="1467">
        <row r="106">
          <cell r="C106" t="str">
            <v>Hour</v>
          </cell>
        </row>
      </sheetData>
      <sheetData sheetId="1468">
        <row r="106">
          <cell r="C106" t="str">
            <v>Hour</v>
          </cell>
        </row>
      </sheetData>
      <sheetData sheetId="1469">
        <row r="106">
          <cell r="C106" t="str">
            <v>Hour</v>
          </cell>
        </row>
      </sheetData>
      <sheetData sheetId="1470"/>
      <sheetData sheetId="1471">
        <row r="106">
          <cell r="C106" t="str">
            <v>Hour</v>
          </cell>
        </row>
      </sheetData>
      <sheetData sheetId="1472"/>
      <sheetData sheetId="1473">
        <row r="106">
          <cell r="C106" t="str">
            <v>Hour</v>
          </cell>
        </row>
      </sheetData>
      <sheetData sheetId="1474"/>
      <sheetData sheetId="1475">
        <row r="106">
          <cell r="C106" t="str">
            <v>Hour</v>
          </cell>
        </row>
      </sheetData>
      <sheetData sheetId="1476"/>
      <sheetData sheetId="1477">
        <row r="106">
          <cell r="C106" t="str">
            <v>Hour</v>
          </cell>
        </row>
      </sheetData>
      <sheetData sheetId="1478">
        <row r="106">
          <cell r="C106" t="str">
            <v>Hour</v>
          </cell>
        </row>
      </sheetData>
      <sheetData sheetId="1479"/>
      <sheetData sheetId="1480"/>
      <sheetData sheetId="1481"/>
      <sheetData sheetId="1482">
        <row r="106">
          <cell r="C106" t="str">
            <v>Hour</v>
          </cell>
        </row>
      </sheetData>
      <sheetData sheetId="1483">
        <row r="106">
          <cell r="C106" t="str">
            <v>Hour</v>
          </cell>
        </row>
      </sheetData>
      <sheetData sheetId="1484"/>
      <sheetData sheetId="1485"/>
      <sheetData sheetId="1486">
        <row r="106">
          <cell r="C106" t="str">
            <v>Hour</v>
          </cell>
        </row>
      </sheetData>
      <sheetData sheetId="1487">
        <row r="106">
          <cell r="C106" t="str">
            <v>Hour</v>
          </cell>
        </row>
      </sheetData>
      <sheetData sheetId="1488"/>
      <sheetData sheetId="1489"/>
      <sheetData sheetId="1490"/>
      <sheetData sheetId="1491">
        <row r="106">
          <cell r="C106" t="str">
            <v>Hour</v>
          </cell>
        </row>
      </sheetData>
      <sheetData sheetId="1492">
        <row r="106">
          <cell r="C106" t="str">
            <v>Hour</v>
          </cell>
        </row>
      </sheetData>
      <sheetData sheetId="1493"/>
      <sheetData sheetId="1494"/>
      <sheetData sheetId="1495">
        <row r="106">
          <cell r="C106" t="str">
            <v>Hour</v>
          </cell>
        </row>
      </sheetData>
      <sheetData sheetId="1496">
        <row r="106">
          <cell r="C106" t="str">
            <v>Hour</v>
          </cell>
        </row>
      </sheetData>
      <sheetData sheetId="1497"/>
      <sheetData sheetId="1498"/>
      <sheetData sheetId="1499"/>
      <sheetData sheetId="1500"/>
      <sheetData sheetId="1501">
        <row r="106">
          <cell r="C106" t="str">
            <v>Hour</v>
          </cell>
        </row>
      </sheetData>
      <sheetData sheetId="1502"/>
      <sheetData sheetId="1503"/>
      <sheetData sheetId="1504"/>
      <sheetData sheetId="1505">
        <row r="106">
          <cell r="C106" t="str">
            <v>Hour</v>
          </cell>
        </row>
      </sheetData>
      <sheetData sheetId="1506"/>
      <sheetData sheetId="1507"/>
      <sheetData sheetId="1508"/>
      <sheetData sheetId="1509"/>
      <sheetData sheetId="1510">
        <row r="106">
          <cell r="C106" t="str">
            <v>Hour</v>
          </cell>
        </row>
      </sheetData>
      <sheetData sheetId="1511"/>
      <sheetData sheetId="1512"/>
      <sheetData sheetId="1513"/>
      <sheetData sheetId="1514">
        <row r="106">
          <cell r="C106" t="str">
            <v>Hour</v>
          </cell>
        </row>
      </sheetData>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sheetData sheetId="1661" refreshError="1"/>
      <sheetData sheetId="1662" refreshError="1"/>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ow r="106">
          <cell r="C106" t="str">
            <v>Hour</v>
          </cell>
        </row>
      </sheetData>
      <sheetData sheetId="1824">
        <row r="106">
          <cell r="C106" t="str">
            <v>Hour</v>
          </cell>
        </row>
      </sheetData>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ow r="106">
          <cell r="C106" t="str">
            <v>Hour</v>
          </cell>
        </row>
      </sheetData>
      <sheetData sheetId="1863" refreshError="1"/>
      <sheetData sheetId="1864">
        <row r="106">
          <cell r="C106" t="str">
            <v>Hour</v>
          </cell>
        </row>
      </sheetData>
      <sheetData sheetId="1865">
        <row r="106">
          <cell r="C106" t="str">
            <v>Hour</v>
          </cell>
        </row>
      </sheetData>
      <sheetData sheetId="1866"/>
      <sheetData sheetId="1867"/>
      <sheetData sheetId="1868"/>
      <sheetData sheetId="1869"/>
      <sheetData sheetId="1870"/>
      <sheetData sheetId="1871"/>
      <sheetData sheetId="1872"/>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al"/>
      <sheetName val="RK SEMUA"/>
      <sheetName val="PERSI"/>
      <sheetName val="RK PERSIAPAN"/>
      <sheetName val="bhn"/>
      <sheetName val="Rek.Musholla Cituis"/>
      <sheetName val="Rinc.Musholla Cituis"/>
      <sheetName val="POS JAGA"/>
      <sheetName val="GD A lt1"/>
      <sheetName val="GD A lt2"/>
      <sheetName val="RK GDA"/>
      <sheetName val="GDlt1 B"/>
      <sheetName val="GDBlt2"/>
      <sheetName val="RK GDB"/>
      <sheetName val="RAM KM"/>
      <sheetName val="RK RAM KM"/>
      <sheetName val="KT.PENGlt1"/>
      <sheetName val="KT.PENGlt2"/>
      <sheetName val="KT.PENGlt3"/>
      <sheetName val="RK KT.PENG"/>
      <sheetName val="RKLAND"/>
      <sheetName val="SAL"/>
      <sheetName val="LAND"/>
      <sheetName val="RK.LISTRIK"/>
      <sheetName val="LISTRI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q"/>
      <sheetName val="BQ-Segmen"/>
      <sheetName val="BQ-BUAS"/>
      <sheetName val="Rumus"/>
      <sheetName val="kapasitas"/>
      <sheetName val="mob. dem"/>
      <sheetName val="siap"/>
      <sheetName val="pek. tanah"/>
      <sheetName val="konstruksi"/>
      <sheetName val="Gorong2"/>
      <sheetName val="B0"/>
      <sheetName val="CBC"/>
      <sheetName val="LPB"/>
      <sheetName val="Urug"/>
      <sheetName val="k. batu kali"/>
      <sheetName val="H_Satuan"/>
      <sheetName val="MAPDC"/>
      <sheetName val="data"/>
      <sheetName val="Rekap"/>
      <sheetName val="input"/>
      <sheetName val="SAT"/>
      <sheetName val="Cover"/>
      <sheetName val="NP (4)"/>
      <sheetName val="Material"/>
      <sheetName val="Analisa &amp; Upah"/>
      <sheetName val="AN. TAMPL"/>
      <sheetName val="BAHAN"/>
      <sheetName val="Analisa ME"/>
      <sheetName val="rab me (by owner) "/>
      <sheetName val="BQ (by owner)"/>
      <sheetName val="rab me (fisik)"/>
      <sheetName val="K"/>
      <sheetName val="Bill Of Quantity"/>
      <sheetName val="HB "/>
      <sheetName val="BQ.AC.FAN"/>
      <sheetName val="iTEM hARSAT"/>
      <sheetName val="DAF_4"/>
      <sheetName val="DIV7-BM"/>
      <sheetName val="3-DIV5"/>
      <sheetName val="box culvert"/>
      <sheetName val="DAF_1"/>
      <sheetName val="DRUP (ASLI)"/>
      <sheetName val="DAF-1"/>
      <sheetName val="NS GD.UGD"/>
      <sheetName val="STD GD.UGD"/>
      <sheetName val="harga bahan"/>
      <sheetName val="MAIN BQ"/>
      <sheetName val="Harsat BHN AR,M"/>
      <sheetName val="bhn-upah"/>
      <sheetName val="AC"/>
      <sheetName val="FP"/>
      <sheetName val="PLB"/>
      <sheetName val="harsat"/>
      <sheetName val="SITE-E"/>
      <sheetName val="NS GD.UTAMA"/>
      <sheetName val="Analisa 2"/>
      <sheetName val="REF.ONLY"/>
      <sheetName val="DAF-5"/>
      <sheetName val="HRG BHN"/>
      <sheetName val="villa"/>
      <sheetName val="Student"/>
      <sheetName val="LISTRIK"/>
      <sheetName val="01A- RAB"/>
      <sheetName val="DRUP _ASLI_"/>
      <sheetName val="Stden center"/>
      <sheetName val="Sheet1"/>
      <sheetName val="rab - persiapan &amp; lantai-1"/>
      <sheetName val="Man_Power_Const"/>
      <sheetName val="PC"/>
      <sheetName val="Balok"/>
      <sheetName val="STR"/>
      <sheetName val="div3"/>
      <sheetName val="HS"/>
      <sheetName val="Analisa"/>
      <sheetName val="Analis Kusen 1 ESKALASI"/>
      <sheetName val="Concrete"/>
      <sheetName val="BAG-2"/>
      <sheetName val="ANALISA-A"/>
      <sheetName val="Panel,feeder,elek"/>
      <sheetName val="Anl.+"/>
      <sheetName val="112-885"/>
      <sheetName val="ELEC STIS"/>
      <sheetName val="REQDELTA"/>
      <sheetName val="RKP PLUMBING"/>
      <sheetName val="Supl.X"/>
      <sheetName val="ahs3"/>
      <sheetName val="FLAF&amp;PARTSI"/>
      <sheetName val="DAFTAR HARGA"/>
      <sheetName val="Bag-9Add"/>
      <sheetName val="Bag-1"/>
      <sheetName val="ESCON"/>
      <sheetName val="REK"/>
      <sheetName val="pricelist"/>
      <sheetName val="1.B"/>
      <sheetName val="BasicPrice"/>
      <sheetName val="Markup"/>
      <sheetName val="EXTERNAL WORK"/>
      <sheetName val="Elektrikal"/>
      <sheetName val="L_Mechanical"/>
      <sheetName val="Daftar berat"/>
      <sheetName val="SEX"/>
      <sheetName val="Fin-Bengkel"/>
      <sheetName val="Fin-Showroom"/>
      <sheetName val="Hal_Pagar"/>
      <sheetName val="Str-Bengkel"/>
      <sheetName val="Str-Showroom"/>
      <sheetName val="Upah+Bahan"/>
      <sheetName val="Upah"/>
      <sheetName val="TOEC"/>
      <sheetName val="Ahs.2"/>
      <sheetName val="Ahs.1"/>
      <sheetName val="Fin_Bengkel"/>
      <sheetName val="Fin_Showroom"/>
      <sheetName val="Str_Bengkel"/>
      <sheetName val="Str_Showroom"/>
      <sheetName val="Analisa Harga Satuan"/>
      <sheetName val="BASEMENT"/>
      <sheetName val="Anls"/>
      <sheetName val="AC_C"/>
      <sheetName val="Dasboard"/>
      <sheetName val="H-Upah"/>
      <sheetName val="Data Upah"/>
      <sheetName val="BASIC"/>
      <sheetName val="H_Satuan1"/>
      <sheetName val="mob__dem"/>
      <sheetName val="pek__tanah"/>
      <sheetName val="k__batu_kali"/>
      <sheetName val="Analisa_ME"/>
      <sheetName val="harga_bahan"/>
      <sheetName val="rab_me_(by_owner)_"/>
      <sheetName val="BQ_(by_owner)"/>
      <sheetName val="rab_me_(fisik)"/>
      <sheetName val="Analisa_&amp;_Upah"/>
      <sheetName val="AN__TAMPL"/>
      <sheetName val="01A-_RAB"/>
      <sheetName val="REMUNERASISTANDAR"/>
      <sheetName val="TABEL-DETASIR"/>
      <sheetName val="NP (3)"/>
      <sheetName val="NP"/>
      <sheetName val="SALURAN"/>
      <sheetName val="Group"/>
      <sheetName val="Mekanikal"/>
      <sheetName val="index"/>
      <sheetName val="BL"/>
      <sheetName val="AHS - Sipil"/>
      <sheetName val="ANAL"/>
      <sheetName val="HSD"/>
      <sheetName val="data RSUD KIS"/>
      <sheetName val="Bahan-Upah"/>
      <sheetName val="BAU"/>
      <sheetName val="RAB AR&amp;STR"/>
      <sheetName val="NP (2)"/>
      <sheetName val="cargo"/>
      <sheetName val="Analisa Satuan"/>
      <sheetName val="Mall"/>
      <sheetName val="ANLS_ BETON R. KELAS"/>
      <sheetName val="기준"/>
      <sheetName val="_x0000_0_x0000_1_x0000_0_x0000_0_x0000_0_x0000_1_x0000__x0000_6_x0000_0_x0000_¯耀㣋_x0000__x0000__x0000__x0000__x0000__x0001__x0000__x0000_耀ÿ"/>
      <sheetName val="Plint_List"/>
      <sheetName val="Luar"/>
      <sheetName val="Pintu Jendela"/>
      <sheetName val="DC-akses bandara"/>
      <sheetName val="finalisasi"/>
      <sheetName val="Div10"/>
      <sheetName val="Fill this out first..."/>
      <sheetName val="analis"/>
      <sheetName val="Isolasi Luar Dalam"/>
      <sheetName val="Isolasi Luar"/>
      <sheetName val="KR Luar"/>
      <sheetName val="AHS"/>
      <sheetName val="boq"/>
      <sheetName val="Unit"/>
      <sheetName val="."/>
      <sheetName val="%"/>
      <sheetName val="3-DIV3"/>
      <sheetName val="rekap mekanikal"/>
      <sheetName val="SUM"/>
      <sheetName val="meth hsl nego"/>
      <sheetName val="3-DIV2"/>
      <sheetName val="Faktor"/>
      <sheetName val="UPH,BHN,ALT"/>
      <sheetName val="H_Satuan2"/>
      <sheetName val="mob__dem1"/>
      <sheetName val="pek__tanah1"/>
      <sheetName val="k__batu_kali1"/>
      <sheetName val="NS_GD_UGD"/>
      <sheetName val="STD_GD_UGD"/>
      <sheetName val="NP_(4)"/>
      <sheetName val="Bill_Of_Quantity"/>
      <sheetName val="HB_"/>
      <sheetName val="MAIN_BQ"/>
      <sheetName val="Harsat_BHN_AR,M"/>
      <sheetName val="NS_GD_UTAMA"/>
      <sheetName val="Analisa_2"/>
      <sheetName val="BQ_AC_FAN"/>
      <sheetName val="DRUP_(ASLI)"/>
      <sheetName val="HRG_BHN"/>
      <sheetName val="iTEM_hARSAT"/>
      <sheetName val="Satpek"/>
      <sheetName val="ahs1"/>
      <sheetName val="GLP-DISCOUNT"/>
      <sheetName val="GLP 2001"/>
      <sheetName val="EE-PROP"/>
      <sheetName val="Costos"/>
      <sheetName val="Met_Pas Batu"/>
      <sheetName val="Met_ Minor"/>
      <sheetName val="공정양식"/>
      <sheetName val="QSS"/>
      <sheetName val="G_SUMMARY"/>
      <sheetName val="TSS"/>
      <sheetName val="@UpahBahan"/>
      <sheetName val="BGN PENUNJANG"/>
      <sheetName val="gtrinh"/>
      <sheetName val="dasar"/>
      <sheetName val="Tata Udara"/>
      <sheetName val="Plumbing"/>
      <sheetName val="ahs_utama"/>
      <sheetName val="arp-3a"/>
      <sheetName val="Analisa BOW"/>
      <sheetName val="gabungan (2)"/>
      <sheetName val="NP-7"/>
      <sheetName val="HSLAIN-LAIN"/>
      <sheetName val="UNIT PRICE"/>
      <sheetName val="Galian batu"/>
      <sheetName val="an tek NP"/>
      <sheetName val="1"/>
      <sheetName val="Teknis"/>
      <sheetName val="3-DIV4"/>
      <sheetName val="RKP. TOTAL"/>
      <sheetName val="B.as"/>
      <sheetName val="RAB"/>
      <sheetName val="Bill_2"/>
      <sheetName val="Alat B"/>
      <sheetName val="Bahan B"/>
      <sheetName val="Upah B"/>
      <sheetName val="RAP"/>
      <sheetName val="Sub"/>
      <sheetName val="Analisa Upah &amp; Bahan Plum"/>
      <sheetName val="isian"/>
      <sheetName val="Surat"/>
      <sheetName val="BAB_5_2_BiaLang"/>
      <sheetName val="GENERAL"/>
      <sheetName val="pivot1"/>
      <sheetName val="Pricing"/>
      <sheetName val="Antek1"/>
      <sheetName val="HARSAT-lain"/>
      <sheetName val="HARSAT-tanah"/>
      <sheetName val="product"/>
      <sheetName val="Pipe"/>
      <sheetName val="Div2"/>
      <sheetName val="harga"/>
      <sheetName val="RBP- 2"/>
      <sheetName val="OP. ALAT"/>
      <sheetName val="OP. PERJAM"/>
      <sheetName val="B. PERSONIL"/>
      <sheetName val="KAN. LOKAL"/>
      <sheetName val="A"/>
      <sheetName val="GFA-20-N"/>
      <sheetName val="5.Anhas"/>
      <sheetName val="_x005f_x0000_0_x005f_x0000_1_x005f_x0000_0_x005f_x0000_"/>
      <sheetName val="BHN-UPH-ALT"/>
      <sheetName val="_x0000_0_x0000_1_x0000_0_x0000_"/>
      <sheetName val=""/>
      <sheetName val="ANALISA ALAT BERAT"/>
      <sheetName val="FORMESTIMASI"/>
      <sheetName val="Terbilang"/>
      <sheetName val="L-Mechanical"/>
      <sheetName val="DAF_3.1"/>
      <sheetName val="DAF_3.11"/>
      <sheetName val="_x0000_0_x0000_1_x0000_0_x0000_0_x0000_0_x0000_1_x0000__x0000_6_x0000_0_x0000_¯??_x0000__x0000__x0000__x0000__x0000__x0001__x0000__x0000_?ÿ"/>
      <sheetName val="_x0000_¯??_x0000__x0000__x0000__x0000__x0000__x0001__x0000__x0000_?ÿ?_x0000_?English_x0000_ENW_x0000_en"/>
      <sheetName val="ANALISA PEK.UMUM"/>
      <sheetName val="?0?1?0?0?0?1??6?0?¯耀㣋?????_x0001_??耀ÿ"/>
      <sheetName val="Rincigaji"/>
      <sheetName val="Prod 15-5"/>
      <sheetName val="ANGGARAN"/>
      <sheetName val="RINCIAN"/>
      <sheetName val="TBL_BANTU"/>
      <sheetName val="Bill of Qty MEP"/>
      <sheetName val="Form A"/>
      <sheetName val="anaUTama"/>
      <sheetName val="GalianAlatBerat"/>
      <sheetName val="Haulling"/>
      <sheetName val="KONTRAK INDUK BULANAN"/>
      <sheetName val="Data2"/>
      <sheetName val="FAK"/>
      <sheetName val="DIVI3"/>
      <sheetName val="NSTD"/>
      <sheetName val="STD"/>
      <sheetName val="BQ.jln"/>
      <sheetName val="BQ.jem"/>
      <sheetName val="Anls teknis"/>
      <sheetName val="Bill 5 Summary"/>
      <sheetName val="Bill 4 Summary"/>
      <sheetName val="5-Peralatan"/>
      <sheetName val="NS Lanjutan"/>
      <sheetName val="STD Lanjutan"/>
      <sheetName val="HRG BAHAN &amp; UPAH okk"/>
      <sheetName val="Analis Kusen okk"/>
      <sheetName val="Mk Minor"/>
      <sheetName val="Investment Valuation"/>
      <sheetName val="Cabling Data&amp;Power"/>
      <sheetName val="HB_1"/>
      <sheetName val="H_Satuan3"/>
      <sheetName val="mob__dem2"/>
      <sheetName val="pek__tanah2"/>
      <sheetName val="k__batu_kali2"/>
      <sheetName val="HB_2"/>
      <sheetName val="GE-1-2"/>
      <sheetName val="A+Supl."/>
      <sheetName val="Informasi"/>
      <sheetName val="Daf 1"/>
      <sheetName val="p_fb01"/>
      <sheetName val="p_fb02"/>
      <sheetName val="PLINT 3.1.G"/>
      <sheetName val="s_v13"/>
      <sheetName val="s_v14"/>
      <sheetName val="s_v16"/>
      <sheetName val="Telephone"/>
      <sheetName val="Rek_ELEKT"/>
      <sheetName val="?0?1?0?0?0?1??6?0?¯???????_x0001_???ÿ"/>
      <sheetName val="?¯???????_x0001_???ÿ???English?ENW?en"/>
      <sheetName val="_0_1_0_0_0_1__6_0_¯耀㣋______x0001___耀ÿ"/>
      <sheetName val="설계조건"/>
      <sheetName val="단면검토"/>
      <sheetName val="Blk-Mnl lt.3-lt.atap"/>
      <sheetName val="Klm-Mnl"/>
      <sheetName val="gajiDasar"/>
      <sheetName val="PROD_03_1"/>
      <sheetName val="BQ. AC"/>
      <sheetName val="rincian per proyek"/>
      <sheetName val="Analisa RAP"/>
      <sheetName val="Alat"/>
      <sheetName val="Telusur"/>
      <sheetName val="Analisa RAB"/>
      <sheetName val="Analisa Harga"/>
      <sheetName val="SIMPRO(AGST)"/>
      <sheetName val="div-2"/>
      <sheetName val="MAP"/>
      <sheetName val="RKP"/>
      <sheetName val="Foundation"/>
      <sheetName val="bukan PNS"/>
      <sheetName val="Input monthly capex"/>
      <sheetName val="PL"/>
      <sheetName val="rek ME"/>
      <sheetName val="Master Edit"/>
      <sheetName val="bhn FINAL"/>
      <sheetName val="SAP"/>
      <sheetName val="Urai _Resap pengikat"/>
      <sheetName val="PRICE LIST"/>
      <sheetName val="Price_List"/>
      <sheetName val="anaMob"/>
      <sheetName val="경비2내역"/>
      <sheetName val="DAFT_HARG_SAT_PEK."/>
      <sheetName val="DAFT_ALAT,UPAH &amp; MAT"/>
      <sheetName val="Admin"/>
      <sheetName val="DAFTAR_HARGA"/>
      <sheetName val="rab_-_persiapan_&amp;_lantai-1"/>
      <sheetName val="Anl_+"/>
      <sheetName val="ELEC_STIS"/>
      <sheetName val="RKP_PLUMBING"/>
      <sheetName val="1_B"/>
      <sheetName val="Analis_Kusen_1_ESKALASI"/>
      <sheetName val="Isolasi_Luar_Dalam"/>
      <sheetName val="Isolasi_Luar"/>
      <sheetName val="Supl_X"/>
      <sheetName val="EXTERNAL_WORK"/>
      <sheetName val="DRUP__ASLI_"/>
      <sheetName val="Stden_center"/>
      <sheetName val="box_culvert"/>
      <sheetName val="_"/>
      <sheetName val="Rekapitulasi"/>
      <sheetName val="MARK UP"/>
      <sheetName val="F ALARM"/>
      <sheetName val="_x005f_x0000_¯___x005f_x0000__x005f_x0000__x005f_x0000_"/>
      <sheetName val="_0_1_0_0_0_1__6_0_¯耀㣋______x000"/>
      <sheetName val="??"/>
      <sheetName val="????"/>
      <sheetName val="Sat~Bahu"/>
      <sheetName val="NAME"/>
      <sheetName val="Daftar Upah"/>
      <sheetName val="D6 (2)"/>
      <sheetName val="Analis Tambahan"/>
      <sheetName val="Analys"/>
      <sheetName val="pelita lapen"/>
      <sheetName val="SCH"/>
      <sheetName val="TT04"/>
      <sheetName val="gvl"/>
      <sheetName val="Eng_Hrs"/>
      <sheetName val="H Satuan Dasar"/>
      <sheetName val="Ahs_2"/>
      <sheetName val="Ahs_1"/>
      <sheetName val="KR_Luar"/>
      <sheetName val="REF_ONLY"/>
      <sheetName val="Daftar_berat"/>
      <sheetName val="Analisa_Harga_Satuan"/>
      <sheetName val="NP_(3)"/>
      <sheetName val="ANLS__BETON_R__KELAS"/>
      <sheetName val="Data_Upah"/>
      <sheetName val="AHS_-_Sipil"/>
      <sheetName val="data_RSUD_KIS"/>
      <sheetName val="RAB_AR&amp;STR"/>
      <sheetName val="NP_(2)"/>
      <sheetName val="Analisa_Satuan"/>
      <sheetName val="Tata_Udara"/>
      <sheetName val="Fill_this_out_first___"/>
      <sheetName val="01000160¯耀㣋耀ÿ"/>
      <sheetName val="Pintu_Jendela"/>
      <sheetName val="DC-akses_bandara"/>
      <sheetName val="List of Eqp"/>
      <sheetName val="UPA"/>
      <sheetName val="Anl.2s.d4e"/>
      <sheetName val="DATABASE"/>
      <sheetName val="HARGA MATERIAL"/>
      <sheetName val="Rekap Direct Cost"/>
      <sheetName val="Analisa -Baku"/>
      <sheetName val="GAJI"/>
      <sheetName val="Urai _ Guide Post"/>
      <sheetName val="Urai_Galian Tanah"/>
      <sheetName val="Estimate"/>
      <sheetName val="Man Power"/>
      <sheetName val="c"/>
      <sheetName val="f"/>
      <sheetName val="rab_me_(by_owner)_1"/>
      <sheetName val="BQ_(by_owner)1"/>
      <sheetName val="rab_me_(fisik)1"/>
      <sheetName val="DC-akses_bandara1"/>
      <sheetName val="Analisa_ME1"/>
      <sheetName val="ALEK"/>
      <sheetName val="rab_me_(by_owner)_2"/>
      <sheetName val="BQ_(by_owner)2"/>
      <sheetName val="rab_me_(fisik)2"/>
      <sheetName val="DC-akses_bandara2"/>
      <sheetName val="Analisa_ME2"/>
      <sheetName val="H_Satuan4"/>
      <sheetName val="mob__dem3"/>
      <sheetName val="pek__tanah3"/>
      <sheetName val="k__batu_kali3"/>
      <sheetName val="rab_me_(by_owner)_3"/>
      <sheetName val="BQ_(by_owner)3"/>
      <sheetName val="rab_me_(fisik)3"/>
      <sheetName val="DC-akses_bandara3"/>
      <sheetName val="Analisa_ME3"/>
      <sheetName val="Hua Yang Quarterly"/>
      <sheetName val="An"/>
      <sheetName val="An.2"/>
      <sheetName val="dil"/>
      <sheetName val="Penawaran"/>
      <sheetName val="Master 1.0"/>
      <sheetName val="DAF-2"/>
      <sheetName val="01.FA"/>
      <sheetName val="_x005f_x005f_x005f_x0000_0_x005f_x005f_x005f_x0000_1_x0"/>
      <sheetName val="_0_1_0_0_0_1__6_0_¯________x000"/>
      <sheetName val="_¯________x005f_x0001____ÿ___English_"/>
      <sheetName val="struktur tdk dipakai"/>
      <sheetName val="BQ-E20-02(Rp)"/>
      <sheetName val="CapExpAppForm"/>
      <sheetName val="Data-Masukan"/>
      <sheetName val="SAT-DAS"/>
      <sheetName val="PConsCS"/>
      <sheetName val="dia-in"/>
      <sheetName val="Break_down"/>
      <sheetName val="S Curve"/>
      <sheetName val="Rekap S Curve (4)"/>
      <sheetName val="Rekap S Curve (3)"/>
      <sheetName val="Bq-Pk-A"/>
      <sheetName val="Summary"/>
      <sheetName val="Rate"/>
      <sheetName val="S-Curve"/>
      <sheetName val="3.1.2a"/>
      <sheetName val="3.1.1a"/>
      <sheetName val="Vibro_Roller"/>
      <sheetName val="hs_str"/>
      <sheetName val="HS-Divisi 3"/>
      <sheetName val="struktur"/>
      <sheetName val="AHSP"/>
      <sheetName val="Appendix 2(SatDas)"/>
      <sheetName val="NP_(4)1"/>
      <sheetName val="HRG_BHN1"/>
      <sheetName val="Analisa_&amp;_Upah1"/>
      <sheetName val="AN__TAMPL1"/>
      <sheetName val="Bill_Of_Quantity1"/>
      <sheetName val="NS_GD_UGD1"/>
      <sheetName val="STD_GD_UGD1"/>
      <sheetName val="harga_bahan1"/>
      <sheetName val="MAIN_BQ1"/>
      <sheetName val="Harsat_BHN_AR,M1"/>
      <sheetName val="DRUP_(ASLI)1"/>
      <sheetName val="BQ_AC_FAN1"/>
      <sheetName val="iTEM_hARSAT1"/>
      <sheetName val="NS_GD_UTAMA1"/>
      <sheetName val="Analisa_21"/>
      <sheetName val="01A-_RAB1"/>
      <sheetName val="GLP_2001"/>
      <sheetName val="Met_Pas_Batu"/>
      <sheetName val="Met__Minor"/>
      <sheetName val="gabungan_(2)"/>
      <sheetName val="Analisa_BOW"/>
      <sheetName val="Galian_batu"/>
      <sheetName val="an_tek_NP"/>
      <sheetName val="rekap_mekanikal"/>
      <sheetName val="meth_hsl_nego"/>
      <sheetName val="BGN_PENUNJANG"/>
      <sheetName val="bukan_PNS"/>
      <sheetName val="RBP-_2"/>
      <sheetName val="OP__ALAT"/>
      <sheetName val="OP__PERJAM"/>
      <sheetName val="B__PERSONIL"/>
      <sheetName val="KAN__LOKAL"/>
      <sheetName val="DRUP__ASLI_1"/>
      <sheetName val="Stden_center1"/>
      <sheetName val="NP_(4)2"/>
      <sheetName val="HRG_BHN2"/>
      <sheetName val="Analisa_&amp;_Upah2"/>
      <sheetName val="AN__TAMPL2"/>
      <sheetName val="Bill_Of_Quantity2"/>
      <sheetName val="NS_GD_UGD2"/>
      <sheetName val="STD_GD_UGD2"/>
      <sheetName val="harga_bahan2"/>
      <sheetName val="MAIN_BQ2"/>
      <sheetName val="Harsat_BHN_AR,M2"/>
      <sheetName val="DRUP_(ASLI)2"/>
      <sheetName val="BQ_AC_FAN2"/>
      <sheetName val="ANLS__BETON_R__KELAS1"/>
      <sheetName val="iTEM_hARSAT2"/>
      <sheetName val="NS_GD_UTAMA2"/>
      <sheetName val="Analisa_22"/>
      <sheetName val="01A-_RAB2"/>
      <sheetName val="RKP_PLUMBING1"/>
      <sheetName val="rab_-_persiapan_&amp;_lantai-11"/>
      <sheetName val="Anl_+1"/>
      <sheetName val="ELEC_STIS1"/>
      <sheetName val="Analis_Kusen_1_ESKALASI1"/>
      <sheetName val="Tata_Udara1"/>
      <sheetName val="DAFTAR_HARGA1"/>
      <sheetName val="Data_Upah1"/>
      <sheetName val="Supl_X1"/>
      <sheetName val="box_culvert1"/>
      <sheetName val="Ahs_21"/>
      <sheetName val="Ahs_11"/>
      <sheetName val="Analisa_Harga_Satuan1"/>
      <sheetName val="_1"/>
      <sheetName val="Daftar_berat1"/>
      <sheetName val="AHS_-_Sipil1"/>
      <sheetName val="EXTERNAL_WORK1"/>
      <sheetName val="data_RSUD_KIS1"/>
      <sheetName val="RAB_AR&amp;STR1"/>
      <sheetName val="NP_(2)1"/>
      <sheetName val="Analisa_Satuan1"/>
      <sheetName val="1_B1"/>
      <sheetName val="Isolasi_Luar_Dalam1"/>
      <sheetName val="Isolasi_Luar1"/>
      <sheetName val="GLP_20011"/>
      <sheetName val="Met_Pas_Batu1"/>
      <sheetName val="Met__Minor1"/>
      <sheetName val="KR_Luar1"/>
      <sheetName val="REF_ONLY1"/>
      <sheetName val="gabungan_(2)1"/>
      <sheetName val="Analisa_BOW1"/>
      <sheetName val="Galian_batu1"/>
      <sheetName val="Fill_this_out_first___1"/>
      <sheetName val="an_tek_NP1"/>
      <sheetName val="Pintu_Jendela1"/>
      <sheetName val="NP_(3)1"/>
      <sheetName val="rekap_mekanikal1"/>
      <sheetName val="meth_hsl_nego1"/>
      <sheetName val="BGN_PENUNJANG1"/>
      <sheetName val="bukan_PNS1"/>
      <sheetName val="RBP-_21"/>
      <sheetName val="OP__ALAT1"/>
      <sheetName val="OP__PERJAM1"/>
      <sheetName val="B__PERSONIL1"/>
      <sheetName val="KAN__LOKAL1"/>
      <sheetName val="GRAPMARS"/>
      <sheetName val="?0?1?0?0?0?1??6?0?¯耀㣋?????_x000"/>
      <sheetName val="_x005f_x0000_¯??_x005f_x0000__x005f_x0000__x005f_x0000_"/>
      <sheetName val="Perm. Test"/>
      <sheetName val="Hardas"/>
      <sheetName val="NP2"/>
      <sheetName val="_0_1_0_0_0_1__6_0_¯________x0001____ÿ"/>
      <sheetName val="_¯________x0001____ÿ___English_ENW_en"/>
      <sheetName val="?0?1?0?0?0?1??6?0?¯???????_x000"/>
      <sheetName val="?¯???????_x005f_x0001_???ÿ???English?"/>
      <sheetName val="__"/>
      <sheetName val="____"/>
      <sheetName val="Bill rekap"/>
      <sheetName val="Bill of Qty"/>
      <sheetName val="Harga Satuan"/>
      <sheetName val="SPEC"/>
      <sheetName val="PESANTREN"/>
      <sheetName val="G"/>
      <sheetName val="Curup"/>
      <sheetName val="Prabu"/>
      <sheetName val="On Time"/>
      <sheetName val="BoQA"/>
      <sheetName val="List Material"/>
      <sheetName val="Budget"/>
      <sheetName val="daftar harga satuan"/>
      <sheetName val="Hrg"/>
      <sheetName val="Sat. Pek."/>
      <sheetName val="Alat (2)"/>
      <sheetName val="Input Data"/>
      <sheetName val="An-2"/>
      <sheetName val="An-4"/>
      <sheetName val="FINISHING"/>
      <sheetName val="HrgBahan"/>
      <sheetName val="metode"/>
      <sheetName val="bahan upah"/>
      <sheetName val="an. major"/>
      <sheetName val="Upah Baha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onitor"/>
      <sheetName val="Agregat Halus &amp; Kasar"/>
      <sheetName val="Rutin"/>
      <sheetName val="BOOQ"/>
      <sheetName val="9"/>
      <sheetName val="BAG-III"/>
      <sheetName val="_x0000_¯___x0000__x0000__x0000_"/>
      <sheetName val="_x005f_x0000_0_x005f_x0000_1_x0"/>
      <sheetName val="_¯________x0001____ÿ___English_"/>
      <sheetName val="_x005f_x0000_¯___x005f_x0000__x"/>
      <sheetName val="_x005f_x005f_x005f_x0000_0_x005"/>
      <sheetName val="_¯________x005f_x0001____ÿ___En"/>
      <sheetName val="div.2"/>
      <sheetName val="div.3 Tanah"/>
      <sheetName val="div.4 Sirtu"/>
      <sheetName val="div.5"/>
      <sheetName val="div.7 Beton"/>
      <sheetName val="div.8"/>
      <sheetName val="6-AGREGAT"/>
      <sheetName val="HB_3"/>
      <sheetName val="Bill_of_Qty_MEP"/>
      <sheetName val="Anls_teknis"/>
      <sheetName val="Analisa_RAP"/>
      <sheetName val="Alat_B"/>
      <sheetName val="Bahan_B"/>
      <sheetName val="Upah_B"/>
      <sheetName val="Analisa_RAB"/>
      <sheetName val="Prod_15-5"/>
      <sheetName val="UNIT_PRICE"/>
      <sheetName val="Form_A"/>
      <sheetName val="Blk-Mnl_lt_3-lt_atap"/>
      <sheetName val="RKP__TOTAL"/>
      <sheetName val="B_as"/>
      <sheetName val="?0?1?0?0?0?1??6?0?¯耀㣋???????耀ÿ"/>
      <sheetName val="Input_monthly_capex"/>
      <sheetName val="DAF_3_1"/>
      <sheetName val="DAF_3_11"/>
      <sheetName val="01000160¯???ÿ"/>
      <sheetName val="¯???ÿ??EnglishENWen"/>
      <sheetName val="KONTRAK_INDUK_BULANAN"/>
      <sheetName val="HRG_BAHAN_&amp;_UPAH_okk"/>
      <sheetName val="Analis_Kusen_okk"/>
      <sheetName val="ANALISA_PEK_UMUM"/>
      <sheetName val="Bill_5_Summary"/>
      <sheetName val="Bill_4_Summary"/>
      <sheetName val="Investment_Valuation"/>
      <sheetName val="Cabling_Data&amp;Power"/>
      <sheetName val="MARK_UP"/>
      <sheetName val="010"/>
      <sheetName val="F_ALARM"/>
      <sheetName val="Analisa_Harga"/>
      <sheetName val="_0_1_0_0_0_1__6_0_¯耀㣋_______耀ÿ"/>
      <sheetName val="5_Anhas"/>
      <sheetName val="Analisa_Upah_&amp;_Bahan_Plum"/>
      <sheetName val="BQ__AC"/>
      <sheetName val="rincian_per_proyek"/>
      <sheetName val="A+Supl_"/>
      <sheetName val="rek_ME"/>
      <sheetName val="Agregat_Halus_&amp;_Kasar"/>
      <sheetName val="a.2"/>
      <sheetName val="Hrg Sat"/>
      <sheetName val="DATAOKT"/>
      <sheetName val="BUSWAY"/>
      <sheetName val="analisa Str"/>
      <sheetName val="610.07A"/>
      <sheetName val="Data WI"/>
      <sheetName val="AN-MAJOR"/>
      <sheetName val="An_pdkg"/>
      <sheetName val="Prs"/>
      <sheetName val="prd01-5"/>
      <sheetName val="SDMTA"/>
      <sheetName val="Kuantitas &amp; Harga"/>
      <sheetName val="Rekap Analisa"/>
      <sheetName val="DashBoard"/>
      <sheetName val="Har Sat"/>
      <sheetName val="610.05"/>
      <sheetName val="610.06"/>
      <sheetName val="610.07"/>
      <sheetName val="610.08"/>
      <sheetName val="ANTEK"/>
      <sheetName val="610.04"/>
      <sheetName val="BETON"/>
      <sheetName val="MPU. 6-3(4).LastonAC"/>
      <sheetName val="Data Info"/>
      <sheetName val="bahan dan upah"/>
      <sheetName val="MAP2"/>
      <sheetName val="anal-mpu"/>
      <sheetName val="Hsat1"/>
      <sheetName val="OwnEq"/>
      <sheetName val="일위대가목차"/>
      <sheetName val="BoQ Total_lama"/>
      <sheetName val="HARGA DSR"/>
      <sheetName val="Abpek"/>
      <sheetName val="SAT.UPAH"/>
      <sheetName val="Kode"/>
      <sheetName val="Hst_mat"/>
      <sheetName val="DIV 7"/>
      <sheetName val="Bongkar"/>
      <sheetName val="Lead Schedule"/>
      <sheetName val="Manual"/>
      <sheetName val="PP"/>
      <sheetName val="AnalAdjust"/>
      <sheetName val="H_Satuan5"/>
      <sheetName val="mob__dem4"/>
      <sheetName val="pek__tanah4"/>
      <sheetName val="k__batu_kali4"/>
      <sheetName val="Analisa_&amp;_Upah3"/>
      <sheetName val="AN__TAMPL3"/>
      <sheetName val="Bill_Of_Quantity3"/>
      <sheetName val="NP_(4)3"/>
      <sheetName val="DRUP__ASLI_2"/>
      <sheetName val="Stden_center2"/>
      <sheetName val="HRG_BHN3"/>
      <sheetName val="DRUP_(ASLI)3"/>
      <sheetName val="NS_GD_UGD3"/>
      <sheetName val="STD_GD_UGD3"/>
      <sheetName val="harga_bahan3"/>
      <sheetName val="MAIN_BQ3"/>
      <sheetName val="Harsat_BHN_AR,M3"/>
      <sheetName val="BQ_AC_FAN3"/>
      <sheetName val="01A-_RAB3"/>
      <sheetName val="Anl_+2"/>
      <sheetName val="iTEM_hARSAT3"/>
      <sheetName val="box_culvert2"/>
      <sheetName val="NS_GD_UTAMA3"/>
      <sheetName val="Analisa_23"/>
      <sheetName val="rab_-_persiapan_&amp;_lantai-12"/>
      <sheetName val="NP_(2)2"/>
      <sheetName val="data_RSUD_KIS2"/>
      <sheetName val="Analis_Kusen_1_ESKALASI2"/>
      <sheetName val="EXTERNAL_WORK2"/>
      <sheetName val="RAB_AR&amp;STR2"/>
      <sheetName val="Analisa_Satuan2"/>
      <sheetName val="Fill_this_out_first___2"/>
      <sheetName val="ELEC_STIS2"/>
      <sheetName val="RKP_PLUMBING2"/>
      <sheetName val="Supl_X2"/>
      <sheetName val="DAFTAR_HARGA2"/>
      <sheetName val="Ahs_22"/>
      <sheetName val="Ahs_12"/>
      <sheetName val="Analisa_Harga_Satuan2"/>
      <sheetName val="gabungan_(2)2"/>
      <sheetName val="Galian_batu2"/>
      <sheetName val="meth_hsl_nego2"/>
      <sheetName val="REF_ONLY2"/>
      <sheetName val="KR_Luar2"/>
      <sheetName val="GLP_20012"/>
      <sheetName val="Met_Pas_Batu2"/>
      <sheetName val="Met__Minor2"/>
      <sheetName val="1_B2"/>
      <sheetName val="Daftar_berat2"/>
      <sheetName val="Data_Upah2"/>
      <sheetName val="Bill_of_Qty_MEP2"/>
      <sheetName val="_2"/>
      <sheetName val="Pintu_Jendela2"/>
      <sheetName val="rekap_mekanikal2"/>
      <sheetName val="Isolasi_Luar_Dalam2"/>
      <sheetName val="Isolasi_Luar2"/>
      <sheetName val="AHS_-_Sipil2"/>
      <sheetName val="ANLS__BETON_R__KELAS2"/>
      <sheetName val="NP_(3)2"/>
      <sheetName val="BGN_PENUNJANG2"/>
      <sheetName val="Analisa_BOW2"/>
      <sheetName val="Form_A2"/>
      <sheetName val="KONTRAK_INDUK_BULANAN2"/>
      <sheetName val="RKP__TOTAL2"/>
      <sheetName val="B_as2"/>
      <sheetName val="Prod_15-52"/>
      <sheetName val="Bill_of_Qty_MEP1"/>
      <sheetName val="Form_A1"/>
      <sheetName val="KONTRAK_INDUK_BULANAN1"/>
      <sheetName val="RKP__TOTAL1"/>
      <sheetName val="B_as1"/>
      <sheetName val="Prod_15-51"/>
      <sheetName val="Analisa HSP"/>
      <sheetName val="7.PEK-STRUKTUR"/>
      <sheetName val="Harga Baru"/>
      <sheetName val="PkRp"/>
      <sheetName val="Hg.Sat"/>
      <sheetName val="Input T. Schedule"/>
      <sheetName val="Galian"/>
      <sheetName val="AC-WC"/>
      <sheetName val="Cold Miling"/>
      <sheetName val="Daftar Upah,Bhn,&amp; alat"/>
      <sheetName val="10"/>
      <sheetName val="5"/>
      <sheetName val="01000160¯___ÿ"/>
      <sheetName val="¯___ÿ__EnglishENWen"/>
      <sheetName val="Rekap 1"/>
      <sheetName val="D HARGA"/>
      <sheetName val="RATE&amp;FCTR"/>
      <sheetName val="analisa (2)"/>
      <sheetName val="An str"/>
      <sheetName val="BOQ건축"/>
      <sheetName val="PLANT"/>
      <sheetName val="Engine"/>
      <sheetName val="RPP01-5"/>
      <sheetName val="DaftarHarga"/>
      <sheetName val="AC unit"/>
      <sheetName val="EL acc"/>
      <sheetName val="EL lamp"/>
      <sheetName val="EL outlet"/>
      <sheetName val="Chiller acc"/>
      <sheetName val="Pipa PL"/>
      <sheetName val="PK acc"/>
      <sheetName val="PL acc"/>
      <sheetName val="PK valve"/>
      <sheetName val="PL valve"/>
      <sheetName val="AC valve"/>
      <sheetName val="PK pipe"/>
      <sheetName val="EL kabel"/>
      <sheetName val="AC power"/>
      <sheetName val="EL tray"/>
      <sheetName val="PL power"/>
      <sheetName val="PL unit"/>
      <sheetName val="PK unit"/>
      <sheetName val="EL arde"/>
      <sheetName val="DafHrgSatuan"/>
      <sheetName val="hst  LAMP_1"/>
      <sheetName val="5.1.ELEKTRIKAL-ELEKTRONIK"/>
      <sheetName val="har-sat"/>
      <sheetName val="Meto"/>
      <sheetName val="TRNS-C1"/>
      <sheetName val="7"/>
      <sheetName val="_x005f_x005f_x005f_x005f_x005f_x005f_x005f_x0000_0_x005"/>
      <sheetName val="_x005f_x005f_x005f_x0000_¯??_x005f_x005f_x005f_x0000__x"/>
      <sheetName val="O&amp;O"/>
      <sheetName val="ANALISA EDIT"/>
      <sheetName val="ASEM내역"/>
      <sheetName val="DAF-9"/>
      <sheetName val="_¯________x005f_x005f_x005f_x0001____ÿ___En"/>
      <sheetName val="_x005f_x005f_x005f_x0000_¯___x005f_x005f_x005f_x0000__x"/>
      <sheetName val="Rek Tot"/>
      <sheetName val="CODE"/>
      <sheetName val="Analysis"/>
      <sheetName val="civil-work"/>
      <sheetName val="Watertank"/>
      <sheetName val="SDM"/>
      <sheetName val="tifico"/>
      <sheetName val="_x005f"/>
      <sheetName val="DIV 6"/>
      <sheetName val="Parameter"/>
      <sheetName val="Analisa K"/>
      <sheetName val="Unit Rate"/>
      <sheetName val="BAHAN (2)"/>
      <sheetName val=" "/>
      <sheetName val="Tray&amp;Ladder"/>
      <sheetName val="Duct"/>
      <sheetName val="Other"/>
      <sheetName val="_x005f_x005f_x005f_x005f_x005f_x005f_x005f_x005f_x005f_x005f_"/>
      <sheetName val="_x005f_x005f_x005f_x005f_x005f_x005f_x005f_x0000_¯??_x0"/>
      <sheetName val="BQ External"/>
      <sheetName val="Material&amp;Upah"/>
      <sheetName val="ANAL_P4"/>
      <sheetName val="DATA_2009"/>
      <sheetName val="RWD-02"/>
      <sheetName val="WT-LIST"/>
      <sheetName val="DIV.9"/>
      <sheetName val="HARGA DASAR"/>
      <sheetName val="UP_an"/>
      <sheetName val="RAB FULL"/>
      <sheetName val="anal rinci"/>
      <sheetName val="SCHEDULE"/>
      <sheetName val="Luas-Tot"/>
      <sheetName val="DKH"/>
      <sheetName val="Du_lieu"/>
      <sheetName val="EQ"/>
      <sheetName val="Assumptions"/>
      <sheetName val="TRBP"/>
      <sheetName val="Tariptunda"/>
      <sheetName val="Tanah"/>
      <sheetName val="UBA RAB"/>
      <sheetName val="?0?1?0?"/>
      <sheetName val="Pt"/>
      <sheetName val="mu"/>
      <sheetName val="Harga Satuan Bahan "/>
      <sheetName val="Blk-Mnl"/>
      <sheetName val="Exch.rate"/>
      <sheetName val="7.1(3)"/>
      <sheetName val="PRICE"/>
      <sheetName val="JobDetails"/>
      <sheetName val="Aspal"/>
      <sheetName val="2.2"/>
      <sheetName val="perkerasan rigid"/>
      <sheetName val="HargaDasar"/>
      <sheetName val="B"/>
      <sheetName val="Analisa.Hourly"/>
      <sheetName val="Rek.Analisa"/>
      <sheetName val="chitimc"/>
      <sheetName val="dongia (2)"/>
      <sheetName val="LKVL-CK-HT-GD1"/>
      <sheetName val="lam-moi"/>
      <sheetName val="THPDMoi  (2)"/>
      <sheetName val="k300 123"/>
      <sheetName val="H_S_BAHAN"/>
      <sheetName val="arab"/>
      <sheetName val="giathanh1"/>
      <sheetName val="Cash Flow bulanan"/>
      <sheetName val="RAB.SEKRETARIAT (1)"/>
      <sheetName val="H. Sat"/>
      <sheetName val="Cash2"/>
      <sheetName val="DAF.HRG"/>
      <sheetName val="FIRE FIGHTING"/>
      <sheetName val="TL"/>
      <sheetName val="3.1 (1) CS"/>
      <sheetName val="Data Masukan"/>
      <sheetName val="Fisik 2012"/>
      <sheetName val="Pek. Persiapan"/>
      <sheetName val="Rekap Anl.K"/>
      <sheetName val="Rekap Anl.SNI"/>
      <sheetName val="mc adam"/>
      <sheetName val="ps batu&amp;brjg"/>
      <sheetName val="Rekap Biaya"/>
      <sheetName val="ANALHASA"/>
      <sheetName val="BoQ(APBN)"/>
      <sheetName val="INDEKS"/>
      <sheetName val="JABATAN"/>
      <sheetName val="An. Alat"/>
      <sheetName val="DAF-BAHAN"/>
      <sheetName val="DAF-UPAH"/>
      <sheetName val="PileCap"/>
      <sheetName val="Analisa SNI"/>
      <sheetName val="JUMLAHAN TOTAL "/>
      <sheetName val="Transfer Pump"/>
      <sheetName val="Daf.Dasar Upah&amp;Bahan"/>
      <sheetName val="skenario"/>
      <sheetName val="ANALISA SM"/>
      <sheetName val="Spek Fin "/>
      <sheetName val="REKAP TOTAL"/>
      <sheetName val="Luas Bangunan"/>
      <sheetName val="Spek ME"/>
      <sheetName val="Arsitektur"/>
      <sheetName val="Bank"/>
      <sheetName val="Bunga"/>
      <sheetName val="Mark-up"/>
      <sheetName val="Valve PL"/>
      <sheetName val="Peralatan PL"/>
      <sheetName val="F1c DATA ADM6"/>
      <sheetName val="Galian 1"/>
      <sheetName val="402"/>
      <sheetName val="beam"/>
      <sheetName val="KJ 2002"/>
      <sheetName val="Calculation Sheet"/>
      <sheetName val="STR(CANCEL)"/>
      <sheetName val="상반기손익차2총괄"/>
      <sheetName val="PENGADAAN"/>
      <sheetName val="REF HARGA DASAR 2016"/>
      <sheetName val="적용환율"/>
      <sheetName val="List_of_Eqp"/>
      <sheetName val="ANALISA_ALAT_BERAT"/>
      <sheetName val="Anl_2s_d4e"/>
      <sheetName val="bhn_FINAL"/>
      <sheetName val="Mk_Minor"/>
      <sheetName val="Master_Edit"/>
      <sheetName val="HARGA_MATERIAL"/>
      <sheetName val="Rekap_Direct_Cost"/>
      <sheetName val="Analisa_-Baku"/>
      <sheetName val="3_1_2a"/>
      <sheetName val="3_1_1a"/>
      <sheetName val="Urai___Guide_Post"/>
      <sheetName val="Urai_Galian_Tanah"/>
      <sheetName val="Man_Power"/>
      <sheetName val="D6_(2)"/>
      <sheetName val="Lead_Schedule"/>
      <sheetName val="PLINT_3_1_G"/>
      <sheetName val="NS_Lanjutan"/>
      <sheetName val="STD_Lanjutan"/>
      <sheetName val="?0?1?0?0?0?1??6?0?¯??????????ÿ"/>
      <sheetName val="?¯??????????ÿ???English?ENW?en"/>
      <sheetName val="DAFT_HARG_SAT_PEK_"/>
      <sheetName val="DAFT_ALAT,UPAH_&amp;_MAT"/>
      <sheetName val="HB_4"/>
      <sheetName val="5_Anhas1"/>
      <sheetName val="Analisa_Upah_&amp;_Bahan_Plum1"/>
      <sheetName val="Bill_5_Summary1"/>
      <sheetName val="Bill_4_Summary1"/>
      <sheetName val="DAF_3_12"/>
      <sheetName val="DAF_3_111"/>
      <sheetName val="ANALISA_PEK_UMUM1"/>
      <sheetName val="UNIT_PRICE1"/>
      <sheetName val="Anls_teknis1"/>
      <sheetName val="Investment_Valuation1"/>
      <sheetName val="Cabling_Data&amp;Power1"/>
      <sheetName val="Blk-Mnl_lt_3-lt_atap1"/>
      <sheetName val="Alat_B1"/>
      <sheetName val="Bahan_B1"/>
      <sheetName val="Upah_B1"/>
      <sheetName val="BQ__AC1"/>
      <sheetName val="rincian_per_proyek1"/>
      <sheetName val="HRG_BAHAN_&amp;_UPAH_okk1"/>
      <sheetName val="Analis_Kusen_okk1"/>
      <sheetName val="A+Supl_1"/>
      <sheetName val="rek_ME1"/>
      <sheetName val="Input_monthly_capex1"/>
      <sheetName val="Analisa_RAP1"/>
      <sheetName val="Analisa_RAB1"/>
      <sheetName val="List_of_Eqp1"/>
      <sheetName val="MARK_UP1"/>
      <sheetName val="ANALISA_ALAT_BERAT1"/>
      <sheetName val="Anl_2s_d4e1"/>
      <sheetName val="bhn_FINAL1"/>
      <sheetName val="Mk_Minor1"/>
      <sheetName val="Master_Edit1"/>
      <sheetName val="HARGA_MATERIAL1"/>
      <sheetName val="Rekap_Direct_Cost1"/>
      <sheetName val="Analisa_-Baku1"/>
      <sheetName val="3_1_2a1"/>
      <sheetName val="3_1_1a1"/>
      <sheetName val="Urai___Guide_Post1"/>
      <sheetName val="Urai_Galian_Tanah1"/>
      <sheetName val="F_ALARM1"/>
      <sheetName val="Analisa_Harga1"/>
      <sheetName val="Man_Power1"/>
      <sheetName val="D6_(2)1"/>
      <sheetName val="Lead_Schedule1"/>
      <sheetName val="PLINT_3_1_G1"/>
      <sheetName val="NS_Lanjutan1"/>
      <sheetName val="STD_Lanjutan1"/>
      <sheetName val="DAFT_HARG_SAT_PEK_1"/>
      <sheetName val="DAFT_ALAT,UPAH_&amp;_MAT1"/>
      <sheetName val="AHS-1"/>
      <sheetName val="LAL - PASAR PAGI "/>
      <sheetName val="Fill this out first___"/>
      <sheetName val="FRM-00"/>
      <sheetName val="BBM-03"/>
      <sheetName val="Rekap Addendum"/>
      <sheetName val="HargaSat"/>
      <sheetName val="1.GasAcct"/>
      <sheetName val="RANGE"/>
      <sheetName val="Cover1"/>
      <sheetName val="Umum"/>
      <sheetName val="Harga Sat Dasar"/>
      <sheetName val="ARP-10"/>
      <sheetName val="DIVISI 3"/>
      <sheetName val="Div.7.2"/>
      <sheetName val="Hargamat"/>
      <sheetName val="hsp-STR-ARS"/>
      <sheetName val="sheet 2"/>
      <sheetName val="RAB ME"/>
      <sheetName val="Summary Sheets"/>
      <sheetName val="H_Satuan6"/>
      <sheetName val="mob__dem5"/>
      <sheetName val="pek__tanah5"/>
      <sheetName val="k__batu_kali5"/>
      <sheetName val="HB_5"/>
      <sheetName val="01A-_RAB4"/>
      <sheetName val="Analisa_ME4"/>
      <sheetName val="harga_bahan4"/>
      <sheetName val="rab_me_(by_owner)_4"/>
      <sheetName val="BQ_(by_owner)4"/>
      <sheetName val="rab_me_(fisik)4"/>
      <sheetName val="Anl_+3"/>
      <sheetName val="Analisa_&amp;_Upah4"/>
      <sheetName val="AN__TAMPL4"/>
      <sheetName val="Bill_Of_Quantity4"/>
      <sheetName val="NP_(4)4"/>
      <sheetName val="HRG_BHN4"/>
      <sheetName val="BQ_AC_FAN4"/>
      <sheetName val="DRUP_(ASLI)4"/>
      <sheetName val="MAIN_BQ4"/>
      <sheetName val="Harsat_BHN_AR,M4"/>
      <sheetName val="Analis_Kusen_1_ESKALASI3"/>
      <sheetName val="Analisa_24"/>
      <sheetName val="NS_GD_UGD4"/>
      <sheetName val="STD_GD_UGD4"/>
      <sheetName val="NS_GD_UTAMA4"/>
      <sheetName val="rab_-_persiapan_&amp;_lantai-13"/>
      <sheetName val="RKP_PLUMBING3"/>
      <sheetName val="ELEC_STIS3"/>
      <sheetName val="DAFTAR_HARGA3"/>
      <sheetName val="iTEM_hARSAT4"/>
      <sheetName val="Ahs_23"/>
      <sheetName val="Ahs_13"/>
      <sheetName val="KR_Luar3"/>
      <sheetName val="Supl_X3"/>
      <sheetName val="DRUP__ASLI_3"/>
      <sheetName val="Stden_center3"/>
      <sheetName val="REF_ONLY3"/>
      <sheetName val="Daftar_berat3"/>
      <sheetName val="Pintu_Jendela3"/>
      <sheetName val="meth_hsl_nego3"/>
      <sheetName val="box_culvert3"/>
      <sheetName val="Analisa_Harga_Satuan3"/>
      <sheetName val="Data_Upah3"/>
      <sheetName val="AHS_-_Sipil3"/>
      <sheetName val="EXTERNAL_WORK3"/>
      <sheetName val="data_RSUD_KIS3"/>
      <sheetName val="RAB_AR&amp;STR3"/>
      <sheetName val="NP_(2)3"/>
      <sheetName val="Analisa_Satuan3"/>
      <sheetName val="1_B3"/>
      <sheetName val="ANLS__BETON_R__KELAS3"/>
      <sheetName val="DC-akses_bandara4"/>
      <sheetName val="Fill_this_out_first___3"/>
      <sheetName val="Isolasi_Luar_Dalam3"/>
      <sheetName val="Isolasi_Luar3"/>
      <sheetName val="NP_(3)3"/>
      <sheetName val="GLP_20013"/>
      <sheetName val="Met_Pas_Batu3"/>
      <sheetName val="Met__Minor3"/>
      <sheetName val="_3"/>
      <sheetName val="rekap_mekanikal3"/>
      <sheetName val="BGN_PENUNJANG3"/>
      <sheetName val="Bill_of_Qty_MEP3"/>
      <sheetName val="Form_A3"/>
      <sheetName val="gabungan_(2)3"/>
      <sheetName val="Galian_batu3"/>
      <sheetName val="RKP__TOTAL3"/>
      <sheetName val="B_as3"/>
      <sheetName val="KONTRAK_INDUK_BULANAN3"/>
      <sheetName val="Analisa_BOW3"/>
      <sheetName val="5_Anhas2"/>
      <sheetName val="Tata_Udara2"/>
      <sheetName val="DAF_3_13"/>
      <sheetName val="DAF_3_112"/>
      <sheetName val="ANALISA_PEK_UMUM2"/>
      <sheetName val="UNIT_PRICE2"/>
      <sheetName val="Analisa_Upah_&amp;_Bahan_Plum2"/>
      <sheetName val="Bill_5_Summary2"/>
      <sheetName val="Bill_4_Summary2"/>
      <sheetName val="Anls_teknis2"/>
      <sheetName val="Blk-Mnl_lt_3-lt_atap2"/>
      <sheetName val="Investment_Valuation2"/>
      <sheetName val="Cabling_Data&amp;Power2"/>
      <sheetName val="Alat_B2"/>
      <sheetName val="Bahan_B2"/>
      <sheetName val="Upah_B2"/>
      <sheetName val="an_tek_NP2"/>
      <sheetName val="BQ__AC2"/>
      <sheetName val="rincian_per_proyek2"/>
      <sheetName val="A+Supl_2"/>
      <sheetName val="HRG_BAHAN_&amp;_UPAH_okk2"/>
      <sheetName val="Analis_Kusen_okk2"/>
      <sheetName val="rek_ME2"/>
      <sheetName val="RBP-_22"/>
      <sheetName val="OP__ALAT2"/>
      <sheetName val="OP__PERJAM2"/>
      <sheetName val="B__PERSONIL2"/>
      <sheetName val="KAN__LOKAL2"/>
      <sheetName val="bukan_PNS2"/>
      <sheetName val="Input_monthly_capex2"/>
      <sheetName val="Prod_15-53"/>
      <sheetName val="Analisa_RAP2"/>
      <sheetName val="Analisa_RAB2"/>
      <sheetName val="List_of_Eqp2"/>
      <sheetName val="MARK_UP2"/>
      <sheetName val="ANALISA_ALAT_BERAT2"/>
      <sheetName val="Anl_2s_d4e2"/>
      <sheetName val="bhn_FINAL2"/>
      <sheetName val="Mk_Minor2"/>
      <sheetName val="Master_Edit2"/>
      <sheetName val="HARGA_MATERIAL2"/>
      <sheetName val="Rekap_Direct_Cost2"/>
      <sheetName val="Analisa_-Baku2"/>
      <sheetName val="Urai___Guide_Post2"/>
      <sheetName val="Urai_Galian_Tanah2"/>
      <sheetName val="3_1_2a2"/>
      <sheetName val="3_1_1a2"/>
      <sheetName val="F_ALARM2"/>
      <sheetName val="Analisa_Harga2"/>
      <sheetName val="PLINT_3_1_G2"/>
      <sheetName val="NS_Lanjutan2"/>
      <sheetName val="STD_Lanjutan2"/>
      <sheetName val="D6_(2)2"/>
      <sheetName val="Man_Power2"/>
      <sheetName val="Lead_Schedule2"/>
      <sheetName val="DAFT_HARG_SAT_PEK_2"/>
      <sheetName val="DAFT_ALAT,UPAH_&amp;_MAT2"/>
      <sheetName val="Analis_Tambahan"/>
      <sheetName val="pelita_lapen"/>
      <sheetName val="Daftar_Upah"/>
      <sheetName val="Urai__Resap_pengikat"/>
      <sheetName val="01_FA"/>
      <sheetName val="BQ_jln"/>
      <sheetName val="BQ_jem"/>
      <sheetName val="Appendix_2(SatDas)"/>
      <sheetName val="DIV_7"/>
      <sheetName val="Agregat_Halus_&amp;_Kasar1"/>
      <sheetName val="HS-Divisi_3"/>
      <sheetName val="daftar_harga_satuan"/>
      <sheetName val="analisa_(2)"/>
      <sheetName val="Hua_Yang_Quarterly"/>
      <sheetName val="An_2"/>
      <sheetName val="On_Time"/>
      <sheetName val="List_Material"/>
      <sheetName val="Perm__Test"/>
      <sheetName val="Hrg_Sat"/>
      <sheetName val="F1c_DATA_ADM6"/>
      <sheetName val="Galian_1"/>
      <sheetName val="LAL_-_PASAR_PAGI_"/>
      <sheetName val="Fill_this_out_first___4"/>
      <sheetName val="Master_1_0"/>
      <sheetName val="Rekap_Addendum"/>
      <sheetName val="a_2"/>
      <sheetName val="analisa_Str"/>
      <sheetName val="610_07A"/>
      <sheetName val="Harga_Satuan"/>
      <sheetName val="struktur_tdk_dipakai"/>
      <sheetName val="An_str"/>
      <sheetName val="AC_unit"/>
      <sheetName val="EL_acc"/>
      <sheetName val="EL_lamp"/>
      <sheetName val="EL_outlet"/>
      <sheetName val="Chiller_acc"/>
      <sheetName val="Pipa_PL"/>
      <sheetName val="PK_acc"/>
      <sheetName val="PL_acc"/>
      <sheetName val="PK_valve"/>
      <sheetName val="PL_valve"/>
      <sheetName val="AC_valve"/>
      <sheetName val="PK_pipe"/>
      <sheetName val="EL_kabel"/>
      <sheetName val="AC_power"/>
      <sheetName val="EL_tray"/>
      <sheetName val="PL_power"/>
      <sheetName val="PL_unit"/>
      <sheetName val="PK_unit"/>
      <sheetName val="EL_arde"/>
      <sheetName val="Bill_rekap"/>
      <sheetName val="Bill_of_Qty"/>
      <sheetName val="_0_1_0_0_0_1__6_0_¯__________ÿ"/>
      <sheetName val="_¯__________ÿ___English_ENW_en"/>
      <sheetName val="H_Satuan_Dasar"/>
      <sheetName val="Analisa_HSP"/>
      <sheetName val="_¯__________ÿ___English_"/>
      <sheetName val="1_GasAcct"/>
      <sheetName val="Harga_Sat_Dasar"/>
      <sheetName val="RAB-3"/>
      <sheetName val="BUL"/>
      <sheetName val="SUMBER DAYA"/>
      <sheetName val="Volume"/>
      <sheetName val="analis_abow"/>
      <sheetName val="analis_k100"/>
      <sheetName val="analis_k200"/>
      <sheetName val="analis_k400"/>
      <sheetName val="analis_k500"/>
      <sheetName val="plat_duicker"/>
      <sheetName val="materials"/>
      <sheetName val="NP-6"/>
      <sheetName val="HSUMUM.XLS"/>
      <sheetName val="HSTANAH"/>
      <sheetName val="HSBETON"/>
      <sheetName val="DivVII"/>
      <sheetName val="RAB 1 PRABUMULIH LEMBAK KM 330+"/>
      <sheetName val="REKAP THPIII"/>
      <sheetName val="Stdiii"/>
      <sheetName val="NStdiii"/>
      <sheetName val="UT&amp;SDiii"/>
      <sheetName val="DAYA PLN"/>
      <sheetName val="_x0000_¯??_x0000__x0000__x0000_"/>
      <sheetName val="?¯???????_x0001_???ÿ???English?"/>
      <sheetName val="EQ_an"/>
      <sheetName val="D &amp; W sizes"/>
      <sheetName val="_x0000_0_x0000_1_x0"/>
      <sheetName val="_x0000_¯___x0000__x"/>
      <sheetName val="_x005f_x0000_0_x005"/>
      <sheetName val="calc-2"/>
      <sheetName val="ANALISA-HST"/>
      <sheetName val="Hrg Readymix"/>
      <sheetName val="ANLS MPU"/>
      <sheetName val="_x005f_x0000_¯??_x005f_x0000__x"/>
      <sheetName val="_¯________x0001____ÿ___En"/>
      <sheetName val="ANAL RABP"/>
      <sheetName val="AnalisaHS"/>
      <sheetName val="Sal"/>
      <sheetName val="COAT&amp;WRAP-QIOT-#3"/>
      <sheetName val="PNT-QUOT-#3"/>
      <sheetName val="LO"/>
      <sheetName val="Main Office"/>
      <sheetName val="Gali_Sal"/>
      <sheetName val="B-PRICE"/>
      <sheetName val="LS_Rutin"/>
      <sheetName val="4-Basic Price"/>
      <sheetName val="Urugan Pasir"/>
      <sheetName val="Hal.010MUKAMC"/>
      <sheetName val="anl"/>
      <sheetName val="ahs (doors-windows)"/>
      <sheetName val="TA"/>
      <sheetName val="U&amp;B"/>
      <sheetName val="MINAT"/>
      <sheetName val="PO-2"/>
      <sheetName val="HarAlat"/>
      <sheetName val="an.utara"/>
      <sheetName val="rekap-ans"/>
      <sheetName val="ANAL-TRM"/>
      <sheetName val="Peralatan Utama"/>
      <sheetName val="DIV7"/>
      <sheetName val="BLM TERBAYAR"/>
      <sheetName val="CS_SS892"/>
      <sheetName val="CS_SS191"/>
      <sheetName val="CS_SS192"/>
      <sheetName val="CS_SS961"/>
      <sheetName val="CS_SS391"/>
      <sheetName val="CS_SS791"/>
      <sheetName val="CS_SS491"/>
      <sheetName val="CS_SS492"/>
      <sheetName val="MVCable"/>
      <sheetName val="COCable"/>
      <sheetName val="bhn,upah,alat"/>
      <sheetName val="Ans Kom Precast"/>
      <sheetName val="ANAL.BOW"/>
      <sheetName val="Daf.Biaya sewa alat"/>
      <sheetName val="HSD_Alat"/>
      <sheetName val="DI.Gadung-1"/>
      <sheetName val="SAPON"/>
      <sheetName val="BILL"/>
      <sheetName val="breakdown"/>
      <sheetName val="PNT"/>
      <sheetName val="Jenjang_Eselon"/>
      <sheetName val="BYYALAT"/>
      <sheetName val="Koef"/>
      <sheetName val="forml"/>
      <sheetName val="MING I"/>
      <sheetName val="Bangunan Utama"/>
      <sheetName val="4"/>
      <sheetName val="2"/>
      <sheetName val="PERNYATAAN"/>
      <sheetName val="HrgUpahBahan"/>
      <sheetName val="Bill_Qua"/>
      <sheetName val="_x005f_x005f_x005f_x005f_x005f_x005f_x005f_x0000_¯___x0"/>
      <sheetName val="PEK-PERKERASAN"/>
      <sheetName val="PEK ASPAL"/>
      <sheetName val="PEK-STRUKTUR"/>
      <sheetName val="PEK-MINOR"/>
      <sheetName val="di2"/>
      <sheetName val="div71"/>
      <sheetName val="Metod TWR"/>
      <sheetName val="대비표"/>
      <sheetName val="351BQMCN"/>
      <sheetName val="BAHAN &amp; ALAT "/>
      <sheetName val="NS"/>
      <sheetName val="岩性"/>
      <sheetName val="GRAND REKAP"/>
      <sheetName val="resap"/>
      <sheetName val="besi"/>
      <sheetName val="Rigid25"/>
      <sheetName val="gal biasa"/>
      <sheetName val="HARGA PEK"/>
      <sheetName val="BQ-Structur"/>
      <sheetName val="Rekap RAP real (2)"/>
      <sheetName val="3 Koef Alat"/>
      <sheetName val="ALAT1"/>
      <sheetName val="CHART HB AC - WC"/>
      <sheetName val="Daf-Har-Pening"/>
      <sheetName val="div4"/>
      <sheetName val="Harga S Dasar"/>
      <sheetName val="DEPR"/>
      <sheetName val="HARGA (2)"/>
      <sheetName val="ANAL ALAT"/>
      <sheetName val="Upah, alat &amp; harsat"/>
      <sheetName val="STA"/>
      <sheetName val="DSN"/>
      <sheetName val="Drainase"/>
      <sheetName val="Dip-3"/>
      <sheetName val="Div-6"/>
    </sheetNames>
    <sheetDataSet>
      <sheetData sheetId="0" refreshError="1">
        <row r="82">
          <cell r="CF82" t="str">
            <v>Royalties Aggregate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sheetData sheetId="503">
        <row r="82">
          <cell r="CF82" t="str">
            <v>Royalties Aggregate</v>
          </cell>
        </row>
      </sheetData>
      <sheetData sheetId="504">
        <row r="82">
          <cell r="CF82" t="str">
            <v>Royalties Aggregate</v>
          </cell>
        </row>
      </sheetData>
      <sheetData sheetId="505">
        <row r="82">
          <cell r="CF82" t="str">
            <v>Royalties Aggregate</v>
          </cell>
        </row>
      </sheetData>
      <sheetData sheetId="506">
        <row r="82">
          <cell r="CF82" t="str">
            <v>Royalties Aggregate</v>
          </cell>
        </row>
      </sheetData>
      <sheetData sheetId="507">
        <row r="82">
          <cell r="CF82" t="str">
            <v>Royalties Aggregate</v>
          </cell>
        </row>
      </sheetData>
      <sheetData sheetId="508">
        <row r="82">
          <cell r="CF82" t="str">
            <v>Royalties Aggregate</v>
          </cell>
        </row>
      </sheetData>
      <sheetData sheetId="509">
        <row r="82">
          <cell r="CF82" t="str">
            <v>Royalties Aggregate</v>
          </cell>
        </row>
      </sheetData>
      <sheetData sheetId="510">
        <row r="82">
          <cell r="CF82" t="str">
            <v>Royalties Aggregate</v>
          </cell>
        </row>
      </sheetData>
      <sheetData sheetId="511">
        <row r="82">
          <cell r="CF82" t="str">
            <v>Royalties Aggregate</v>
          </cell>
        </row>
      </sheetData>
      <sheetData sheetId="512">
        <row r="82">
          <cell r="CF82" t="str">
            <v>Royalties Aggregate</v>
          </cell>
        </row>
      </sheetData>
      <sheetData sheetId="513">
        <row r="82">
          <cell r="CF82" t="str">
            <v>Royalties Aggregate</v>
          </cell>
        </row>
      </sheetData>
      <sheetData sheetId="514">
        <row r="82">
          <cell r="CF82" t="str">
            <v>Royalties Aggregate</v>
          </cell>
        </row>
      </sheetData>
      <sheetData sheetId="515">
        <row r="82">
          <cell r="CF82" t="str">
            <v>Royalties Aggregate</v>
          </cell>
        </row>
      </sheetData>
      <sheetData sheetId="516">
        <row r="82">
          <cell r="CF82" t="str">
            <v>Royalties Aggregate</v>
          </cell>
        </row>
      </sheetData>
      <sheetData sheetId="517">
        <row r="82">
          <cell r="CF82" t="str">
            <v>Royalties Aggregate</v>
          </cell>
        </row>
      </sheetData>
      <sheetData sheetId="518">
        <row r="82">
          <cell r="CF82" t="str">
            <v>Royalties Aggregate</v>
          </cell>
        </row>
      </sheetData>
      <sheetData sheetId="519">
        <row r="82">
          <cell r="CF82" t="str">
            <v>Royalties Aggregate</v>
          </cell>
        </row>
      </sheetData>
      <sheetData sheetId="520">
        <row r="82">
          <cell r="CF82" t="str">
            <v>Royalties Aggregate</v>
          </cell>
        </row>
      </sheetData>
      <sheetData sheetId="521">
        <row r="82">
          <cell r="CF82" t="str">
            <v>Royalties Aggregate</v>
          </cell>
        </row>
      </sheetData>
      <sheetData sheetId="522">
        <row r="82">
          <cell r="CF82" t="str">
            <v>Royalties Aggregate</v>
          </cell>
        </row>
      </sheetData>
      <sheetData sheetId="523">
        <row r="82">
          <cell r="CF82" t="str">
            <v>Royalties Aggregate</v>
          </cell>
        </row>
      </sheetData>
      <sheetData sheetId="524">
        <row r="82">
          <cell r="CF82" t="str">
            <v>Royalties Aggregate</v>
          </cell>
        </row>
      </sheetData>
      <sheetData sheetId="525">
        <row r="82">
          <cell r="CF82" t="str">
            <v>Royalties Aggregate</v>
          </cell>
        </row>
      </sheetData>
      <sheetData sheetId="526">
        <row r="82">
          <cell r="CF82" t="str">
            <v>Royalties Aggregate</v>
          </cell>
        </row>
      </sheetData>
      <sheetData sheetId="527">
        <row r="82">
          <cell r="CF82" t="str">
            <v>Royalties Aggregate</v>
          </cell>
        </row>
      </sheetData>
      <sheetData sheetId="528">
        <row r="82">
          <cell r="CF82" t="str">
            <v>Royalties Aggregate</v>
          </cell>
        </row>
      </sheetData>
      <sheetData sheetId="529">
        <row r="82">
          <cell r="CF82" t="str">
            <v>Royalties Aggregate</v>
          </cell>
        </row>
      </sheetData>
      <sheetData sheetId="530">
        <row r="82">
          <cell r="CF82" t="str">
            <v>Royalties Aggregate</v>
          </cell>
        </row>
      </sheetData>
      <sheetData sheetId="531">
        <row r="82">
          <cell r="CF82" t="str">
            <v>Royalties Aggregate</v>
          </cell>
        </row>
      </sheetData>
      <sheetData sheetId="532">
        <row r="82">
          <cell r="CF82" t="str">
            <v>Royalties Aggregate</v>
          </cell>
        </row>
      </sheetData>
      <sheetData sheetId="533">
        <row r="82">
          <cell r="CF82" t="str">
            <v>Royalties Aggregate</v>
          </cell>
        </row>
      </sheetData>
      <sheetData sheetId="534">
        <row r="82">
          <cell r="CF82" t="str">
            <v>Royalties Aggregate</v>
          </cell>
        </row>
      </sheetData>
      <sheetData sheetId="535">
        <row r="82">
          <cell r="CF82" t="str">
            <v>Royalties Aggregate</v>
          </cell>
        </row>
      </sheetData>
      <sheetData sheetId="536">
        <row r="82">
          <cell r="CF82" t="str">
            <v>Royalties Aggregate</v>
          </cell>
        </row>
      </sheetData>
      <sheetData sheetId="537">
        <row r="82">
          <cell r="CF82" t="str">
            <v>Royalties Aggregate</v>
          </cell>
        </row>
      </sheetData>
      <sheetData sheetId="538">
        <row r="82">
          <cell r="CF82" t="str">
            <v>Royalties Aggregate</v>
          </cell>
        </row>
      </sheetData>
      <sheetData sheetId="539">
        <row r="82">
          <cell r="CF82" t="str">
            <v>Royalties Aggregate</v>
          </cell>
        </row>
      </sheetData>
      <sheetData sheetId="540">
        <row r="82">
          <cell r="CF82" t="str">
            <v>Royalties Aggregate</v>
          </cell>
        </row>
      </sheetData>
      <sheetData sheetId="541">
        <row r="82">
          <cell r="CF82" t="str">
            <v>Royalties Aggregate</v>
          </cell>
        </row>
      </sheetData>
      <sheetData sheetId="542">
        <row r="82">
          <cell r="CF82" t="str">
            <v>Royalties Aggregate</v>
          </cell>
        </row>
      </sheetData>
      <sheetData sheetId="543">
        <row r="82">
          <cell r="CF82" t="str">
            <v>Royalties Aggregate</v>
          </cell>
        </row>
      </sheetData>
      <sheetData sheetId="544">
        <row r="82">
          <cell r="CF82" t="str">
            <v>Royalties Aggregate</v>
          </cell>
        </row>
      </sheetData>
      <sheetData sheetId="545">
        <row r="82">
          <cell r="CF82" t="str">
            <v>Royalties Aggregate</v>
          </cell>
        </row>
      </sheetData>
      <sheetData sheetId="546">
        <row r="82">
          <cell r="CF82" t="str">
            <v>Royalties Aggregate</v>
          </cell>
        </row>
      </sheetData>
      <sheetData sheetId="547">
        <row r="82">
          <cell r="CF82" t="str">
            <v>Royalties Aggregate</v>
          </cell>
        </row>
      </sheetData>
      <sheetData sheetId="548">
        <row r="82">
          <cell r="CF82" t="str">
            <v>Royalties Aggregate</v>
          </cell>
        </row>
      </sheetData>
      <sheetData sheetId="549">
        <row r="82">
          <cell r="CF82" t="str">
            <v>Royalties Aggregate</v>
          </cell>
        </row>
      </sheetData>
      <sheetData sheetId="550">
        <row r="82">
          <cell r="CF82" t="str">
            <v>Royalties Aggregate</v>
          </cell>
        </row>
      </sheetData>
      <sheetData sheetId="551">
        <row r="82">
          <cell r="CF82" t="str">
            <v>Royalties Aggregate</v>
          </cell>
        </row>
      </sheetData>
      <sheetData sheetId="552">
        <row r="82">
          <cell r="CF82" t="str">
            <v>Royalties Aggregate</v>
          </cell>
        </row>
      </sheetData>
      <sheetData sheetId="553">
        <row r="82">
          <cell r="CF82" t="str">
            <v>Royalties Aggregate</v>
          </cell>
        </row>
      </sheetData>
      <sheetData sheetId="554">
        <row r="82">
          <cell r="CF82" t="str">
            <v>Royalties Aggregate</v>
          </cell>
        </row>
      </sheetData>
      <sheetData sheetId="555">
        <row r="82">
          <cell r="CF82" t="str">
            <v>Royalties Aggregate</v>
          </cell>
        </row>
      </sheetData>
      <sheetData sheetId="556">
        <row r="82">
          <cell r="CF82" t="str">
            <v>Royalties Aggregate</v>
          </cell>
        </row>
      </sheetData>
      <sheetData sheetId="557">
        <row r="82">
          <cell r="CF82" t="str">
            <v>Royalties Aggregate</v>
          </cell>
        </row>
      </sheetData>
      <sheetData sheetId="558">
        <row r="82">
          <cell r="CF82" t="str">
            <v>Royalties Aggregate</v>
          </cell>
        </row>
      </sheetData>
      <sheetData sheetId="559">
        <row r="82">
          <cell r="CF82" t="str">
            <v>Royalties Aggregate</v>
          </cell>
        </row>
      </sheetData>
      <sheetData sheetId="560">
        <row r="82">
          <cell r="CF82" t="str">
            <v>Royalties Aggregate</v>
          </cell>
        </row>
      </sheetData>
      <sheetData sheetId="561">
        <row r="82">
          <cell r="CF82" t="str">
            <v>Royalties Aggregate</v>
          </cell>
        </row>
      </sheetData>
      <sheetData sheetId="562">
        <row r="82">
          <cell r="CF82" t="str">
            <v>Royalties Aggregate</v>
          </cell>
        </row>
      </sheetData>
      <sheetData sheetId="563">
        <row r="82">
          <cell r="CF82" t="str">
            <v>Royalties Aggregate</v>
          </cell>
        </row>
      </sheetData>
      <sheetData sheetId="564">
        <row r="82">
          <cell r="CF82" t="str">
            <v>Royalties Aggregate</v>
          </cell>
        </row>
      </sheetData>
      <sheetData sheetId="565">
        <row r="82">
          <cell r="CF82" t="str">
            <v>Royalties Aggregate</v>
          </cell>
        </row>
      </sheetData>
      <sheetData sheetId="566">
        <row r="82">
          <cell r="CF82" t="str">
            <v>Royalties Aggregate</v>
          </cell>
        </row>
      </sheetData>
      <sheetData sheetId="567">
        <row r="82">
          <cell r="CF82" t="str">
            <v>Royalties Aggregate</v>
          </cell>
        </row>
      </sheetData>
      <sheetData sheetId="568">
        <row r="82">
          <cell r="CF82" t="str">
            <v>Royalties Aggregate</v>
          </cell>
        </row>
      </sheetData>
      <sheetData sheetId="569">
        <row r="82">
          <cell r="CF82" t="str">
            <v>Royalties Aggregate</v>
          </cell>
        </row>
      </sheetData>
      <sheetData sheetId="570">
        <row r="82">
          <cell r="CF82" t="str">
            <v>Royalties Aggregate</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ow r="82">
          <cell r="CF82" t="str">
            <v>Royalties Aggregate</v>
          </cell>
        </row>
      </sheetData>
      <sheetData sheetId="733">
        <row r="82">
          <cell r="CF82" t="str">
            <v>Royalties Aggregate</v>
          </cell>
        </row>
      </sheetData>
      <sheetData sheetId="734">
        <row r="82">
          <cell r="CF82" t="str">
            <v>Royalties Aggregate</v>
          </cell>
        </row>
      </sheetData>
      <sheetData sheetId="735">
        <row r="82">
          <cell r="CF82" t="str">
            <v>Royalties Aggregate</v>
          </cell>
        </row>
      </sheetData>
      <sheetData sheetId="736">
        <row r="82">
          <cell r="CF82" t="str">
            <v>Royalties Aggregate</v>
          </cell>
        </row>
      </sheetData>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ow r="82">
          <cell r="CF82" t="str">
            <v>Royalties Aggregate</v>
          </cell>
        </row>
      </sheetData>
      <sheetData sheetId="959">
        <row r="82">
          <cell r="CF82" t="str">
            <v>Royalties Aggregate</v>
          </cell>
        </row>
      </sheetData>
      <sheetData sheetId="960">
        <row r="82">
          <cell r="CF82" t="str">
            <v>Royalties Aggregate</v>
          </cell>
        </row>
      </sheetData>
      <sheetData sheetId="961">
        <row r="82">
          <cell r="CF82" t="str">
            <v>Royalties Aggregate</v>
          </cell>
        </row>
      </sheetData>
      <sheetData sheetId="962"/>
      <sheetData sheetId="963"/>
      <sheetData sheetId="964">
        <row r="82">
          <cell r="CF82" t="str">
            <v>Royalties Aggregate</v>
          </cell>
        </row>
      </sheetData>
      <sheetData sheetId="965">
        <row r="82">
          <cell r="CF82" t="str">
            <v>Royalties Aggregate</v>
          </cell>
        </row>
      </sheetData>
      <sheetData sheetId="966">
        <row r="82">
          <cell r="CF82" t="str">
            <v>Royalties Aggregate</v>
          </cell>
        </row>
      </sheetData>
      <sheetData sheetId="967">
        <row r="82">
          <cell r="CF82" t="str">
            <v>Royalties Aggregate</v>
          </cell>
        </row>
      </sheetData>
      <sheetData sheetId="968">
        <row r="82">
          <cell r="CF82" t="str">
            <v>Royalties Aggregate</v>
          </cell>
        </row>
      </sheetData>
      <sheetData sheetId="969">
        <row r="82">
          <cell r="CF82" t="str">
            <v>Royalties Aggregate</v>
          </cell>
        </row>
      </sheetData>
      <sheetData sheetId="970">
        <row r="82">
          <cell r="CF82" t="str">
            <v>Royalties Aggregate</v>
          </cell>
        </row>
      </sheetData>
      <sheetData sheetId="971">
        <row r="82">
          <cell r="CF82" t="str">
            <v>Royalties Aggregate</v>
          </cell>
        </row>
      </sheetData>
      <sheetData sheetId="972">
        <row r="82">
          <cell r="CF82" t="str">
            <v>Royalties Aggregate</v>
          </cell>
        </row>
      </sheetData>
      <sheetData sheetId="973">
        <row r="82">
          <cell r="CF82" t="str">
            <v>Royalties Aggregate</v>
          </cell>
        </row>
      </sheetData>
      <sheetData sheetId="974">
        <row r="82">
          <cell r="CF82" t="str">
            <v>Royalties Aggregate</v>
          </cell>
        </row>
      </sheetData>
      <sheetData sheetId="975">
        <row r="82">
          <cell r="CF82" t="str">
            <v>Royalties Aggregate</v>
          </cell>
        </row>
      </sheetData>
      <sheetData sheetId="976"/>
      <sheetData sheetId="977"/>
      <sheetData sheetId="978" refreshError="1"/>
      <sheetData sheetId="979" refreshError="1"/>
      <sheetData sheetId="980">
        <row r="82">
          <cell r="CF82" t="str">
            <v>Royalties Aggregate</v>
          </cell>
        </row>
      </sheetData>
      <sheetData sheetId="981">
        <row r="82">
          <cell r="CF82" t="str">
            <v>Royalties Aggregate</v>
          </cell>
        </row>
      </sheetData>
      <sheetData sheetId="982">
        <row r="82">
          <cell r="CF82" t="str">
            <v>Royalties Aggregate</v>
          </cell>
        </row>
      </sheetData>
      <sheetData sheetId="983">
        <row r="82">
          <cell r="CF82" t="str">
            <v>Royalties Aggregate</v>
          </cell>
        </row>
      </sheetData>
      <sheetData sheetId="984">
        <row r="82">
          <cell r="CF82" t="str">
            <v>Royalties Aggregate</v>
          </cell>
        </row>
      </sheetData>
      <sheetData sheetId="985">
        <row r="82">
          <cell r="CF82" t="str">
            <v>Royalties Aggregate</v>
          </cell>
        </row>
      </sheetData>
      <sheetData sheetId="986">
        <row r="82">
          <cell r="CF82" t="str">
            <v>Royalties Aggregate</v>
          </cell>
        </row>
      </sheetData>
      <sheetData sheetId="987">
        <row r="82">
          <cell r="CF82" t="str">
            <v>Royalties Aggregate</v>
          </cell>
        </row>
      </sheetData>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ow r="82">
          <cell r="CF82" t="str">
            <v>Royalties Aggregate</v>
          </cell>
        </row>
      </sheetData>
      <sheetData sheetId="1065">
        <row r="82">
          <cell r="CF82" t="str">
            <v>Royalties Aggregate</v>
          </cell>
        </row>
      </sheetData>
      <sheetData sheetId="1066">
        <row r="82">
          <cell r="CF82" t="str">
            <v>Royalties Aggregate</v>
          </cell>
        </row>
      </sheetData>
      <sheetData sheetId="1067">
        <row r="82">
          <cell r="CF82" t="str">
            <v>Royalties Aggregate</v>
          </cell>
        </row>
      </sheetData>
      <sheetData sheetId="1068">
        <row r="82">
          <cell r="CF82" t="str">
            <v>Royalties Aggregate</v>
          </cell>
        </row>
      </sheetData>
      <sheetData sheetId="1069">
        <row r="82">
          <cell r="CF82" t="str">
            <v>Royalties Aggregate</v>
          </cell>
        </row>
      </sheetData>
      <sheetData sheetId="1070">
        <row r="82">
          <cell r="CF82" t="str">
            <v>Royalties Aggregate</v>
          </cell>
        </row>
      </sheetData>
      <sheetData sheetId="1071">
        <row r="82">
          <cell r="CF82" t="str">
            <v>Royalties Aggregate</v>
          </cell>
        </row>
      </sheetData>
      <sheetData sheetId="1072">
        <row r="82">
          <cell r="CF82" t="str">
            <v>Royalties Aggregate</v>
          </cell>
        </row>
      </sheetData>
      <sheetData sheetId="1073">
        <row r="82">
          <cell r="CF82" t="str">
            <v>Royalties Aggregate</v>
          </cell>
        </row>
      </sheetData>
      <sheetData sheetId="1074">
        <row r="82">
          <cell r="CF82" t="str">
            <v>Royalties Aggregate</v>
          </cell>
        </row>
      </sheetData>
      <sheetData sheetId="1075">
        <row r="82">
          <cell r="CF82" t="str">
            <v>Royalties Aggregate</v>
          </cell>
        </row>
      </sheetData>
      <sheetData sheetId="1076">
        <row r="82">
          <cell r="CF82" t="str">
            <v>Royalties Aggregate</v>
          </cell>
        </row>
      </sheetData>
      <sheetData sheetId="1077">
        <row r="82">
          <cell r="CF82" t="str">
            <v>Royalties Aggregate</v>
          </cell>
        </row>
      </sheetData>
      <sheetData sheetId="1078"/>
      <sheetData sheetId="1079"/>
      <sheetData sheetId="1080">
        <row r="82">
          <cell r="CF82" t="str">
            <v>Royalties Aggregate</v>
          </cell>
        </row>
      </sheetData>
      <sheetData sheetId="1081">
        <row r="82">
          <cell r="CF82" t="str">
            <v>Royalties Aggregate</v>
          </cell>
        </row>
      </sheetData>
      <sheetData sheetId="1082">
        <row r="82">
          <cell r="CF82" t="str">
            <v>Royalties Aggregate</v>
          </cell>
        </row>
      </sheetData>
      <sheetData sheetId="1083"/>
      <sheetData sheetId="1084"/>
      <sheetData sheetId="1085"/>
      <sheetData sheetId="1086"/>
      <sheetData sheetId="1087"/>
      <sheetData sheetId="1088"/>
      <sheetData sheetId="1089"/>
      <sheetData sheetId="1090"/>
      <sheetData sheetId="1091">
        <row r="82">
          <cell r="CF82" t="str">
            <v>Royalties Aggregate</v>
          </cell>
        </row>
      </sheetData>
      <sheetData sheetId="1092">
        <row r="82">
          <cell r="CF82" t="str">
            <v>Royalties Aggregate</v>
          </cell>
        </row>
      </sheetData>
      <sheetData sheetId="1093"/>
      <sheetData sheetId="1094"/>
      <sheetData sheetId="1095">
        <row r="82">
          <cell r="CF82" t="str">
            <v>Royalties Aggregate</v>
          </cell>
        </row>
      </sheetData>
      <sheetData sheetId="1096">
        <row r="82">
          <cell r="CF82" t="str">
            <v>Royalties Aggregate</v>
          </cell>
        </row>
      </sheetData>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ow r="82">
          <cell r="CF82" t="str">
            <v>Royalties Aggregate</v>
          </cell>
        </row>
      </sheetData>
      <sheetData sheetId="1116">
        <row r="82">
          <cell r="CF82" t="str">
            <v>Royalties Aggregate</v>
          </cell>
        </row>
      </sheetData>
      <sheetData sheetId="1117"/>
      <sheetData sheetId="1118"/>
      <sheetData sheetId="1119">
        <row r="82">
          <cell r="CF82" t="str">
            <v>Royalties Aggregate</v>
          </cell>
        </row>
      </sheetData>
      <sheetData sheetId="1120">
        <row r="82">
          <cell r="CF82" t="str">
            <v>Royalties Aggregate</v>
          </cell>
        </row>
      </sheetData>
      <sheetData sheetId="1121">
        <row r="82">
          <cell r="CF82" t="str">
            <v>Royalties Aggregate</v>
          </cell>
        </row>
      </sheetData>
      <sheetData sheetId="1122">
        <row r="82">
          <cell r="CF82" t="str">
            <v>Royalties Aggregate</v>
          </cell>
        </row>
      </sheetData>
      <sheetData sheetId="1123">
        <row r="82">
          <cell r="CF82" t="str">
            <v>Royalties Aggregate</v>
          </cell>
        </row>
      </sheetData>
      <sheetData sheetId="1124">
        <row r="82">
          <cell r="CF82" t="str">
            <v>Royalties Aggregate</v>
          </cell>
        </row>
      </sheetData>
      <sheetData sheetId="1125">
        <row r="82">
          <cell r="CF82" t="str">
            <v>Royalties Aggregate</v>
          </cell>
        </row>
      </sheetData>
      <sheetData sheetId="1126">
        <row r="82">
          <cell r="CF82" t="str">
            <v>Royalties Aggregate</v>
          </cell>
        </row>
      </sheetData>
      <sheetData sheetId="1127">
        <row r="82">
          <cell r="CF82" t="str">
            <v>Royalties Aggregate</v>
          </cell>
        </row>
      </sheetData>
      <sheetData sheetId="1128">
        <row r="82">
          <cell r="CF82" t="str">
            <v>Royalties Aggregate</v>
          </cell>
        </row>
      </sheetData>
      <sheetData sheetId="1129"/>
      <sheetData sheetId="1130"/>
      <sheetData sheetId="1131">
        <row r="82">
          <cell r="CF82" t="str">
            <v>Royalties Aggregate</v>
          </cell>
        </row>
      </sheetData>
      <sheetData sheetId="1132">
        <row r="82">
          <cell r="CF82" t="str">
            <v>Royalties Aggregate</v>
          </cell>
        </row>
      </sheetData>
      <sheetData sheetId="1133">
        <row r="82">
          <cell r="CF82" t="str">
            <v>Royalties Aggregate</v>
          </cell>
        </row>
      </sheetData>
      <sheetData sheetId="1134">
        <row r="82">
          <cell r="CF82" t="str">
            <v>Royalties Aggregate</v>
          </cell>
        </row>
      </sheetData>
      <sheetData sheetId="1135">
        <row r="82">
          <cell r="CF82" t="str">
            <v>Royalties Aggregate</v>
          </cell>
        </row>
      </sheetData>
      <sheetData sheetId="1136">
        <row r="82">
          <cell r="CF82" t="str">
            <v>Royalties Aggregate</v>
          </cell>
        </row>
      </sheetData>
      <sheetData sheetId="1137">
        <row r="82">
          <cell r="CF82" t="str">
            <v>Royalties Aggregate</v>
          </cell>
        </row>
      </sheetData>
      <sheetData sheetId="1138"/>
      <sheetData sheetId="1139"/>
      <sheetData sheetId="1140">
        <row r="82">
          <cell r="CF82" t="str">
            <v>Royalties Aggregate</v>
          </cell>
        </row>
      </sheetData>
      <sheetData sheetId="1141">
        <row r="82">
          <cell r="CF82" t="str">
            <v>Royalties Aggregate</v>
          </cell>
        </row>
      </sheetData>
      <sheetData sheetId="1142">
        <row r="82">
          <cell r="CF82" t="str">
            <v>Royalties Aggregate</v>
          </cell>
        </row>
      </sheetData>
      <sheetData sheetId="1143">
        <row r="82">
          <cell r="CF82" t="str">
            <v>Royalties Aggregate</v>
          </cell>
        </row>
      </sheetData>
      <sheetData sheetId="1144">
        <row r="82">
          <cell r="CF82" t="str">
            <v>Royalties Aggregate</v>
          </cell>
        </row>
      </sheetData>
      <sheetData sheetId="1145">
        <row r="82">
          <cell r="CF82" t="str">
            <v>Royalties Aggregate</v>
          </cell>
        </row>
      </sheetData>
      <sheetData sheetId="1146">
        <row r="82">
          <cell r="CF82" t="str">
            <v>Royalties Aggregate</v>
          </cell>
        </row>
      </sheetData>
      <sheetData sheetId="1147">
        <row r="82">
          <cell r="CF82" t="str">
            <v>Royalties Aggregate</v>
          </cell>
        </row>
      </sheetData>
      <sheetData sheetId="1148">
        <row r="82">
          <cell r="CF82" t="str">
            <v>Royalties Aggregate</v>
          </cell>
        </row>
      </sheetData>
      <sheetData sheetId="1149">
        <row r="82">
          <cell r="CF82" t="str">
            <v>Royalties Aggregate</v>
          </cell>
        </row>
      </sheetData>
      <sheetData sheetId="1150">
        <row r="82">
          <cell r="CF82" t="str">
            <v>Royalties Aggregate</v>
          </cell>
        </row>
      </sheetData>
      <sheetData sheetId="1151">
        <row r="82">
          <cell r="CF82" t="str">
            <v>Royalties Aggregate</v>
          </cell>
        </row>
      </sheetData>
      <sheetData sheetId="1152">
        <row r="82">
          <cell r="CF82" t="str">
            <v>Royalties Aggregate</v>
          </cell>
        </row>
      </sheetData>
      <sheetData sheetId="1153"/>
      <sheetData sheetId="1154"/>
      <sheetData sheetId="1155">
        <row r="82">
          <cell r="CF82" t="str">
            <v>Royalties Aggregate</v>
          </cell>
        </row>
      </sheetData>
      <sheetData sheetId="1156">
        <row r="82">
          <cell r="CF82" t="str">
            <v>Royalties Aggregate</v>
          </cell>
        </row>
      </sheetData>
      <sheetData sheetId="1157">
        <row r="82">
          <cell r="CF82" t="str">
            <v>Royalties Aggregate</v>
          </cell>
        </row>
      </sheetData>
      <sheetData sheetId="1158">
        <row r="82">
          <cell r="CF82" t="str">
            <v>Royalties Aggregate</v>
          </cell>
        </row>
      </sheetData>
      <sheetData sheetId="1159">
        <row r="82">
          <cell r="CF82" t="str">
            <v>Royalties Aggregate</v>
          </cell>
        </row>
      </sheetData>
      <sheetData sheetId="1160">
        <row r="82">
          <cell r="CF82" t="str">
            <v>Royalties Aggregate</v>
          </cell>
        </row>
      </sheetData>
      <sheetData sheetId="1161">
        <row r="82">
          <cell r="CF82" t="str">
            <v>Royalties Aggregate</v>
          </cell>
        </row>
      </sheetData>
      <sheetData sheetId="1162"/>
      <sheetData sheetId="1163"/>
      <sheetData sheetId="1164">
        <row r="82">
          <cell r="CF82" t="str">
            <v>Royalties Aggregate</v>
          </cell>
        </row>
      </sheetData>
      <sheetData sheetId="1165">
        <row r="82">
          <cell r="CF82" t="str">
            <v>Royalties Aggregate</v>
          </cell>
        </row>
      </sheetData>
      <sheetData sheetId="1166">
        <row r="82">
          <cell r="CF82" t="str">
            <v>Royalties Aggregate</v>
          </cell>
        </row>
      </sheetData>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ow r="82">
          <cell r="CF82" t="str">
            <v>Royalties Aggregate</v>
          </cell>
        </row>
      </sheetData>
      <sheetData sheetId="1286">
        <row r="82">
          <cell r="CF82" t="str">
            <v>Royalties Aggregate</v>
          </cell>
        </row>
      </sheetData>
      <sheetData sheetId="1287">
        <row r="82">
          <cell r="CF82" t="str">
            <v>Royalties Aggregate</v>
          </cell>
        </row>
      </sheetData>
      <sheetData sheetId="1288">
        <row r="82">
          <cell r="CF82" t="str">
            <v>Royalties Aggregate</v>
          </cell>
        </row>
      </sheetData>
      <sheetData sheetId="1289">
        <row r="82">
          <cell r="CF82" t="str">
            <v>Royalties Aggregate</v>
          </cell>
        </row>
      </sheetData>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ow r="82">
          <cell r="CF82" t="str">
            <v>Royalties Aggregate</v>
          </cell>
        </row>
      </sheetData>
      <sheetData sheetId="1341" refreshError="1"/>
      <sheetData sheetId="1342" refreshError="1"/>
      <sheetData sheetId="1343">
        <row r="82">
          <cell r="CF82" t="str">
            <v>Royalties Aggregate</v>
          </cell>
        </row>
      </sheetData>
      <sheetData sheetId="1344">
        <row r="82">
          <cell r="CF82" t="str">
            <v>Royalties Aggregate</v>
          </cell>
        </row>
      </sheetData>
      <sheetData sheetId="1345">
        <row r="82">
          <cell r="CF82" t="str">
            <v>Royalties Aggregate</v>
          </cell>
        </row>
      </sheetData>
      <sheetData sheetId="1346">
        <row r="82">
          <cell r="CF82" t="str">
            <v>Royalties Aggregate</v>
          </cell>
        </row>
      </sheetData>
      <sheetData sheetId="1347">
        <row r="82">
          <cell r="CF82" t="str">
            <v>Royalties Aggregate</v>
          </cell>
        </row>
      </sheetData>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ow r="82">
          <cell r="CF82" t="str">
            <v>Royalties Aggregate</v>
          </cell>
        </row>
      </sheetData>
      <sheetData sheetId="1362">
        <row r="82">
          <cell r="CF82" t="str">
            <v>Royalties Aggregate</v>
          </cell>
        </row>
      </sheetData>
      <sheetData sheetId="1363">
        <row r="82">
          <cell r="CF82" t="str">
            <v>Royalties Aggregate</v>
          </cell>
        </row>
      </sheetData>
      <sheetData sheetId="1364">
        <row r="82">
          <cell r="CF82" t="str">
            <v>Royalties Aggregate</v>
          </cell>
        </row>
      </sheetData>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H.Satuan"/>
      <sheetName val="rab me (by owner) "/>
      <sheetName val="BQ (by owner)"/>
      <sheetName val="rab me (fisik)"/>
      <sheetName val="STR"/>
      <sheetName val="Bill Of Quantity"/>
      <sheetName val="L-Mechanical"/>
      <sheetName val="PC"/>
      <sheetName val="Balok"/>
      <sheetName val="PT."/>
      <sheetName val="01A- RAB"/>
      <sheetName val="anal_hs"/>
      <sheetName val="rekap"/>
      <sheetName val="AnaAlat"/>
      <sheetName val="Cover"/>
      <sheetName val="A"/>
      <sheetName val="GLP-DISCOUNT"/>
      <sheetName val="GLP 2001"/>
      <sheetName val="EE-PROP"/>
      <sheetName val="GE_1_2"/>
      <sheetName val="Upah+Bahan"/>
      <sheetName val="SITE-E"/>
      <sheetName val="Infrastruktur"/>
      <sheetName val="Persiapan"/>
      <sheetName val="AC"/>
      <sheetName val="Mekanikal"/>
      <sheetName val="G_SUMMARY"/>
      <sheetName val="harsat"/>
      <sheetName val="Panel,feeder,elek"/>
      <sheetName val="DAF-1"/>
      <sheetName val="ELEC STIS"/>
      <sheetName val="REF.ONLY"/>
      <sheetName val="부하계산서"/>
      <sheetName val="finalisasi"/>
      <sheetName val="K"/>
      <sheetName val="Bill of Qty MEP"/>
      <sheetName val="Analisa Upah &amp; Bahan Plum"/>
      <sheetName val="AN. TAMPL"/>
      <sheetName val="GB"/>
      <sheetName val="BAG-2"/>
      <sheetName val="rab - persiapan &amp; lantai-1"/>
      <sheetName val="Man_Power_Const"/>
      <sheetName val="ANLS 2009"/>
      <sheetName val="Harga Bahan &amp; Upah "/>
      <sheetName val="analisa pagar"/>
      <sheetName val="RATE&amp;FCTR"/>
      <sheetName val="NAME"/>
      <sheetName val="Anl.+"/>
      <sheetName val="112-885"/>
      <sheetName val="AHS"/>
      <sheetName val="boq"/>
      <sheetName val="analisa"/>
      <sheetName val="5.1.ELEKTRIKAL-ELEKTRONIK"/>
      <sheetName val="metode"/>
      <sheetName val="PL-Office"/>
      <sheetName val="BoQ STR"/>
      <sheetName val="Finishing (2)"/>
      <sheetName val="AN_Kusen"/>
      <sheetName val="BQ_ARS"/>
      <sheetName val="Finishing"/>
      <sheetName val="Fin-Bengkel"/>
      <sheetName val="Fin-Showroom"/>
      <sheetName val="Hal_Pagar"/>
      <sheetName val="Str-Bengkel"/>
      <sheetName val="Str-Showroom"/>
      <sheetName val="ｺﾝY条件BD"/>
      <sheetName val="DAF_2"/>
      <sheetName val="Plambing"/>
      <sheetName val="BQ Arsitektur"/>
      <sheetName val="ANALISA-A"/>
      <sheetName val="NS GD.UTAMA"/>
      <sheetName val="anal"/>
      <sheetName val="DAF_3.1"/>
      <sheetName val="DAF_3.11"/>
      <sheetName val="HB "/>
      <sheetName val="Pro(E)_"/>
      <sheetName val="MAKER_(E)"/>
      <sheetName val="Bill_Of_Quantity"/>
      <sheetName val="H_Satuan"/>
      <sheetName val="rab_me_(by_owner)_"/>
      <sheetName val="BQ_(by_owner)"/>
      <sheetName val="rab_me_(fisik)"/>
      <sheetName val="GLP_2001"/>
      <sheetName val="Anl_+"/>
      <sheetName val="BAHAN"/>
      <sheetName val="HRG BHN"/>
      <sheetName val="PileCap"/>
      <sheetName val="Tie Beam GN"/>
      <sheetName val="Tangga GN"/>
      <sheetName val="Bronjong_Geoteks"/>
      <sheetName val="DAF-5"/>
      <sheetName val="FLAF&amp;PARTSI"/>
      <sheetName val="FORM X COST"/>
      <sheetName val="SAT"/>
      <sheetName val="Analis Kusen 1 ESKALASI"/>
      <sheetName val="Isolasi Luar Dalam"/>
      <sheetName val="Isolasi Luar"/>
      <sheetName val="struktur"/>
      <sheetName val="Roofing2"/>
      <sheetName val="KK"/>
      <sheetName val="Analisa ME"/>
      <sheetName val="NP (4)"/>
      <sheetName val="Transfer Pump"/>
      <sheetName val="附表4-辅助工程"/>
      <sheetName val="附表4-公用工程项目"/>
      <sheetName val="附表2"/>
      <sheetName val="ANALISA PEK.UMUM"/>
      <sheetName val="HS Alat"/>
      <sheetName val="tuong"/>
      <sheetName val="Material"/>
      <sheetName val="NP"/>
      <sheetName val="L3 An H Sat Mob"/>
      <sheetName val="DRUP (ASLI)"/>
      <sheetName val="KODE REK"/>
      <sheetName val="Factors"/>
      <sheetName val="villa"/>
      <sheetName val="BOQ INTERN"/>
      <sheetName val="LISTRIK"/>
      <sheetName val="Rek Tot"/>
      <sheetName val="Piping"/>
      <sheetName val="analis"/>
      <sheetName val="ahs_utama"/>
      <sheetName val="BGNN.UTILITAS"/>
      <sheetName val="D &amp; W sizes"/>
      <sheetName val="an. struktur"/>
      <sheetName val="Dashboard"/>
      <sheetName val="Upah"/>
      <sheetName val="dATA pc"/>
      <sheetName val="BANGUNAN PENUNJANG"/>
      <sheetName val="Master 1.0"/>
      <sheetName val="Har Sat"/>
      <sheetName val="Tata Udara"/>
      <sheetName val="Plumbing"/>
      <sheetName val="CONSUMABLES-PRICE"/>
      <sheetName val="Input monthly capex"/>
      <sheetName val="Pipe"/>
      <sheetName val="TOEC"/>
      <sheetName val="HSD"/>
      <sheetName val="RAB AR&amp;STR"/>
      <sheetName val="M &amp; E"/>
      <sheetName val="Student"/>
      <sheetName val="MAP"/>
      <sheetName val="Cover (x)"/>
      <sheetName val="Cor Apt"/>
      <sheetName val="struktur tdk dipakai"/>
      <sheetName val="Item7"/>
      <sheetName val="Ｎｏ.13"/>
      <sheetName val="SK MIgas toilet lt-40, R-2"/>
      <sheetName val="SK MIgas toilet lt-40, R-0 (P'a"/>
      <sheetName val="p_fb01"/>
      <sheetName val="p_fb02"/>
      <sheetName val="PLINT 3.1.G"/>
      <sheetName val="s_v13"/>
      <sheetName val="s_v14"/>
      <sheetName val="s_v16"/>
      <sheetName val="3-DIV4"/>
      <sheetName val="RATE_FCTR"/>
      <sheetName val="RKP PLUMBING"/>
      <sheetName val="경비2내역"/>
      <sheetName val="DAFTAR HARGA"/>
      <sheetName val="K Lead"/>
      <sheetName val="saluran"/>
      <sheetName val="c"/>
      <sheetName val="f"/>
      <sheetName val="ME"/>
      <sheetName val="gtrinh"/>
      <sheetName val="Urai_Galian Tanah"/>
      <sheetName val="3-DIV3"/>
      <sheetName val="RAB"/>
      <sheetName val="TPI"/>
      <sheetName val="Harga Dasar"/>
      <sheetName val="GE-1-2"/>
      <sheetName val="WT-LIST"/>
      <sheetName val="Div2"/>
      <sheetName val="Basic Price"/>
      <sheetName val="O&amp;O-Alat"/>
      <sheetName val="Unit Rate"/>
      <sheetName val="dasar"/>
      <sheetName val="Pekerjaan Harian"/>
      <sheetName val="Mahasiswa 2 lantai"/>
      <sheetName val="Kuantitas &amp; Harga"/>
      <sheetName val="Group"/>
      <sheetName val="sheet 2"/>
      <sheetName val="RAB ME"/>
      <sheetName val="Upah&amp;Bahan"/>
      <sheetName val="Analisa Mob. 3"/>
      <sheetName val="Analisa Mob.1"/>
      <sheetName val="Analisa-Harga"/>
      <sheetName val="Analisa Alat"/>
      <sheetName val="Analisa Mob. 2"/>
      <sheetName val="data-pendukung"/>
      <sheetName val="Terbilang"/>
      <sheetName val="Attachment-3 Chem"/>
      <sheetName val="CB"/>
      <sheetName val="ﾄﾞﾊﾞｲFUEL GAS追見"/>
      <sheetName val="SewerPipe"/>
      <sheetName val="Breakdown Instrument"/>
      <sheetName val="CapExpAppForm"/>
      <sheetName val="DIV7-BM"/>
      <sheetName val="prog-mgu"/>
      <sheetName val="GENERAL"/>
      <sheetName val="Pricing"/>
      <sheetName val="Ref"/>
      <sheetName val="Mat.Mek"/>
      <sheetName val="Baja"/>
      <sheetName val="Beton K-250"/>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Power_BLK"/>
      <sheetName val="a.2"/>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concept cost code"/>
      <sheetName val="summary cost code"/>
      <sheetName val="SPK"/>
      <sheetName val="kas proyek"/>
      <sheetName val="lain lain"/>
      <sheetName val="tifico"/>
      <sheetName val="SATUAN "/>
      <sheetName val="Analisa Harga"/>
      <sheetName val="BHN"/>
      <sheetName val="Manpower"/>
      <sheetName val="Equipt,Tools&amp;Cons"/>
      <sheetName val="MUA"/>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BQE"/>
      <sheetName val="BANG TONG HOP (2)"/>
      <sheetName val="Estimate"/>
      <sheetName val="Bill No 2.1 "/>
      <sheetName val="APT _ BALCONIES"/>
      <sheetName val="AC_C"/>
      <sheetName val="3-DIV5"/>
      <sheetName val="Alat"/>
      <sheetName val="Sub"/>
      <sheetName val="MARK UP"/>
      <sheetName val="SUM-AIR-Submit"/>
      <sheetName val="lt. dasar"/>
      <sheetName val="MT_an"/>
      <sheetName val="SUM"/>
      <sheetName val="Rekap Biaya"/>
      <sheetName val="DES 15"/>
      <sheetName val="PERFORM"/>
      <sheetName val="ALEK"/>
      <sheetName val="TL"/>
      <sheetName val="3-DIV7.B"/>
      <sheetName val="Rekap Prelim"/>
      <sheetName val="BU"/>
      <sheetName val="Index"/>
      <sheetName val="Analisa Harga Satuan"/>
      <sheetName val="Bank"/>
      <sheetName val="Bunga"/>
      <sheetName val="RAB_DURI"/>
      <sheetName val="Mark-up"/>
      <sheetName val="7.1(3)"/>
      <sheetName val="5-ALAT"/>
      <sheetName val="HS_Alat"/>
      <sheetName val="Analisa_ME"/>
      <sheetName val="L3_An_H_Sat_Mob"/>
      <sheetName val="DRUP_(ASLI)"/>
      <sheetName val="NP_(4)"/>
      <sheetName val="HRG_BHN"/>
      <sheetName val="Isolasi_Luar_Dalam"/>
      <sheetName val="Isolasi_Luar"/>
      <sheetName val="ELEC_STIS"/>
      <sheetName val="Master_1_0"/>
      <sheetName val="BOQ_INTERN"/>
      <sheetName val="Transfer_Pump"/>
      <sheetName val="ANLS_2009"/>
      <sheetName val="Harga_Bahan_&amp;_Upah_"/>
      <sheetName val="analisa_pagar"/>
      <sheetName val="KODE_REK"/>
      <sheetName val="RAB_AR&amp;STR"/>
      <sheetName val="Har_Sat"/>
      <sheetName val="DAFTAR_HARGA"/>
      <sheetName val="K_Lead"/>
      <sheetName val="PT_"/>
      <sheetName val="Urai_Galian_Tanah"/>
      <sheetName val="Pekerjaan_Harian"/>
      <sheetName val="Mahasiswa_2_lantai"/>
      <sheetName val="Tata_Udara"/>
      <sheetName val="ANALISA_PEK_UMUM"/>
      <sheetName val="RKP_PLUMBING"/>
      <sheetName val="Analisa_Upah_&amp;_Bahan_Plum"/>
      <sheetName val="Pengalaman Per"/>
      <sheetName val="Harga"/>
      <sheetName val="PConsCS"/>
      <sheetName val="dia-in"/>
      <sheetName val="Elektrikal"/>
      <sheetName val="Analisa Upah _ Bahan Plum"/>
      <sheetName val="POS-4"/>
      <sheetName val="POS-5"/>
      <sheetName val="POS-6"/>
      <sheetName val="DG "/>
      <sheetName val="AHSP"/>
      <sheetName val="1.B"/>
      <sheetName val="8410(Kerb)"/>
      <sheetName val="Harsat.Alat"/>
      <sheetName val="MAPP"/>
      <sheetName val="Perm. Test"/>
      <sheetName val="Galian 1"/>
      <sheetName val="LOADDAT"/>
      <sheetName val="prd01-5"/>
      <sheetName val="BasicPrice"/>
      <sheetName val="DATA2009"/>
      <sheetName val="RP PROD 09"/>
      <sheetName val="ANAL-1"/>
      <sheetName val="Data Tower"/>
      <sheetName val="Daftar berat"/>
      <sheetName val="INPUT"/>
      <sheetName val="Div26 - Elect"/>
      <sheetName val="UPH,BHN,ALT"/>
      <sheetName val="bhn FINAL"/>
      <sheetName val="BQBAS"/>
      <sheetName val="schalt"/>
      <sheetName val="schtng"/>
      <sheetName val="schbhn"/>
      <sheetName val="daf isi (xref)"/>
      <sheetName val="Currency Rate"/>
      <sheetName val="FAK"/>
      <sheetName val="AO-UMUM"/>
      <sheetName val="A+Supl."/>
      <sheetName val="7"/>
      <sheetName val="Peralatan Utama"/>
      <sheetName val="SBDY Jemb Tayan"/>
      <sheetName val="HRG DSR APP"/>
      <sheetName val="Hrgdsrupah"/>
      <sheetName val="TA"/>
      <sheetName val="LoTA"/>
      <sheetName val="U&amp;B"/>
      <sheetName val="Schedule 11a"/>
      <sheetName val="Temporary"/>
      <sheetName val="Septick tank"/>
      <sheetName val="Subkon"/>
      <sheetName val="LO"/>
      <sheetName val="BOOQ"/>
      <sheetName val="h.sat-bbm"/>
      <sheetName val="MAPDC"/>
      <sheetName val="NPDivisi7(2)"/>
      <sheetName val="Man Power"/>
      <sheetName val="영업소실적"/>
      <sheetName val="BOQ EM"/>
      <sheetName val="Faktor"/>
      <sheetName val="RFP007"/>
      <sheetName val="RFP006"/>
      <sheetName val="RFP009"/>
      <sheetName val="RFP012"/>
      <sheetName val="Sumda1"/>
      <sheetName val="BQ INT"/>
      <sheetName val="BQ-1A"/>
      <sheetName val="FORM"/>
      <sheetName val="Harga Bahan"/>
      <sheetName val="CONSUMABLE"/>
      <sheetName val="Units"/>
      <sheetName val="4-Basic Price"/>
      <sheetName val="15.Harga Satuan Bahan"/>
      <sheetName val="3-DIV2"/>
      <sheetName val="Analisa &amp; Upah"/>
      <sheetName val="SUM_Steel-Strc"/>
      <sheetName val="HARGA MATERIAL"/>
      <sheetName val="D_harga"/>
      <sheetName val="Sat~Bahu"/>
      <sheetName val="Daf 1"/>
      <sheetName val="갑지"/>
      <sheetName val="Data Masukan"/>
      <sheetName val="Fisik 2012"/>
      <sheetName val="Pek. Persiapan"/>
      <sheetName val="Rekap Anl.K"/>
      <sheetName val="Rekap Anl.SNI"/>
      <sheetName val="Gaji-Bag"/>
      <sheetName val="Eng_Hrs"/>
      <sheetName val="SILICATE"/>
      <sheetName val="Analisa ME UPT"/>
      <sheetName val="Dasboard"/>
      <sheetName val="H-Upah"/>
      <sheetName val="JABATAN"/>
      <sheetName val="Harga Kabel"/>
      <sheetName val="Markup"/>
      <sheetName val="BAU"/>
      <sheetName val="換気計算"/>
      <sheetName val="402"/>
      <sheetName val="beam"/>
      <sheetName val="Quantity"/>
      <sheetName val="M%20&amp;%20E.xls"/>
      <sheetName val="Anls teknis"/>
      <sheetName val="gvl"/>
      <sheetName val="DO AM DT"/>
      <sheetName val="Main"/>
      <sheetName val="PBS"/>
      <sheetName val="gia vt,nc,may"/>
      <sheetName val="TT04"/>
      <sheetName val="入力作成表"/>
      <sheetName val="BIDDING-SUM"/>
      <sheetName val="THDZ0,4"/>
      <sheetName val="TH DZ35"/>
      <sheetName val="THTram"/>
      <sheetName val="chi phi truc tiep"/>
      <sheetName val="입찰안"/>
      <sheetName val="Areas"/>
      <sheetName val="Bill 2.2 Villa 2 beds"/>
      <sheetName val="Buy vs. Lease Car"/>
      <sheetName val="Division  4 - PLB Works"/>
      <sheetName val="Analisa _ Upah"/>
      <sheetName val="EXTERNAL WORK"/>
      <sheetName val="OrgRates2000"/>
      <sheetName val="Eng_Hrs (HO)"/>
      <sheetName val="5-Peralatan"/>
      <sheetName val="Parameter"/>
      <sheetName val="V-5700"/>
      <sheetName val="PO-2"/>
      <sheetName val="Agregat Halus &amp; Kasar"/>
      <sheetName val="dc"/>
      <sheetName val="Rate"/>
      <sheetName val="Master Dat"/>
      <sheetName val="sd"/>
      <sheetName val="boq2"/>
      <sheetName val="Lamp-4"/>
      <sheetName val="SDMTA"/>
      <sheetName val="Anls Hrg Sat"/>
      <sheetName val="BEDAH"/>
      <sheetName val="Sat Bah _ Up"/>
      <sheetName val="PriceList"/>
      <sheetName val="Hrg Sat"/>
      <sheetName val="HD UPAH"/>
      <sheetName val="Gia"/>
      <sheetName val="Sumber Daya"/>
      <sheetName val="HS-DASAR"/>
      <sheetName val="PRD 01-6(I-II)"/>
      <sheetName val="PRD 01-7 alat"/>
      <sheetName val="Mobilisasi"/>
      <sheetName val="Met_ Minor"/>
      <sheetName val="PLANT"/>
      <sheetName val="Rekap Analisa"/>
      <sheetName val="ORET2AN"/>
      <sheetName val="DaftarHarga"/>
      <sheetName val="Divisi Baru"/>
      <sheetName val="SCF"/>
      <sheetName val="2.E"/>
      <sheetName val="2.F"/>
      <sheetName val="UP_an"/>
      <sheetName val="RAB DC"/>
      <sheetName val="SCHEDULE"/>
      <sheetName val="Cash2"/>
      <sheetName val="EQ"/>
      <sheetName val="DKH"/>
      <sheetName val="BQ OE"/>
      <sheetName val="Agg Halus &amp; Kasar"/>
      <sheetName val="EQ_an"/>
      <sheetName val="RINCIAN"/>
      <sheetName val="Assumptions"/>
      <sheetName val="NP (2)"/>
      <sheetName val="Tanah"/>
      <sheetName val="An_pdkg"/>
      <sheetName val="DKH-S3"/>
      <sheetName val="RinciBab1"/>
      <sheetName val="SAT-BHN"/>
      <sheetName val="H Sat Jembatan"/>
      <sheetName val="reporting package-bmel 31-12-04"/>
      <sheetName val="Div.5"/>
      <sheetName val="Div.6"/>
      <sheetName val="Div.7"/>
      <sheetName val="rekaprab"/>
      <sheetName val="dt-saranakarya.xls'tunj"/>
      <sheetName val="TOWER D"/>
      <sheetName val="Foundation"/>
      <sheetName val="an.utara"/>
      <sheetName val="Weekly"/>
      <sheetName val="BQ-E20-02(Rp)"/>
      <sheetName val="jadwal"/>
      <sheetName val="D7(1)"/>
      <sheetName val="A. PENGADAAN"/>
      <sheetName val="B. TRANSPORTASI"/>
      <sheetName val="C. KONS EM"/>
      <sheetName val="D. KONS SIPIL"/>
      <sheetName val="LAMPIRAN - TERPASANG"/>
      <sheetName val="Detail Realisasi"/>
      <sheetName val="Supl.X"/>
      <sheetName val="analisa panel"/>
      <sheetName val="Exch.rate"/>
      <sheetName val="351BQMCN"/>
      <sheetName val="BAG_III"/>
      <sheetName val="Fill this out first..."/>
      <sheetName val="List"/>
      <sheetName val="Criteria "/>
      <sheetName val="box culvert"/>
      <sheetName val="Sheet3"/>
      <sheetName val="DAF-UPAH"/>
      <sheetName val="ERECTION"/>
      <sheetName val="FWBS1000"/>
      <sheetName val="FWBS2000"/>
      <sheetName val="FWBS3000"/>
      <sheetName val="FWBS4000"/>
      <sheetName val="FWBS5000"/>
      <sheetName val="FWBS5400"/>
      <sheetName val="FWBS6000"/>
      <sheetName val="FWBS7000"/>
      <sheetName val="FWBS8000"/>
      <sheetName val="FWBS9000"/>
      <sheetName val="FWBSA000"/>
      <sheetName val="BL"/>
      <sheetName val="NET表"/>
      <sheetName val="BQ表"/>
      <sheetName val="Grafik Lab "/>
      <sheetName val="NP _2_"/>
      <sheetName val="BQ External"/>
      <sheetName val="SUMMARY"/>
      <sheetName val="FORM-VAR"/>
      <sheetName val="dtxl"/>
      <sheetName val="AC LOAD"/>
      <sheetName val="Hotel"/>
      <sheetName val="QSS"/>
      <sheetName val="bahan SNI"/>
      <sheetName val="anaUTama"/>
      <sheetName val="Upah &amp; Bahan"/>
      <sheetName val="EUP"/>
      <sheetName val="Master"/>
      <sheetName val="Calculation"/>
      <sheetName val="sort2"/>
      <sheetName val="BG"/>
      <sheetName val="FitOutConfCentre"/>
      <sheetName val="dien tich"/>
      <sheetName val="FAB별"/>
      <sheetName val="M_&amp;_E"/>
      <sheetName val="BGNN_UTILITAS"/>
      <sheetName val="D_&amp;_W_sizes"/>
      <sheetName val="an__struktur"/>
      <sheetName val="Rek_Tot"/>
      <sheetName val="dATA_pc"/>
      <sheetName val="BANGUNAN_PENUNJANG"/>
      <sheetName val="Cover_(x)"/>
      <sheetName val="Cor_Apt"/>
      <sheetName val="struktur_tdk_dipakai"/>
      <sheetName val="Ｎｏ_13"/>
      <sheetName val="Cover_CKE"/>
      <sheetName val="Summary_Mech_"/>
      <sheetName val="Mech__BQ"/>
      <sheetName val="P_APRIL_2016"/>
      <sheetName val="Qttn_Report"/>
      <sheetName val="Div26_-_Elect"/>
      <sheetName val="gia_vt,nc,may"/>
      <sheetName val="M%20&amp;%20E_xls"/>
      <sheetName val="Macro(차단기)"/>
      <sheetName val="SP10"/>
      <sheetName val="Earthwork"/>
      <sheetName val="CFA (ME)"/>
      <sheetName val="Settings"/>
      <sheetName val="tabulation (comparison)"/>
      <sheetName val="External"/>
      <sheetName val="SUM 6-2"/>
      <sheetName val="Khoi luong"/>
      <sheetName val="Gia thue"/>
      <sheetName val="Town House "/>
      <sheetName val="Type-A1"/>
      <sheetName val="Type-A2 Corner"/>
      <sheetName val="Type-A2"/>
      <sheetName val="Bill 02 - Xay gach-Pou "/>
      <sheetName val="Bill 03-Chống thấm-Pou"/>
      <sheetName val="Bill 05 - Hoan thien-Pou "/>
      <sheetName val="Bill 02 - Xay gach-Tower"/>
      <sheetName val="Bill 03-Chống thấm-Tower"/>
      <sheetName val="Bill 05 - Hoan thien-Tower"/>
      <sheetName val="PTĐG"/>
      <sheetName val="valeurs de base"/>
      <sheetName val="MEPRECON#"/>
      <sheetName val=" Finish"/>
      <sheetName val="Brick"/>
      <sheetName val="Finish code"/>
      <sheetName val="Door schedule"/>
      <sheetName val="Sanitary ware"/>
      <sheetName val="sum mdc"/>
      <sheetName val=" N Finansal Eğri"/>
      <sheetName val="一発シート"/>
      <sheetName val="P"/>
      <sheetName val="Item-DATA"/>
      <sheetName val="NSA fr Revit"/>
      <sheetName val="General2"/>
      <sheetName val="Reference"/>
      <sheetName val="NVL"/>
      <sheetName val="Pro(E)_2"/>
      <sheetName val="MAKER_(E)2"/>
      <sheetName val="Bill_Of_Quantity2"/>
      <sheetName val="H_Satuan2"/>
      <sheetName val="rab_me_(by_owner)_2"/>
      <sheetName val="BQ_(by_owner)2"/>
      <sheetName val="rab_me_(fisik)2"/>
      <sheetName val="GLP_20012"/>
      <sheetName val="01A-_RAB1"/>
      <sheetName val="Bill_of_Qty_MEP1"/>
      <sheetName val="Anl_+2"/>
      <sheetName val="DAF_3_12"/>
      <sheetName val="DAF_3_111"/>
      <sheetName val="HB_1"/>
      <sheetName val="5_1_ELEKTRIKAL-ELEKTRONIK1"/>
      <sheetName val="BoQ_STR1"/>
      <sheetName val="Finishing_(2)1"/>
      <sheetName val="NS_GD_UTAMA1"/>
      <sheetName val="BQ_Arsitektur1"/>
      <sheetName val="Tie_Beam_GN1"/>
      <sheetName val="Tangga_GN1"/>
      <sheetName val="rab_-_persiapan_&amp;_lantai-11"/>
      <sheetName val="REF_ONLY1"/>
      <sheetName val="FORM_X_COST1"/>
      <sheetName val="Analis_Kusen_1_ESKALASI1"/>
      <sheetName val="Vol__Lantai_Tipikal"/>
      <sheetName val="Analisa_Struktur"/>
      <sheetName val="Pas__bata_(anyar)"/>
      <sheetName val="Pas__bata"/>
      <sheetName val="PILE_CAP"/>
      <sheetName val="TIE_BEAM"/>
      <sheetName val="INPUT_BALOK"/>
      <sheetName val="itungan_Balok"/>
      <sheetName val="RASIO_SLAB"/>
      <sheetName val="PIT_LIFT"/>
      <sheetName val="BANG_TONG_HOP_(2)"/>
      <sheetName val="Bill_No_2_1_"/>
      <sheetName val="SK_MIgas_toilet_lt-40,_R-2"/>
      <sheetName val="SK_MIgas_toilet_lt-40,_R-0_(P'a"/>
      <sheetName val="PLINT_3_1_G"/>
      <sheetName val="concept_cost_code"/>
      <sheetName val="summary_cost_code"/>
      <sheetName val="kas_proyek"/>
      <sheetName val="lain_lain"/>
      <sheetName val="APT___BALCONIES"/>
      <sheetName val="SATUAN_"/>
      <sheetName val="Analisa_Harga"/>
      <sheetName val="TH_DZ35"/>
      <sheetName val="Analisa_Harga_Satuan"/>
      <sheetName val="Mat_Mek"/>
      <sheetName val="Buy_vs__Lease_Car"/>
      <sheetName val="Division__4_-_PLB_Works"/>
      <sheetName val="chi_phi_truc_tiep"/>
      <sheetName val="Bill_2_2_Villa_2_beds"/>
      <sheetName val="MARK_UP"/>
      <sheetName val="lt__dasar"/>
      <sheetName val="CF -Update 31Jul06"/>
      <sheetName val="실행철강하도"/>
      <sheetName val="BOH"/>
      <sheetName val="AUTOMATIC SELECT"/>
      <sheetName val="U.P List"/>
      <sheetName val="Gia vat tu"/>
      <sheetName val="tonghop"/>
      <sheetName val="DATA2"/>
      <sheetName val="PVAD-Cong"/>
      <sheetName val="MAIN GATE HOUSE"/>
      <sheetName val="Electrical Works"/>
      <sheetName val="H_T_ INCOMING SYSTEM"/>
      <sheetName val="A__LUO01"/>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Blk-Mnl"/>
      <sheetName val="Klm-Mnl"/>
      <sheetName val="database-emp"/>
      <sheetName val="Model"/>
      <sheetName val="CONSTRUCTION COMPONENT"/>
      <sheetName val="BAHAN &amp; ALAT "/>
      <sheetName val="HARGA ALAT"/>
      <sheetName val="dftr harga"/>
      <sheetName val="prhit tulangan"/>
      <sheetName val="vol pek"/>
      <sheetName val="S"/>
      <sheetName val="유림골조"/>
      <sheetName val="RT13526 CPI"/>
      <sheetName val="API Table"/>
      <sheetName val="Page 1"/>
      <sheetName val="대비표"/>
      <sheetName val="011C101"/>
      <sheetName val="BILAL2"/>
      <sheetName val="VLL BAFF SDLL"/>
      <sheetName val="1.2"/>
      <sheetName val="Base Case"/>
      <sheetName val="F1.4"/>
      <sheetName val="ACTUAL CHECK"/>
      <sheetName val="mech"/>
      <sheetName val="#REF!"/>
      <sheetName val="APP-9"/>
      <sheetName val="기준"/>
      <sheetName val="Stden center"/>
      <sheetName val="7.PEK-STRUKTUR"/>
      <sheetName val="BILL"/>
      <sheetName val="W HOR"/>
      <sheetName val="DAF_1"/>
      <sheetName val="Marshal"/>
      <sheetName val="Bahan1"/>
      <sheetName val="SCH"/>
      <sheetName val="note"/>
      <sheetName val="NS GD.UGD"/>
      <sheetName val="STD GD.UGD"/>
      <sheetName val="ANALISA EDIT"/>
      <sheetName val="down-semi-coarse"/>
      <sheetName val="down-semi-fine"/>
      <sheetName val="inner pervious_adjust "/>
      <sheetName val="outer pervious adjust"/>
      <sheetName val="riprap"/>
      <sheetName val="up-semi"/>
      <sheetName val="DIV 5"/>
      <sheetName val="DIV 6"/>
      <sheetName val="BOQ SNJ 1"/>
      <sheetName val="DKH CCO 1A"/>
      <sheetName val="DKH CCO 1B R-1"/>
      <sheetName val="304-06"/>
      <sheetName val="Har-sat-dasr"/>
      <sheetName val="Cashflow_ref"/>
      <sheetName val="RKP"/>
      <sheetName val="BHN+KMK"/>
      <sheetName val="bearing PDMR1"/>
      <sheetName val="BETON"/>
      <sheetName val="Bearing-1"/>
      <sheetName val="DKH_1"/>
      <sheetName val="Stay Cable PDMR1"/>
      <sheetName val="SUB+KMK"/>
      <sheetName val="eval"/>
      <sheetName val="Post Tens-1"/>
      <sheetName val="BTN-PS"/>
      <sheetName val="SDM"/>
      <sheetName val="banding"/>
      <sheetName val="prd01-6"/>
      <sheetName val="6106"/>
      <sheetName val="PEMBAGIAN"/>
      <sheetName val="BASIC"/>
      <sheetName val="Cash Flow bulanan"/>
      <sheetName val="EDTL"/>
      <sheetName val="H-Dasar"/>
      <sheetName val="DIV.9"/>
      <sheetName val="7.공정표"/>
      <sheetName val="DbCost"/>
      <sheetName val="anal-drainase,tanah&amp;ps batu"/>
      <sheetName val="anal-beton"/>
      <sheetName val="anal-aspal"/>
      <sheetName val="bilangan"/>
      <sheetName val="HS"/>
      <sheetName val="ANTEK"/>
      <sheetName val="SEC-6"/>
      <sheetName val="BOQ ADD-12"/>
      <sheetName val="HB"/>
      <sheetName val="TYPE-A"/>
      <sheetName val="HDasar"/>
      <sheetName val="DATA PROYEK"/>
      <sheetName val="HS_Alat1"/>
      <sheetName val="L3_An_H_Sat_Mob1"/>
      <sheetName val="DRUP_(ASLI)1"/>
      <sheetName val="Analisa_ME1"/>
      <sheetName val="NP_(4)1"/>
      <sheetName val="HRG_BHN1"/>
      <sheetName val="Isolasi_Luar_Dalam1"/>
      <sheetName val="Isolasi_Luar1"/>
      <sheetName val="ELEC_STIS1"/>
      <sheetName val="DAFTAR_HARGA1"/>
      <sheetName val="KODE_REK1"/>
      <sheetName val="ANLS_20091"/>
      <sheetName val="Harga_Bahan_&amp;_Upah_1"/>
      <sheetName val="analisa_pagar1"/>
      <sheetName val="Master_1_01"/>
      <sheetName val="Har_Sat1"/>
      <sheetName val="BOQ_INTERN1"/>
      <sheetName val="Transfer_Pump1"/>
      <sheetName val="RAB_AR&amp;STR1"/>
      <sheetName val="Tata_Udara1"/>
      <sheetName val="ANALISA_PEK_UMUM1"/>
      <sheetName val="PT_1"/>
      <sheetName val="Urai_Galian_Tanah1"/>
      <sheetName val="Pekerjaan_Harian1"/>
      <sheetName val="Mahasiswa_2_lantai1"/>
      <sheetName val="RKP_PLUMBING1"/>
      <sheetName val="K_Lead1"/>
      <sheetName val="Analisa_Upah_&amp;_Bahan_Plum1"/>
      <sheetName val="DES_15"/>
      <sheetName val="Harga_Dasar"/>
      <sheetName val="3-DIV7_B"/>
      <sheetName val="Rekap_Prelim"/>
      <sheetName val="DG_"/>
      <sheetName val="Harsat_Alat"/>
      <sheetName val="Perm__Test"/>
      <sheetName val="Galian_1"/>
      <sheetName val="7_1(3)"/>
      <sheetName val="Kuantitas_&amp;_Harga"/>
      <sheetName val="Rekap_Biaya"/>
      <sheetName val="Agregat_Halus_&amp;_Kasar"/>
      <sheetName val="Master_Dat"/>
      <sheetName val="Beton_K-250"/>
      <sheetName val="4-Basic_Price"/>
      <sheetName val="Data_Tower"/>
      <sheetName val="Basic_Price"/>
      <sheetName val="Unit_Rate"/>
      <sheetName val="h_sat-bbm"/>
      <sheetName val="SBDY_Jemb_Tayan"/>
      <sheetName val="BK-PU 2011"/>
      <sheetName val="RP_PROD_09"/>
      <sheetName val="2_E"/>
      <sheetName val="2_F"/>
      <sheetName val="1_B"/>
      <sheetName val="DIV_5"/>
      <sheetName val="DIV_6"/>
      <sheetName val="sheet_2"/>
      <sheetName val="RAB_ME"/>
      <sheetName val="Analisa_Mob__3"/>
      <sheetName val="Analisa_Mob_1"/>
      <sheetName val="Analisa_Alat"/>
      <sheetName val="Analisa_Mob__2"/>
      <sheetName val="Daftar_berat"/>
      <sheetName val="Divisi_Baru"/>
      <sheetName val="RAB_DC"/>
      <sheetName val="BQ_OE"/>
      <sheetName val="Agg_Halus_&amp;_Kasar"/>
      <sheetName val="Sumber_Daya"/>
      <sheetName val="PRD_01-6(I-II)"/>
      <sheetName val="PRD_01-7_alat"/>
      <sheetName val="TOWER_D"/>
      <sheetName val="Met__Minor"/>
      <sheetName val="bearing_PDMR1"/>
      <sheetName val="Stay_Cable_PDMR1"/>
      <sheetName val="Post_Tens-1"/>
      <sheetName val="Anls_Hrg_Sat"/>
      <sheetName val="Sat_Bah___Up"/>
      <sheetName val="BBC"/>
      <sheetName val="DEF"/>
      <sheetName val="jadw"/>
      <sheetName val="AnalisaSIPIL RIIL"/>
      <sheetName val="database"/>
      <sheetName val="Kode"/>
      <sheetName val="Hst_mat"/>
      <sheetName val="BAB_5_2_BiaLang"/>
      <sheetName val="Uraian Analisa"/>
      <sheetName val="DHS Alat"/>
      <sheetName val="Margin"/>
      <sheetName val="DHS Bahan Material"/>
      <sheetName val="DHS Upah"/>
      <sheetName val="PERSONIL"/>
      <sheetName val="PERALATAN"/>
      <sheetName val="Analisa Harga Terpakai"/>
      <sheetName val="Pintu"/>
      <sheetName val="JUMLAHAN TOTAL "/>
      <sheetName val="LUMPSUM"/>
      <sheetName val="extern"/>
      <sheetName val="D.BOARD"/>
      <sheetName val="1-08-2019"/>
      <sheetName val="DATA 2009"/>
      <sheetName val="DATA 2010"/>
      <sheetName val="Kinerja Proyek"/>
      <sheetName val="Target Raker TW III"/>
      <sheetName val="KUB-01(10)"/>
      <sheetName val="2005"/>
      <sheetName val="Public Area"/>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COVERUSRP"/>
      <sheetName val="REKAP TOTAL"/>
      <sheetName val="JARINGAN AIR BERSIH"/>
      <sheetName val="OVERHEAD"/>
      <sheetName val="AHSATBAJA"/>
      <sheetName val="AHSAT"/>
      <sheetName val="Policy"/>
      <sheetName val="EKSTERNAL"/>
      <sheetName val="TYPE E ME"/>
      <sheetName val="TYPE A ME"/>
      <sheetName val="TYPE B ME"/>
      <sheetName val="TYPE C ME"/>
      <sheetName val="TYPE D ME"/>
      <sheetName val="JARINGAN LISTRIK"/>
      <sheetName val="TYPE A"/>
      <sheetName val="TYPE B"/>
      <sheetName val="TYPE C"/>
      <sheetName val="TYPE D"/>
      <sheetName val="TYPE E"/>
      <sheetName val="Bill No 6 Koord &amp; Attendance"/>
      <sheetName val="AHSbj"/>
      <sheetName val="SELISIH HARGA"/>
      <sheetName val="Daf.Dasar Upah&amp;Bahan"/>
      <sheetName val="GeneralInfo"/>
      <sheetName val="Fill this out first___"/>
      <sheetName val="DAF. PEKERJAAN"/>
      <sheetName val="SPESISIKASI PENAWARAN"/>
      <sheetName val="pondasi"/>
      <sheetName val="Daf-2.4 Baja"/>
      <sheetName val="MasterCos"/>
      <sheetName val="61004"/>
      <sheetName val="61005"/>
      <sheetName val="61006"/>
      <sheetName val="61007"/>
      <sheetName val="61008"/>
      <sheetName val="Grandtotals"/>
      <sheetName val="SewAlat"/>
      <sheetName val="Rumus"/>
      <sheetName val="Analisa Tend"/>
      <sheetName val="DAF-2"/>
      <sheetName val="ana_str"/>
      <sheetName val="BS-1"/>
      <sheetName val="SB"/>
      <sheetName val="Lt-Lobby"/>
      <sheetName val="Lt-Mezanin"/>
      <sheetName val="Lt-1"/>
      <sheetName val="Lt-2"/>
      <sheetName val="Lt-3"/>
      <sheetName val="Lt-5"/>
      <sheetName val="Lt-6"/>
      <sheetName val="Lt-7"/>
      <sheetName val="Lt-8"/>
      <sheetName val="Lt-9"/>
      <sheetName val="Lt-10"/>
      <sheetName val="Lt-11"/>
      <sheetName val="Lt-12"/>
      <sheetName val="Lt-15"/>
      <sheetName val="Lt-16"/>
      <sheetName val="Lt-17"/>
      <sheetName val="Lt-18"/>
      <sheetName val="Lt-19"/>
      <sheetName val="Lt-20"/>
      <sheetName val="Lt-21"/>
      <sheetName val="Lt-22"/>
      <sheetName val="Lt-23"/>
      <sheetName val="Lt-25"/>
      <sheetName val="Lt-26"/>
      <sheetName val="Lt-27"/>
      <sheetName val="ATAP &amp; RISER"/>
      <sheetName val="ANSAT K'AYI"/>
      <sheetName val="HS UPAH"/>
      <sheetName val="HS BAHAN"/>
      <sheetName val="PRODALAT"/>
      <sheetName val=" MINGGUAN"/>
      <sheetName val="analbahan"/>
      <sheetName val="petunjuk"/>
      <sheetName val="HAR_INI"/>
      <sheetName val="HAR_LALU"/>
      <sheetName val="harian"/>
      <sheetName val="Analisa IC"/>
      <sheetName val="Analisa J"/>
      <sheetName val="Rekap Biaya Alat"/>
      <sheetName val="Biaya Operator"/>
      <sheetName val="Ops Alat"/>
      <sheetName val="Sewa Alat"/>
      <sheetName val="TAB"/>
      <sheetName val="Input Data"/>
      <sheetName val="Luas-Tot"/>
      <sheetName val="22"/>
      <sheetName val="RAP1"/>
      <sheetName val="SAPON"/>
      <sheetName val="BBM-03"/>
      <sheetName val="Solar"/>
      <sheetName val="OLI HEQ"/>
      <sheetName val="33"/>
      <sheetName val="Lead Schedule"/>
      <sheetName val="2"/>
      <sheetName val="6"/>
      <sheetName val="Airside"/>
      <sheetName val="AN__TAMPL"/>
      <sheetName val="Input_monthly_capex"/>
      <sheetName val="Attachment-3_Chem"/>
      <sheetName val="ﾄﾞﾊﾞｲFUEL_GAS追見"/>
      <sheetName val="Breakdown_Instrument"/>
      <sheetName val="Man_Power"/>
      <sheetName val="Pengalaman_Per"/>
      <sheetName val="BOQ_EM"/>
      <sheetName val="Analisa_Upah___Bahan_Plum"/>
      <sheetName val="bhn_FINAL"/>
      <sheetName val="daf_isi_(xref)"/>
      <sheetName val="Currency_Rate"/>
      <sheetName val="Analisa_ME_UPT"/>
      <sheetName val="Harga_Kabel"/>
      <sheetName val="Anls_teknis"/>
      <sheetName val="DO_AM_DT"/>
      <sheetName val="Analisa___Upah"/>
      <sheetName val="EXTERNAL_WORK"/>
      <sheetName val="A+Supl_"/>
      <sheetName val="Peralatan_Utama"/>
      <sheetName val="HRG_DSR_APP"/>
      <sheetName val="Schedule_11a"/>
      <sheetName val="Septick_tank"/>
      <sheetName val="BQ_INT"/>
      <sheetName val="15_Harga_Satuan_Bahan"/>
      <sheetName val="HS_UPAH"/>
      <sheetName val="HS_BAHAN"/>
      <sheetName val="_MINGGUAN"/>
      <sheetName val="Analisa_IC"/>
      <sheetName val="Analisa_J"/>
      <sheetName val="Rekap_Biaya_Alat"/>
      <sheetName val="Biaya_Operator"/>
      <sheetName val="Ops_Alat"/>
      <sheetName val="Sewa_Alat"/>
      <sheetName val="HARGA_MATERIAL"/>
      <sheetName val="H_Sat_Jembatan"/>
      <sheetName val="reporting_package-bmel_31-12-04"/>
      <sheetName val="Input_Data"/>
      <sheetName val="an_utara"/>
      <sheetName val="NS_GD_UGD"/>
      <sheetName val="STD_GD_UGD"/>
      <sheetName val="Harga_Bahan"/>
      <sheetName val="Hrg_Sat"/>
      <sheetName val="HD_UPAH"/>
      <sheetName val="BOQ_SNJ_1"/>
      <sheetName val="DKH_CCO_1A"/>
      <sheetName val="DKH_CCO_1B_R-1"/>
      <sheetName val="anal-drainase,tanah&amp;ps_batu"/>
      <sheetName val="NP_(2)"/>
      <sheetName val="B"/>
      <sheetName val="Harsat Upah"/>
      <sheetName val="Harsat Pekerjaan"/>
      <sheetName val="Analisa (ok)"/>
      <sheetName val="Hardas"/>
      <sheetName val="hrg-dsr"/>
      <sheetName val="ENC.14"/>
      <sheetName val="Buis beton"/>
      <sheetName val="Bronjong"/>
      <sheetName val="Camar ac opname"/>
      <sheetName val="KAKTUS KLAS A"/>
      <sheetName val="ANL"/>
      <sheetName val="FA"/>
      <sheetName val="Analisa HS"/>
      <sheetName val="PipTable"/>
      <sheetName val="analisa Str"/>
      <sheetName val="ANALISA-K"/>
      <sheetName val="ANTEK3"/>
      <sheetName val="FORM 3A"/>
      <sheetName val="HARGA SAT"/>
      <sheetName val="R1. GREJA KATHOLIK"/>
      <sheetName val="Pesangon _ jml kary"/>
      <sheetName val="BOQ - HPS PU"/>
      <sheetName val="COA-17"/>
      <sheetName val="C-18"/>
      <sheetName val="PNT"/>
      <sheetName val="ITB COST"/>
      <sheetName val="MP3"/>
      <sheetName val="REKAP ELEKTRIKAL"/>
      <sheetName val="HRG BAHAN _ UPAH okk"/>
      <sheetName val="HRG BAHAN &amp; UPAH okk"/>
      <sheetName val="Analis Kusen okk"/>
      <sheetName val="Gal &amp; Timb KAJU"/>
      <sheetName val="Uph&amp;bhn"/>
      <sheetName val="Pro(E)_3"/>
      <sheetName val="MAKER_(E)3"/>
      <sheetName val="Bill_Of_Quantity3"/>
      <sheetName val="H_Satuan3"/>
      <sheetName val="rab_me_(by_owner)_3"/>
      <sheetName val="BQ_(by_owner)3"/>
      <sheetName val="rab_me_(fisik)3"/>
      <sheetName val="GLP_20013"/>
      <sheetName val="Anl_+3"/>
      <sheetName val="HS_Alat2"/>
      <sheetName val="REF_ONLY2"/>
      <sheetName val="01A-_RAB2"/>
      <sheetName val="L3_An_H_Sat_Mob2"/>
      <sheetName val="DRUP_(ASLI)2"/>
      <sheetName val="HB_2"/>
      <sheetName val="BOQ_INTERN2"/>
      <sheetName val="rab_-_persiapan_&amp;_lantai-12"/>
      <sheetName val="Analis_Kusen_1_ESKALASI2"/>
      <sheetName val="Analisa_ME2"/>
      <sheetName val="KODE_REK2"/>
      <sheetName val="ANLS_20092"/>
      <sheetName val="Harga_Bahan_&amp;_Upah_2"/>
      <sheetName val="analisa_pagar2"/>
      <sheetName val="Bill_of_Qty_MEP2"/>
      <sheetName val="NP_(4)2"/>
      <sheetName val="K_Lead2"/>
      <sheetName val="BoQ_STR2"/>
      <sheetName val="Finishing_(2)2"/>
      <sheetName val="5_1_ELEKTRIKAL-ELEKTRONIK2"/>
      <sheetName val="BQ_Arsitektur2"/>
      <sheetName val="DAF_3_13"/>
      <sheetName val="DAF_3_112"/>
      <sheetName val="NS_GD_UTAMA2"/>
      <sheetName val="Isolasi_Luar_Dalam2"/>
      <sheetName val="Isolasi_Luar2"/>
      <sheetName val="ELEC_STIS2"/>
      <sheetName val="HRG_BHN2"/>
      <sheetName val="Kuantitas_&amp;_Harga1"/>
      <sheetName val="Rekap_Biaya1"/>
      <sheetName val="Master_1_02"/>
      <sheetName val="Tie_Beam_GN2"/>
      <sheetName val="Tangga_GN2"/>
      <sheetName val="FORM_X_COST2"/>
      <sheetName val="ANALISA_PEK_UMUM2"/>
      <sheetName val="Har_Sat2"/>
      <sheetName val="RAB_AR&amp;STR2"/>
      <sheetName val="Transfer_Pump2"/>
      <sheetName val="PT_2"/>
      <sheetName val="Urai_Galian_Tanah2"/>
      <sheetName val="Pekerjaan_Harian2"/>
      <sheetName val="Mahasiswa_2_lantai2"/>
      <sheetName val="Tata_Udara2"/>
      <sheetName val="RKP_PLUMBING2"/>
      <sheetName val="Analisa_Upah_&amp;_Bahan_Plum2"/>
      <sheetName val="MARK_UP1"/>
      <sheetName val="DES_151"/>
      <sheetName val="dATA_pc1"/>
      <sheetName val="Rek_Tot1"/>
      <sheetName val="BANGUNAN_PENUNJANG1"/>
      <sheetName val="an__struktur1"/>
      <sheetName val="D_&amp;_W_sizes1"/>
      <sheetName val="Vol__Lantai_Tipikal1"/>
      <sheetName val="Analisa_Struktur1"/>
      <sheetName val="Pas__bata_(anyar)1"/>
      <sheetName val="Pas__bata1"/>
      <sheetName val="PILE_CAP1"/>
      <sheetName val="TIE_BEAM1"/>
      <sheetName val="INPUT_BALOK1"/>
      <sheetName val="itungan_Balok1"/>
      <sheetName val="RASIO_SLAB1"/>
      <sheetName val="PIT_LIFT1"/>
      <sheetName val="BGNN_UTILITAS1"/>
      <sheetName val="Agregat_Halus_&amp;_Kasar1"/>
      <sheetName val="Master_Dat1"/>
      <sheetName val="M_&amp;_E1"/>
      <sheetName val="Beton_K-2501"/>
      <sheetName val="4-Basic_Price1"/>
      <sheetName val="Perm__Test1"/>
      <sheetName val="lt__dasar1"/>
      <sheetName val="struktur_tdk_dipakai1"/>
      <sheetName val="Data_Tower1"/>
      <sheetName val="Harga_Dasar1"/>
      <sheetName val="SBDY_Jemb_Tayan1"/>
      <sheetName val="3-DIV7_B1"/>
      <sheetName val="Rekap_Prelim1"/>
      <sheetName val="Cover_(x)1"/>
      <sheetName val="Cor_Apt1"/>
      <sheetName val="Cover_CKE1"/>
      <sheetName val="Summary_Mech_1"/>
      <sheetName val="Mech__BQ1"/>
      <sheetName val="P_APRIL_20161"/>
      <sheetName val="Qttn_Report1"/>
      <sheetName val="Ｎｏ_131"/>
      <sheetName val="Bill_No_2_1_1"/>
      <sheetName val="APT___BALCONIES1"/>
      <sheetName val="BANG_TONG_HOP_(2)1"/>
      <sheetName val="concept_cost_code1"/>
      <sheetName val="summary_cost_code1"/>
      <sheetName val="kas_proyek1"/>
      <sheetName val="lain_lain1"/>
      <sheetName val="SK_MIgas_toilet_lt-40,_R-21"/>
      <sheetName val="SK_MIgas_toilet_lt-40,_R-0_(P'1"/>
      <sheetName val="PLINT_3_1_G1"/>
      <sheetName val="SATUAN_1"/>
      <sheetName val="Analisa_Harga1"/>
      <sheetName val="Analisa_Harga_Satuan1"/>
      <sheetName val="Mat_Mek1"/>
      <sheetName val="Div26_-_Elect1"/>
      <sheetName val="Galian_11"/>
      <sheetName val="Harsat_Alat1"/>
      <sheetName val="7_1(3)1"/>
      <sheetName val="Basic_Price1"/>
      <sheetName val="Unit_Rate1"/>
      <sheetName val="h_sat-bbm1"/>
      <sheetName val="Sumber_Daya1"/>
      <sheetName val="PRD_01-6(I-II)1"/>
      <sheetName val="PRD_01-7_alat1"/>
      <sheetName val="RP_PROD_091"/>
      <sheetName val="Fill_this_out_first___"/>
      <sheetName val="sheet_21"/>
      <sheetName val="RAB_ME1"/>
      <sheetName val="Analisa_Mob__31"/>
      <sheetName val="Analisa_Mob_11"/>
      <sheetName val="Analisa_Alat1"/>
      <sheetName val="Analisa_Mob__21"/>
      <sheetName val="Daftar_berat1"/>
      <sheetName val="1_B1"/>
      <sheetName val="DG_1"/>
      <sheetName val="TOWER_D1"/>
      <sheetName val="RAB_DC1"/>
      <sheetName val="BQ_OE1"/>
      <sheetName val="Agg_Halus_&amp;_Kasar1"/>
      <sheetName val="Harsat_Upah"/>
      <sheetName val="Harsat_Pekerjaan"/>
      <sheetName val="Analisa_(ok)"/>
      <sheetName val="Anls_Hrg_Sat1"/>
      <sheetName val="Sat_Bah___Up1"/>
      <sheetName val="2_E1"/>
      <sheetName val="2_F1"/>
      <sheetName val="DIV_51"/>
      <sheetName val="DIV_61"/>
      <sheetName val="Divisi_Baru1"/>
      <sheetName val="Met__Minor1"/>
      <sheetName val="bearing_PDMR11"/>
      <sheetName val="Stay_Cable_PDMR11"/>
      <sheetName val="Post_Tens-11"/>
      <sheetName val="inner_pervious_adjust_"/>
      <sheetName val="outer_pervious_adjust"/>
      <sheetName val="Supl_X"/>
      <sheetName val="ITB_COST"/>
      <sheetName val="REKAP_ELEKTRIKAL"/>
      <sheetName val="HRG_BAHAN___UPAH_okk"/>
      <sheetName val="HRG_BAHAN_&amp;_UPAH_okk"/>
      <sheetName val="Analis_Kusen_okk"/>
      <sheetName val="Gal_&amp;_Timb_KAJU"/>
      <sheetName val="K-2007"/>
      <sheetName val="bukan PNS"/>
      <sheetName val="har-sat"/>
      <sheetName val="Analisa Bangun "/>
      <sheetName val="Urugan Pasir"/>
      <sheetName val="Bill 2.3"/>
      <sheetName val="Bill 2.5B"/>
      <sheetName val="Bill 2.1"/>
      <sheetName val="PROGRESS"/>
      <sheetName val="Sheet"/>
      <sheetName val="luasan"/>
      <sheetName val="Arsitektur"/>
      <sheetName val="TRBP"/>
      <sheetName val="Tariptunda"/>
      <sheetName val="DAFTAR_HARGA2"/>
      <sheetName val="Daf_Dasar_Upah&amp;Bahan"/>
      <sheetName val="ACTUAL_CHECK"/>
      <sheetName val="SELISIH_HARGA"/>
      <sheetName val="DAF__PEKERJAAN"/>
      <sheetName val="SPESISIKASI_PENAWARAN"/>
      <sheetName val="Daf-2_4_Baja"/>
      <sheetName val="sum_mdc"/>
      <sheetName val="BOQ_ADD-12"/>
      <sheetName val="Rekap_Analisa"/>
      <sheetName val="Analisa_Tend"/>
      <sheetName val="Cash_Flow_bulanan"/>
      <sheetName val="7_PEK-STRUKTUR"/>
      <sheetName val="DIV_9"/>
      <sheetName val="7_공정표"/>
      <sheetName val="AnalisaSIPIL_RIIL"/>
      <sheetName val="Uraian_Analisa"/>
      <sheetName val="ATAP_&amp;_RISER"/>
      <sheetName val="Pro(E)_4"/>
      <sheetName val="MAKER_(E)4"/>
      <sheetName val="H_Satuan4"/>
      <sheetName val="rab_me_(by_owner)_4"/>
      <sheetName val="BQ_(by_owner)4"/>
      <sheetName val="rab_me_(fisik)4"/>
      <sheetName val="Bill_Of_Quantity4"/>
      <sheetName val="RKP_PLUMBING3"/>
      <sheetName val="ANLS_20093"/>
      <sheetName val="Harga_Bahan_&amp;_Upah_3"/>
      <sheetName val="analisa_pagar3"/>
      <sheetName val="rab_-_persiapan_&amp;_lantai-13"/>
      <sheetName val="DAFTAR_HARGA3"/>
      <sheetName val="GLP_20014"/>
      <sheetName val="01A-_RAB3"/>
      <sheetName val="Tata_Udara3"/>
      <sheetName val="HB_3"/>
      <sheetName val="REF_ONLY3"/>
      <sheetName val="5_1_ELEKTRIKAL-ELEKTRONIK3"/>
      <sheetName val="ELEC_STIS3"/>
      <sheetName val="Bill_of_Qty_MEP3"/>
      <sheetName val="BoQ_STR3"/>
      <sheetName val="Finishing_(2)3"/>
      <sheetName val="Anl_+4"/>
      <sheetName val="HRG_BHN3"/>
      <sheetName val="Isolasi_Luar_Dalam3"/>
      <sheetName val="Isolasi_Luar3"/>
      <sheetName val="MARK_UP2"/>
      <sheetName val="Analis_Kusen_1_ESKALASI3"/>
      <sheetName val="Analisa_ME3"/>
      <sheetName val="NP_(4)3"/>
      <sheetName val="HS_Alat3"/>
      <sheetName val="KODE_REK3"/>
      <sheetName val="Master_1_03"/>
      <sheetName val="Har_Sat3"/>
      <sheetName val="L3_An_H_Sat_Mob3"/>
      <sheetName val="DRUP_(ASLI)3"/>
      <sheetName val="DAF_3_14"/>
      <sheetName val="DAF_3_113"/>
      <sheetName val="BQ_Arsitektur3"/>
      <sheetName val="NS_GD_UTAMA3"/>
      <sheetName val="Tie_Beam_GN3"/>
      <sheetName val="Tangga_GN3"/>
      <sheetName val="Transfer_Pump3"/>
      <sheetName val="DES_152"/>
      <sheetName val="RAB_AR&amp;STR3"/>
      <sheetName val="PT_3"/>
      <sheetName val="Urai_Galian_Tanah3"/>
      <sheetName val="Pekerjaan_Harian3"/>
      <sheetName val="Mahasiswa_2_lantai3"/>
      <sheetName val="FORM_X_COST3"/>
      <sheetName val="BOQ_INTERN3"/>
      <sheetName val="ANALISA_PEK_UMUM3"/>
      <sheetName val="BGNN_UTILITAS2"/>
      <sheetName val="D_&amp;_W_sizes2"/>
      <sheetName val="an__struktur2"/>
      <sheetName val="Rek_Tot2"/>
      <sheetName val="dATA_pc2"/>
      <sheetName val="BANGUNAN_PENUNJANG2"/>
      <sheetName val="M_&amp;_E2"/>
      <sheetName val="K_Lead3"/>
      <sheetName val="Analisa_Upah_&amp;_Bahan_Plum3"/>
      <sheetName val="Vol__Lantai_Tipikal2"/>
      <sheetName val="Analisa_Struktur2"/>
      <sheetName val="Pas__bata_(anyar)2"/>
      <sheetName val="Pas__bata2"/>
      <sheetName val="PILE_CAP2"/>
      <sheetName val="TIE_BEAM2"/>
      <sheetName val="INPUT_BALOK2"/>
      <sheetName val="itungan_Balok2"/>
      <sheetName val="RASIO_SLAB2"/>
      <sheetName val="PIT_LIFT2"/>
      <sheetName val="lt__dasar2"/>
      <sheetName val="struktur_tdk_dipakai2"/>
      <sheetName val="3-DIV7_B2"/>
      <sheetName val="Rekap_Prelim2"/>
      <sheetName val="7_1(3)2"/>
      <sheetName val="Harga_Dasar2"/>
      <sheetName val="Ｎｏ_132"/>
      <sheetName val="Cover_(x)2"/>
      <sheetName val="Cor_Apt2"/>
      <sheetName val="Mat_Mek2"/>
      <sheetName val="Harsat_Alat2"/>
      <sheetName val="a_21"/>
      <sheetName val="Perm__Test2"/>
      <sheetName val="Galian_12"/>
      <sheetName val="Basic_Price2"/>
      <sheetName val="Unit_Rate2"/>
      <sheetName val="Kuantitas_&amp;_Harga2"/>
      <sheetName val="Data_Tower2"/>
      <sheetName val="SK_MIgas_toilet_lt-40,_R-22"/>
      <sheetName val="SK_MIgas_toilet_lt-40,_R-0_(P'2"/>
      <sheetName val="PLINT_3_1_G2"/>
      <sheetName val="Beton_K-2502"/>
      <sheetName val="sheet_22"/>
      <sheetName val="RAB_ME2"/>
      <sheetName val="Analisa_Mob__32"/>
      <sheetName val="Analisa_Mob_12"/>
      <sheetName val="Analisa_Alat2"/>
      <sheetName val="Analisa_Mob__22"/>
      <sheetName val="Cover_CKE2"/>
      <sheetName val="Summary_Mech_2"/>
      <sheetName val="Mech__BQ2"/>
      <sheetName val="P_APRIL_20162"/>
      <sheetName val="Qttn_Report2"/>
      <sheetName val="Analisa_Harga_Satuan2"/>
      <sheetName val="SBDY_Jemb_Tayan2"/>
      <sheetName val="daf_isi_(xref)1"/>
      <sheetName val="Currency_Rate1"/>
      <sheetName val="BANG_TONG_HOP_(2)2"/>
      <sheetName val="Bill_No_2_1_2"/>
      <sheetName val="concept_cost_code2"/>
      <sheetName val="summary_cost_code2"/>
      <sheetName val="kas_proyek2"/>
      <sheetName val="lain_lain2"/>
      <sheetName val="APT___BALCONIES2"/>
      <sheetName val="SATUAN_2"/>
      <sheetName val="Analisa_Harga2"/>
      <sheetName val="AN__TAMPL1"/>
      <sheetName val="Div26_-_Elect2"/>
      <sheetName val="HRG_DSR_APP1"/>
      <sheetName val="RP_PROD_092"/>
      <sheetName val="Sumber_Daya2"/>
      <sheetName val="PRD_01-6(I-II)2"/>
      <sheetName val="PRD_01-7_alat2"/>
      <sheetName val="Supl_X1"/>
      <sheetName val="Rekap_Biaya2"/>
      <sheetName val="h_sat-bbm2"/>
      <sheetName val="Agregat_Halus_&amp;_Kasar2"/>
      <sheetName val="Master_Dat2"/>
      <sheetName val="4-Basic_Price2"/>
      <sheetName val="Anls_Hrg_Sat2"/>
      <sheetName val="Sat_Bah___Up2"/>
      <sheetName val="DG_2"/>
      <sheetName val="1_B2"/>
      <sheetName val="Daftar_berat2"/>
      <sheetName val="Daf_Dasar_Upah&amp;Bahan1"/>
      <sheetName val="Pengalaman_Per1"/>
      <sheetName val="bhn_FINAL1"/>
      <sheetName val="Analisa_ME_UPT1"/>
      <sheetName val="Hrg_Sat1"/>
      <sheetName val="HD_UPAH1"/>
      <sheetName val="ACTUAL_CHECK1"/>
      <sheetName val="SELISIH_HARGA1"/>
      <sheetName val="Input_monthly_capex1"/>
      <sheetName val="Attachment-3_Chem1"/>
      <sheetName val="ﾄﾞﾊﾞｲFUEL_GAS追見1"/>
      <sheetName val="Breakdown_Instrument1"/>
      <sheetName val="DAF__PEKERJAAN1"/>
      <sheetName val="SPESISIKASI_PENAWARAN1"/>
      <sheetName val="Daf-2_4_Baja1"/>
      <sheetName val="sum_mdc1"/>
      <sheetName val="2_E2"/>
      <sheetName val="2_F2"/>
      <sheetName val="DIV_52"/>
      <sheetName val="DIV_62"/>
      <sheetName val="Divisi_Baru2"/>
      <sheetName val="RAB_DC2"/>
      <sheetName val="BQ_OE2"/>
      <sheetName val="Agg_Halus_&amp;_Kasar2"/>
      <sheetName val="TOWER_D2"/>
      <sheetName val="Met__Minor2"/>
      <sheetName val="bearing_PDMR12"/>
      <sheetName val="Stay_Cable_PDMR12"/>
      <sheetName val="Post_Tens-12"/>
      <sheetName val="15_Harga_Satuan_Bahan1"/>
      <sheetName val="inner_pervious_adjust_1"/>
      <sheetName val="outer_pervious_adjust1"/>
      <sheetName val="BOQ_SNJ_11"/>
      <sheetName val="DKH_CCO_1A1"/>
      <sheetName val="DKH_CCO_1B_R-11"/>
      <sheetName val="Man_Power1"/>
      <sheetName val="BOQ_EM1"/>
      <sheetName val="anal-drainase,tanah&amp;ps_batu1"/>
      <sheetName val="NP_(2)1"/>
      <sheetName val="BOQ_ADD-121"/>
      <sheetName val="Rekap_Analisa1"/>
      <sheetName val="Analisa_Tend1"/>
      <sheetName val="HARGA_MATERIAL1"/>
      <sheetName val="Cash_Flow_bulanan1"/>
      <sheetName val="7_PEK-STRUKTUR1"/>
      <sheetName val="DIV_91"/>
      <sheetName val="7_공정표1"/>
      <sheetName val="Fill_this_out_first___1"/>
      <sheetName val="A+Supl_1"/>
      <sheetName val="Peralatan_Utama1"/>
      <sheetName val="Schedule_11a1"/>
      <sheetName val="Septick_tank1"/>
      <sheetName val="AnalisaSIPIL_RIIL1"/>
      <sheetName val="Uraian_Analisa1"/>
      <sheetName val="ATAP_&amp;_RISER1"/>
      <sheetName val="WBS"/>
      <sheetName val="97 사업추정(WEKI)"/>
      <sheetName val="Part Desc"/>
      <sheetName val="rap rinci"/>
      <sheetName val="crude.SLAB RE-bar"/>
      <sheetName val="CRUDE RE-bar"/>
      <sheetName val="Eq. Mobilization"/>
      <sheetName val="DIVISI 3"/>
      <sheetName val="SAT.UPAH"/>
      <sheetName val="analisa SNI"/>
      <sheetName val="ARL"/>
      <sheetName val="PV"/>
      <sheetName val="SAT EL"/>
      <sheetName val="KBL"/>
      <sheetName val="RAP"/>
      <sheetName val="igp_alt4"/>
      <sheetName val="REKAPDP1"/>
      <sheetName val="BQ DP (2)"/>
      <sheetName val="RAB "/>
      <sheetName val="Spl"/>
      <sheetName val="REKAP (2)"/>
      <sheetName val="KW (2)"/>
      <sheetName val="srt (2)"/>
      <sheetName val="Rekap DP"/>
      <sheetName val="KW"/>
      <sheetName val="BQ DP"/>
      <sheetName val="Sheet2"/>
      <sheetName val="ANalat"/>
      <sheetName val="Vol RKAP 2019"/>
      <sheetName val="Rev RKAP 2019"/>
      <sheetName val="HSD Alat"/>
      <sheetName val="HSD Bahan"/>
      <sheetName val="Sum IF"/>
      <sheetName val="HSD Upah"/>
      <sheetName val="DB SMT BANUS"/>
      <sheetName val="Rekap Direct Cost"/>
      <sheetName val="Cover Daf-2"/>
      <sheetName val="Up1"/>
      <sheetName val="Up"/>
      <sheetName val="bhn-upah"/>
      <sheetName val="HARGA SATUAN"/>
      <sheetName val="B.T"/>
      <sheetName val="SchC"/>
      <sheetName val="SchA"/>
      <sheetName val="SchB"/>
      <sheetName val="SchD"/>
      <sheetName val="bhn_upah"/>
      <sheetName val="Gal Sal"/>
      <sheetName val="Caratula"/>
      <sheetName val="BAG-III"/>
      <sheetName val="GRAND REKAP"/>
      <sheetName val="Penjumlahan"/>
      <sheetName val="BQ-Str"/>
      <sheetName val="Config"/>
      <sheetName val="Pro(E)_5"/>
      <sheetName val="MAKER_(E)5"/>
      <sheetName val="H_Satuan5"/>
      <sheetName val="rab_me_(by_owner)_5"/>
      <sheetName val="BQ_(by_owner)5"/>
      <sheetName val="rab_me_(fisik)5"/>
      <sheetName val="Bill_Of_Quantity5"/>
      <sheetName val="RKP_PLUMBING4"/>
      <sheetName val="ANLS_20094"/>
      <sheetName val="Harga_Bahan_&amp;_Upah_4"/>
      <sheetName val="analisa_pagar4"/>
      <sheetName val="rab_-_persiapan_&amp;_lantai-14"/>
      <sheetName val="DAFTAR_HARGA4"/>
      <sheetName val="GLP_20015"/>
      <sheetName val="01A-_RAB4"/>
      <sheetName val="Tata_Udara4"/>
      <sheetName val="HB_4"/>
      <sheetName val="REF_ONLY4"/>
      <sheetName val="5_1_ELEKTRIKAL-ELEKTRONIK4"/>
      <sheetName val="ELEC_STIS4"/>
      <sheetName val="Bill_of_Qty_MEP4"/>
      <sheetName val="BoQ_STR4"/>
      <sheetName val="Finishing_(2)4"/>
      <sheetName val="Anl_+5"/>
      <sheetName val="HRG_BHN4"/>
      <sheetName val="Isolasi_Luar_Dalam4"/>
      <sheetName val="Isolasi_Luar4"/>
      <sheetName val="MARK_UP3"/>
      <sheetName val="Analis_Kusen_1_ESKALASI4"/>
      <sheetName val="Analisa_ME4"/>
      <sheetName val="NP_(4)4"/>
      <sheetName val="HS_Alat4"/>
      <sheetName val="KODE_REK4"/>
      <sheetName val="Master_1_04"/>
      <sheetName val="Har_Sat4"/>
      <sheetName val="L3_An_H_Sat_Mob4"/>
      <sheetName val="DRUP_(ASLI)4"/>
      <sheetName val="DAF_3_15"/>
      <sheetName val="DAF_3_114"/>
      <sheetName val="BQ_Arsitektur4"/>
      <sheetName val="NS_GD_UTAMA4"/>
      <sheetName val="Tie_Beam_GN4"/>
      <sheetName val="Tangga_GN4"/>
      <sheetName val="Transfer_Pump4"/>
      <sheetName val="DES_153"/>
      <sheetName val="RAB_AR&amp;STR4"/>
      <sheetName val="PT_4"/>
      <sheetName val="Urai_Galian_Tanah4"/>
      <sheetName val="Pekerjaan_Harian4"/>
      <sheetName val="Mahasiswa_2_lantai4"/>
      <sheetName val="FORM_X_COST4"/>
      <sheetName val="BOQ_INTERN4"/>
      <sheetName val="ANALISA_PEK_UMUM4"/>
      <sheetName val="BGNN_UTILITAS3"/>
      <sheetName val="D_&amp;_W_sizes3"/>
      <sheetName val="an__struktur3"/>
      <sheetName val="Rek_Tot3"/>
      <sheetName val="dATA_pc3"/>
      <sheetName val="BANGUNAN_PENUNJANG3"/>
      <sheetName val="M_&amp;_E3"/>
      <sheetName val="K_Lead4"/>
      <sheetName val="Vol__Lantai_Tipikal3"/>
      <sheetName val="Analisa_Struktur3"/>
      <sheetName val="Pas__bata_(anyar)3"/>
      <sheetName val="Pas__bata3"/>
      <sheetName val="PILE_CAP3"/>
      <sheetName val="TIE_BEAM3"/>
      <sheetName val="INPUT_BALOK3"/>
      <sheetName val="itungan_Balok3"/>
      <sheetName val="RASIO_SLAB3"/>
      <sheetName val="PIT_LIFT3"/>
      <sheetName val="Analisa_Upah_&amp;_Bahan_Plum4"/>
      <sheetName val="3-DIV7_B3"/>
      <sheetName val="Rekap_Prelim3"/>
      <sheetName val="lt__dasar3"/>
      <sheetName val="struktur_tdk_dipakai3"/>
      <sheetName val="7_1(3)3"/>
      <sheetName val="Harga_Dasar3"/>
      <sheetName val="Ｎｏ_133"/>
      <sheetName val="Cover_(x)3"/>
      <sheetName val="Cor_Apt3"/>
      <sheetName val="Mat_Mek3"/>
      <sheetName val="Harsat_Alat3"/>
      <sheetName val="Perm__Test3"/>
      <sheetName val="Galian_13"/>
      <sheetName val="Basic_Price3"/>
      <sheetName val="Unit_Rate3"/>
      <sheetName val="Kuantitas_&amp;_Harga3"/>
      <sheetName val="Cover_CKE3"/>
      <sheetName val="Summary_Mech_3"/>
      <sheetName val="Mech__BQ3"/>
      <sheetName val="P_APRIL_20163"/>
      <sheetName val="Qttn_Report3"/>
      <sheetName val="Analisa_Harga_Satuan3"/>
      <sheetName val="SK_MIgas_toilet_lt-40,_R-23"/>
      <sheetName val="SK_MIgas_toilet_lt-40,_R-0_(P'3"/>
      <sheetName val="PLINT_3_1_G3"/>
      <sheetName val="BANG_TONG_HOP_(2)3"/>
      <sheetName val="Bill_No_2_1_3"/>
      <sheetName val="concept_cost_code3"/>
      <sheetName val="summary_cost_code3"/>
      <sheetName val="kas_proyek3"/>
      <sheetName val="lain_lain3"/>
      <sheetName val="APT___BALCONIES3"/>
      <sheetName val="SATUAN_3"/>
      <sheetName val="Analisa_Harga3"/>
      <sheetName val="Data_Tower3"/>
      <sheetName val="AN__TAMPL2"/>
      <sheetName val="Div26_-_Elect3"/>
      <sheetName val="SBDY_Jemb_Tayan3"/>
      <sheetName val="HRG_DSR_APP2"/>
      <sheetName val="Beton_K-2503"/>
      <sheetName val="sheet_23"/>
      <sheetName val="RAB_ME3"/>
      <sheetName val="Analisa_Mob__33"/>
      <sheetName val="Analisa_Mob_13"/>
      <sheetName val="Analisa_Alat3"/>
      <sheetName val="Analisa_Mob__23"/>
      <sheetName val="daf_isi_(xref)2"/>
      <sheetName val="Currency_Rate2"/>
      <sheetName val="RP_PROD_093"/>
      <sheetName val="Sumber_Daya3"/>
      <sheetName val="PRD_01-6(I-II)3"/>
      <sheetName val="PRD_01-7_alat3"/>
      <sheetName val="Supl_X2"/>
      <sheetName val="Rekap_Biaya3"/>
      <sheetName val="h_sat-bbm3"/>
      <sheetName val="Agregat_Halus_&amp;_Kasar3"/>
      <sheetName val="Master_Dat3"/>
      <sheetName val="4-Basic_Price3"/>
      <sheetName val="Anls_Hrg_Sat3"/>
      <sheetName val="Sat_Bah___Up3"/>
      <sheetName val="DG_3"/>
      <sheetName val="1_B3"/>
      <sheetName val="Daftar_berat3"/>
      <sheetName val="Hrg_Sat2"/>
      <sheetName val="HD_UPAH2"/>
      <sheetName val="bhn_FINAL2"/>
      <sheetName val="SELISIH_HARGA2"/>
      <sheetName val="ACTUAL_CHECK2"/>
      <sheetName val="Daf_Dasar_Upah&amp;Bahan2"/>
      <sheetName val="Input_monthly_capex2"/>
      <sheetName val="Attachment-3_Chem2"/>
      <sheetName val="ﾄﾞﾊﾞｲFUEL_GAS追見2"/>
      <sheetName val="Breakdown_Instrument2"/>
      <sheetName val="Pengalaman_Per2"/>
      <sheetName val="Analisa_ME_UPT2"/>
      <sheetName val="sum_mdc2"/>
      <sheetName val="2_E3"/>
      <sheetName val="2_F3"/>
      <sheetName val="DIV_53"/>
      <sheetName val="DIV_63"/>
      <sheetName val="Divisi_Baru3"/>
      <sheetName val="RAB_DC3"/>
      <sheetName val="BQ_OE3"/>
      <sheetName val="Agg_Halus_&amp;_Kasar3"/>
      <sheetName val="TOWER_D3"/>
      <sheetName val="Met__Minor3"/>
      <sheetName val="bearing_PDMR13"/>
      <sheetName val="Stay_Cable_PDMR13"/>
      <sheetName val="Post_Tens-13"/>
      <sheetName val="15_Harga_Satuan_Bahan2"/>
      <sheetName val="inner_pervious_adjust_2"/>
      <sheetName val="outer_pervious_adjust2"/>
      <sheetName val="BOQ_SNJ_12"/>
      <sheetName val="DKH_CCO_1A2"/>
      <sheetName val="DKH_CCO_1B_R-12"/>
      <sheetName val="DAF__PEKERJAAN2"/>
      <sheetName val="SPESISIKASI_PENAWARAN2"/>
      <sheetName val="Daf-2_4_Baja2"/>
      <sheetName val="Man_Power2"/>
      <sheetName val="BOQ_EM2"/>
      <sheetName val="anal-drainase,tanah&amp;ps_batu2"/>
      <sheetName val="NP_(2)2"/>
      <sheetName val="BOQ_ADD-122"/>
      <sheetName val="Rekap_Analisa2"/>
      <sheetName val="Analisa_Tend2"/>
      <sheetName val="HARGA_MATERIAL2"/>
      <sheetName val="Cash_Flow_bulanan2"/>
      <sheetName val="7_PEK-STRUKTUR2"/>
      <sheetName val="DIV_92"/>
      <sheetName val="7_공정표2"/>
      <sheetName val="Fill_this_out_first___2"/>
      <sheetName val="A+Supl_2"/>
      <sheetName val="Peralatan_Utama2"/>
      <sheetName val="Schedule_11a2"/>
      <sheetName val="Septick_tank2"/>
      <sheetName val="AnalisaSIPIL_RIIL2"/>
      <sheetName val="Uraian_Analisa2"/>
      <sheetName val="ATAP_&amp;_RISER2"/>
      <sheetName val="analisa_panel"/>
      <sheetName val="Fill_this_out_first___3"/>
      <sheetName val="bukan_PNS"/>
      <sheetName val="BQ_External"/>
      <sheetName val="CONSTRUCTION_COMPONENT"/>
      <sheetName val="Criteria_"/>
      <sheetName val="sizing"/>
      <sheetName val="合成単価作成表-BLDG"/>
      <sheetName val="E_TRONIK"/>
      <sheetName val="MEK"/>
      <sheetName val="ARSITEK"/>
      <sheetName val="SUMBER"/>
      <sheetName val="Div1"/>
      <sheetName val="H_ Dasar"/>
      <sheetName val="TNG"/>
      <sheetName val="catatan"/>
      <sheetName val="anaMob"/>
      <sheetName val="MasterSchedule"/>
      <sheetName val="REKAP.VOLUME"/>
      <sheetName val="UPAH-BAHAN"/>
      <sheetName val="ANALISA-HST"/>
      <sheetName val="Pengeluaran"/>
      <sheetName val="Legend"/>
      <sheetName val="Cover1"/>
      <sheetName val="bahan+upah"/>
      <sheetName val="DWTables"/>
      <sheetName val="5.NP"/>
      <sheetName val="an1"/>
      <sheetName val="ut1"/>
      <sheetName val="SURAT"/>
      <sheetName val="Lingkup Pekerjaan"/>
      <sheetName val="Pek.persiapan"/>
      <sheetName val="anal.baja"/>
      <sheetName val="m'trl baja"/>
      <sheetName val="UPAH KERJA"/>
      <sheetName val="BEDA VOL"/>
      <sheetName val="SIPIL"/>
      <sheetName val="LAMP-3"/>
      <sheetName val="LAMP 5"/>
      <sheetName val="LAMP-7"/>
      <sheetName val="LAMP-8"/>
      <sheetName val="LAMP-9"/>
      <sheetName val="RAB(o)"/>
      <sheetName val="D3.1"/>
      <sheetName val="Weight Bridge"/>
      <sheetName val="Lingkup_Pekerjaan"/>
      <sheetName val="Pek_persiapan"/>
      <sheetName val="anal_baja"/>
      <sheetName val="m'trl_baja"/>
      <sheetName val="UPAH_KERJA"/>
      <sheetName val="BEDA_VOL"/>
      <sheetName val="LAMP_5"/>
      <sheetName val="H-Bahan"/>
      <sheetName val="Upah_Bahan"/>
      <sheetName val="326BQSTC"/>
      <sheetName val="Scdl"/>
      <sheetName val="FMU"/>
      <sheetName val="An.harga alat"/>
      <sheetName val="AMD II"/>
      <sheetName val="AMD I"/>
      <sheetName val="dist. mat"/>
      <sheetName val="Scedule(S-Curve)"/>
      <sheetName val="Analisa -Baku"/>
      <sheetName val="Rekap Tahap 1"/>
      <sheetName val="EK-JAN-07"/>
      <sheetName val="BL (1)"/>
      <sheetName val="CH"/>
      <sheetName val="Faktor Markup"/>
      <sheetName val="Spesifikasi "/>
      <sheetName val="TANJUNG-CONV"/>
      <sheetName val="Bahan &amp; Upah"/>
      <sheetName val="BAHAN_STR"/>
      <sheetName val="SELL-SUMM-COST"/>
      <sheetName val="120601Sport Center"/>
      <sheetName val="Mall"/>
      <sheetName val="00_Jumlah Total"/>
      <sheetName val="ANALISA NOV '07"/>
      <sheetName val="A-BANTU"/>
      <sheetName val="Hrg.Sat"/>
      <sheetName val="divII"/>
      <sheetName val="PROD15_5"/>
      <sheetName val="hrg.bhn"/>
      <sheetName val="TIE-INS"/>
      <sheetName val="HARGA BAHAN&amp;UPAH "/>
      <sheetName val="ARC BANGUNAN UTAMA"/>
      <sheetName val="REKAP ME "/>
      <sheetName val="Total"/>
      <sheetName val="Prod.02"/>
      <sheetName val="Analis_Tanah"/>
      <sheetName val="Analis_Drainase"/>
      <sheetName val="A-11 Steel Str"/>
      <sheetName val="A-03 Pile"/>
      <sheetName val="DAFT_ALAT,UPAH &amp; MAT"/>
      <sheetName val="Steel Material List"/>
      <sheetName val="MUA SA"/>
      <sheetName val="Ana"/>
      <sheetName val="Meto"/>
      <sheetName val="D4"/>
      <sheetName val="D6"/>
      <sheetName val="D7"/>
      <sheetName val="D8"/>
      <sheetName val="Analisa Tend (2)"/>
      <sheetName val="BISMILLAH"/>
      <sheetName val="B - Norelec"/>
      <sheetName val="BQNSC"/>
      <sheetName val="S_Suramadu"/>
      <sheetName val="ANALISA (2)"/>
      <sheetName val="SUR-HARGA"/>
      <sheetName val="AHS Marka"/>
      <sheetName val="RAB1"/>
      <sheetName val="D2.2"/>
      <sheetName val="TOEVOER"/>
      <sheetName val="IN"/>
      <sheetName val="Price"/>
      <sheetName val="#REF"/>
      <sheetName val="TU"/>
      <sheetName val="Electrikal"/>
      <sheetName val="ganti rugi"/>
      <sheetName val="UPAH + ALAT"/>
      <sheetName val="Master Edit"/>
      <sheetName val="CF-satu"/>
      <sheetName val="BQ_Methanol"/>
      <sheetName val="PipWT"/>
      <sheetName val="BM 1 (M)"/>
      <sheetName val="Analisa RAP"/>
      <sheetName val="Alat B"/>
      <sheetName val="Bahan B"/>
      <sheetName val="Telusur"/>
      <sheetName val="Upah B"/>
      <sheetName val="Analisa RAB"/>
      <sheetName val="Rekap A"/>
      <sheetName val="Gudang non AC-AC Struktur"/>
      <sheetName val="EK-JAN-08"/>
      <sheetName val="Mat. List'08"/>
      <sheetName val="Pos 4-1"/>
      <sheetName val="rek_PUS oe"/>
      <sheetName val="S- Curve Cash flow"/>
      <sheetName val="Gb Link Requirement"/>
      <sheetName val="Costos"/>
      <sheetName val="REKAP_ARSITEKTUR."/>
      <sheetName val="Lingkup_Pekerjaan1"/>
      <sheetName val="Pek_persiapan1"/>
      <sheetName val="anal_baja1"/>
      <sheetName val="m'trl_baja1"/>
      <sheetName val="UPAH_KERJA1"/>
      <sheetName val="BEDA_VOL1"/>
      <sheetName val="LAMP_51"/>
      <sheetName val="D3_1"/>
      <sheetName val="Weight_Bridge"/>
      <sheetName val="BREAKER"/>
      <sheetName val="LAP. MINGG"/>
      <sheetName val="Anls-ME Tampil"/>
      <sheetName val="MT-C"/>
      <sheetName val="STAF"/>
      <sheetName val="Urai _Resap pengikat"/>
      <sheetName val="CONS."/>
      <sheetName val="MAPDC "/>
      <sheetName val="DB"/>
      <sheetName val="Merak_Sum-FIX"/>
      <sheetName val="H.Upah"/>
      <sheetName val="WP"/>
      <sheetName val="Prog Real"/>
      <sheetName val="PRY.02"/>
      <sheetName val="LAMPIRAN -B"/>
      <sheetName val="kik"/>
      <sheetName val="Anls_BKL"/>
      <sheetName val="Isian Biodata"/>
      <sheetName val="WET_2"/>
      <sheetName val="PLAFOND"/>
      <sheetName val="SANITAIR"/>
      <sheetName val="Analisa Tekhnis"/>
      <sheetName val="own"/>
      <sheetName val="dt"/>
      <sheetName val="00_Jumlah_Total"/>
      <sheetName val="Rekap_Direct_Cost"/>
      <sheetName val="Analisa_-Baku"/>
      <sheetName val="Rekap_Tahap_1"/>
      <sheetName val="ANALISA_NOV_'07"/>
      <sheetName val="REKAP_TOTAL"/>
      <sheetName val="120601Sport_Center"/>
      <sheetName val="Steel_Material_List"/>
      <sheetName val="BL_(1)"/>
      <sheetName val="Analisa_Tend_(2)"/>
      <sheetName val="HARGA_BAHAN&amp;UPAH_"/>
      <sheetName val="ARC_BANGUNAN_UTAMA"/>
      <sheetName val="REKAP_ME_"/>
      <sheetName val="ganti_rugi"/>
      <sheetName val="UPAH_+_ALAT"/>
      <sheetName val="Prod_02"/>
      <sheetName val="rek_PUS_oe"/>
      <sheetName val="XLR_NoRangeSheet"/>
      <sheetName val="breakdown"/>
      <sheetName val="Surat2"/>
      <sheetName val="Eval. Arus Kas"/>
      <sheetName val="cv _2_"/>
      <sheetName val="hal7_personil"/>
      <sheetName val="D985"/>
      <sheetName val="RAPK"/>
      <sheetName val="pivot2"/>
      <sheetName val="Analis harga"/>
      <sheetName val="List Plant"/>
      <sheetName val="D3"/>
      <sheetName val="3"/>
      <sheetName val="L_O&amp;O(Ina)"/>
      <sheetName val="DATUM"/>
      <sheetName val="unit price"/>
      <sheetName val="DATA1"/>
      <sheetName val="ELECTRICAL"/>
      <sheetName val="Mech CIF"/>
      <sheetName val="Notes"/>
      <sheetName val="Lingkup_Pekerjaan2"/>
      <sheetName val="Pek_persiapan2"/>
      <sheetName val="anal_baja2"/>
      <sheetName val="m'trl_baja2"/>
      <sheetName val="UPAH_KERJA2"/>
      <sheetName val="BEDA_VOL2"/>
      <sheetName val="LAMP_52"/>
      <sheetName val="D3_11"/>
      <sheetName val="Weight_Bridge1"/>
      <sheetName val="Faktor_Markup"/>
      <sheetName val="Spesifikasi_"/>
      <sheetName val="An_harga_alat"/>
      <sheetName val="AMD_II"/>
      <sheetName val="AMD_I"/>
      <sheetName val="dist__mat"/>
      <sheetName val="Bahan_&amp;_Upah"/>
      <sheetName val="D2_2"/>
      <sheetName val="A-11_Steel_Str"/>
      <sheetName val="A-03_Pile"/>
      <sheetName val="ANALISA_(2)"/>
      <sheetName val="AHS_Marka"/>
      <sheetName val="DAFT_ALAT,UPAH_&amp;_MAT"/>
      <sheetName val="MUA_SA"/>
      <sheetName val="Mat__List'08"/>
      <sheetName val="Pos_4-1"/>
      <sheetName val="BM_1_(M)"/>
      <sheetName val="Gudang_non_AC-AC_Struktur"/>
      <sheetName val="Analisa_RAP"/>
      <sheetName val="Alat_B"/>
      <sheetName val="Bahan_B"/>
      <sheetName val="Upah_B"/>
      <sheetName val="Analisa_RAB"/>
      <sheetName val="Rekap_A"/>
      <sheetName val="B_-_Norelec"/>
      <sheetName val="S-_Curve_Cash_flow"/>
      <sheetName val="Gb_Link_Requirement"/>
      <sheetName val="REKAP_ARSITEKTUR_"/>
      <sheetName val="Harga_Satuan"/>
      <sheetName val="LAP__MINGG"/>
      <sheetName val="HARGA_SAT"/>
      <sheetName val="MAPDC_"/>
      <sheetName val="H_Upah"/>
      <sheetName val="LAMPIRAN_-B"/>
      <sheetName val="Prog_Real"/>
      <sheetName val="PRY_02"/>
      <sheetName val="Anls-ME_Tampil"/>
      <sheetName val="Urai__Resap_pengikat"/>
      <sheetName val="CONS_"/>
      <sheetName val="Isian_Biodata"/>
      <sheetName val="Data 1"/>
      <sheetName val="BAPP"/>
      <sheetName val="PRD 01-4"/>
      <sheetName val="PRD 01-3"/>
      <sheetName val="BHN-ALAT"/>
      <sheetName val="NM"/>
      <sheetName val="REKAP BQ"/>
      <sheetName val="Bill-1"/>
      <sheetName val="Hargasatuan"/>
      <sheetName val="41,9&amp;36,3"/>
      <sheetName val="Piping Cost"/>
      <sheetName val="Bill_Qua"/>
      <sheetName val="3-DIV1"/>
      <sheetName val="Direct Cost Thp 2"/>
      <sheetName val="Ana duct"/>
      <sheetName val="Koefisien"/>
      <sheetName val="Harsat Upah STR ARS"/>
      <sheetName val=" PE-F-42 MR 9 Manpower"/>
      <sheetName val="REKAP STRUKTUR"/>
      <sheetName val="atap"/>
      <sheetName val="PAD-F"/>
      <sheetName val="Analisa SNI STANDART "/>
      <sheetName val="Konfirm"/>
      <sheetName val="Aspal"/>
      <sheetName val="DaftarAn"/>
      <sheetName val="Sec I ML"/>
      <sheetName val="Hrg-sat"/>
      <sheetName val="Analis_harga"/>
      <sheetName val="List_Plant"/>
      <sheetName val="Rekap_Direct_Cost1"/>
      <sheetName val="PRD_01-3"/>
      <sheetName val="Valve"/>
      <sheetName val="Hargamaterial"/>
      <sheetName val="Owning cost Alat"/>
      <sheetName val="CUACA"/>
      <sheetName val="610.04"/>
      <sheetName val="610.05"/>
      <sheetName val="610.06"/>
      <sheetName val="610.07"/>
      <sheetName val="610.08"/>
      <sheetName val="Superstruc"/>
      <sheetName val="M+MC"/>
      <sheetName val="Df-Kuan"/>
      <sheetName val="sumber data alat"/>
      <sheetName val="OH-10BLN"/>
      <sheetName val="FINAL"/>
      <sheetName val="CRUSER"/>
      <sheetName val="KEBALAT"/>
      <sheetName val="pivot1"/>
      <sheetName val="M.AR-KUAT"/>
      <sheetName val="BQ1"/>
      <sheetName val="STR(CANCEL)"/>
      <sheetName val="Bill No 6 Koord _ Attendance"/>
      <sheetName val="③赤紙(日文)"/>
      <sheetName val="Satuan"/>
      <sheetName val="Const"/>
      <sheetName val="PAD_F"/>
      <sheetName val="概総括1"/>
      <sheetName val="OHD"/>
      <sheetName val="Brdw"/>
      <sheetName val="Bill No 4 Summary "/>
      <sheetName val="liste"/>
      <sheetName val="CF Rp-USD"/>
      <sheetName val="EST"/>
      <sheetName val="01.FA"/>
      <sheetName val="REKAP A BESAR"/>
      <sheetName val="lampiran"/>
      <sheetName val="hargaDC"/>
      <sheetName val="Mtd_Pelak"/>
      <sheetName val="RBP2"/>
      <sheetName val="bialangsung"/>
      <sheetName val="T-3.4 Cost of Equipment"/>
      <sheetName val="T-3.2 UP Labour"/>
      <sheetName val="JOB'S"/>
      <sheetName val="PHU 05"/>
      <sheetName val="B-P"/>
      <sheetName val="Hal.010MUKAMC"/>
      <sheetName val="ASat"/>
      <sheetName val="BL _1_"/>
      <sheetName val="Analisa Bahan"/>
      <sheetName val="harsat sdy"/>
      <sheetName val="Format Daftar Sewa Alat "/>
      <sheetName val="Uraian Upah"/>
      <sheetName val="Rupa2"/>
      <sheetName val="PVC"/>
      <sheetName val="upah bahan"/>
      <sheetName val="AnBayarUtama"/>
      <sheetName val="UBA RAB"/>
      <sheetName val="RAP M"/>
      <sheetName val="BUL M"/>
      <sheetName val="analisa_gedung"/>
      <sheetName val="gaji"/>
      <sheetName val="PersList"/>
      <sheetName val="HM"/>
      <sheetName val="Analisa Fave"/>
      <sheetName val="BUA"/>
      <sheetName val="Harsat Bahan"/>
      <sheetName val="Harsat Subkon"/>
      <sheetName val="PP"/>
      <sheetName val="TABEL"/>
      <sheetName val="Rek.An"/>
      <sheetName val="Hitung"/>
      <sheetName val="Analis Upah"/>
      <sheetName val="HARSAT-lain"/>
      <sheetName val="HARSAT-tanah"/>
      <sheetName val="HARSAT-lhn"/>
      <sheetName val="RAB Temiling "/>
      <sheetName val="Resume"/>
      <sheetName val="Allowance"/>
      <sheetName val="SPJ"/>
      <sheetName val="4-Price"/>
      <sheetName val="4-Quarry"/>
      <sheetName val="MT"/>
      <sheetName val="P5"/>
      <sheetName val="RAB-2006-Total"/>
      <sheetName val="pek tanah utk irigasi"/>
      <sheetName val="K3LM"/>
      <sheetName val="Formula Paket A"/>
      <sheetName val="Uba"/>
      <sheetName val="AC WIL SERANG"/>
      <sheetName val="Kanan"/>
      <sheetName val="bbt-1999"/>
      <sheetName val="06-Progress"/>
      <sheetName val="04-Safety"/>
      <sheetName val="LAUT"/>
      <sheetName val="Prod 15-5"/>
      <sheetName val="G_Merak-FIX"/>
      <sheetName val="R&amp;NR"/>
      <sheetName val="Prod 02"/>
      <sheetName val="Ana. PU"/>
      <sheetName val="Analysis"/>
      <sheetName val="Tabel Item"/>
      <sheetName val="Tabel Satuan"/>
      <sheetName val="Tabel Alat"/>
      <sheetName val="Tabel Bahan"/>
      <sheetName val="Tabel Tenaga"/>
      <sheetName val="AnalisaHarga"/>
      <sheetName val="Material&amp;Alat"/>
      <sheetName val="New MADC (2)"/>
      <sheetName val="HDS"/>
      <sheetName val="Analisa Satuan"/>
      <sheetName val="Dating"/>
      <sheetName val="RLB"/>
      <sheetName val="LKT - HL"/>
      <sheetName val="LKT - HS"/>
      <sheetName val="Metod TWR"/>
      <sheetName val="HRGA SATUAN UPAH-BAHAN"/>
      <sheetName val="HS Bhn"/>
      <sheetName val="Cek list"/>
      <sheetName val="An_Basic"/>
      <sheetName val="Lingkup_Pekerjaan3"/>
      <sheetName val="Pek_persiapan3"/>
      <sheetName val="anal_baja3"/>
      <sheetName val="m'trl_baja3"/>
      <sheetName val="HARGA_MATERIAL3"/>
      <sheetName val="UPAH_KERJA3"/>
      <sheetName val="BEDA_VOL3"/>
      <sheetName val="LAMP_53"/>
      <sheetName val="D3_12"/>
      <sheetName val="Weight_Bridge2"/>
      <sheetName val="Rekap_Direct_Cost2"/>
      <sheetName val="Analisa_-Baku1"/>
      <sheetName val="Rekap_Tahap_11"/>
      <sheetName val="REKAP_TOTAL1"/>
      <sheetName val="BL_(1)1"/>
      <sheetName val="Faktor_Markup1"/>
      <sheetName val="Spesifikasi_1"/>
      <sheetName val="An_harga_alat1"/>
      <sheetName val="AMD_II1"/>
      <sheetName val="AMD_I1"/>
      <sheetName val="dist__mat1"/>
      <sheetName val="Bahan_&amp;_Upah1"/>
      <sheetName val="120601Sport_Center1"/>
      <sheetName val="00_Jumlah_Total1"/>
      <sheetName val="ANALISA_NOV_'071"/>
      <sheetName val="DAFT_ALAT,UPAH_&amp;_MAT1"/>
      <sheetName val="Steel_Material_List1"/>
      <sheetName val="MUA_SA1"/>
      <sheetName val="Analisa_Tend_(2)1"/>
      <sheetName val="HARGA_BAHAN&amp;UPAH_1"/>
      <sheetName val="ARC_BANGUNAN_UTAMA1"/>
      <sheetName val="REKAP_ME_1"/>
      <sheetName val="B_-_Norelec1"/>
      <sheetName val="Prod_021"/>
      <sheetName val="A-11_Steel_Str1"/>
      <sheetName val="A-03_Pile1"/>
      <sheetName val="ANALISA_(2)1"/>
      <sheetName val="AHS_Marka1"/>
      <sheetName val="D2_21"/>
      <sheetName val="ganti_rugi1"/>
      <sheetName val="UPAH_+_ALAT1"/>
      <sheetName val="Master_Edit"/>
      <sheetName val="BM_1_(M)1"/>
      <sheetName val="Analisa_RAP1"/>
      <sheetName val="Alat_B1"/>
      <sheetName val="Bahan_B1"/>
      <sheetName val="Upah_B1"/>
      <sheetName val="Analisa_RAB1"/>
      <sheetName val="Rekap_A1"/>
      <sheetName val="Gudang_non_AC-AC_Struktur1"/>
      <sheetName val="Mat__List'081"/>
      <sheetName val="Pos_4-11"/>
      <sheetName val="rek_PUS_oe1"/>
      <sheetName val="S-_Curve_Cash_flow1"/>
      <sheetName val="Gb_Link_Requirement1"/>
      <sheetName val="REKAP_ARSITEKTUR_1"/>
      <sheetName val="Harga_Satuan1"/>
      <sheetName val="LAP__MINGG1"/>
      <sheetName val="Anls-ME_Tampil1"/>
      <sheetName val="Urai__Resap_pengikat1"/>
      <sheetName val="CONS_1"/>
      <sheetName val="HARGA_SAT1"/>
      <sheetName val="MAPDC_1"/>
      <sheetName val="H_Upah1"/>
      <sheetName val="Prog_Real1"/>
      <sheetName val="PRY_021"/>
      <sheetName val="LAMPIRAN_-B1"/>
      <sheetName val="Isian_Biodata1"/>
      <sheetName val="Analisa_Tekhnis"/>
      <sheetName val="DATA_PROYEK"/>
      <sheetName val="Eval__Arus_Kas"/>
      <sheetName val="cv__2_"/>
      <sheetName val="Analis_harga1"/>
      <sheetName val="List_Plant1"/>
      <sheetName val="unit_price"/>
      <sheetName val="Mech_CIF"/>
      <sheetName val="Data_1"/>
      <sheetName val="PRD_01-4"/>
      <sheetName val="PRD_01-31"/>
      <sheetName val="REKAP_BQ"/>
      <sheetName val="Direct_Cost_Thp_2"/>
      <sheetName val="Ana_duct"/>
      <sheetName val="Harsat_Upah_STR_ARS"/>
      <sheetName val="_PE-F-42_MR_9_Manpower"/>
      <sheetName val="REKAP_STRUKTUR"/>
      <sheetName val="Analisa_SNI_STANDART_"/>
      <sheetName val="Sec_I_ML"/>
      <sheetName val="Owning_cost_Alat"/>
      <sheetName val="610_04"/>
      <sheetName val="610_05"/>
      <sheetName val="610_06"/>
      <sheetName val="610_07"/>
      <sheetName val="610_08"/>
      <sheetName val="sumber_data_alat"/>
      <sheetName val="M_AR-KUAT"/>
      <sheetName val="Bill_No_6_Koord___Attendance"/>
      <sheetName val="Piping_Cost"/>
      <sheetName val="Bill_No_4_Summary_"/>
      <sheetName val="CF_Rp-USD"/>
      <sheetName val="01_FA"/>
      <sheetName val="REKAP_A_BESAR"/>
      <sheetName val="T-3_4_Cost_of_Equipment"/>
      <sheetName val="T-3_2_UP_Labour"/>
      <sheetName val="PHU_05"/>
      <sheetName val="Hal_010MUKAMC"/>
      <sheetName val="BL__1_"/>
      <sheetName val="Analisa_Bahan"/>
      <sheetName val="harsat_sdy"/>
      <sheetName val="Format_Daftar_Sewa_Alat_"/>
      <sheetName val="Uraian_Upah"/>
      <sheetName val="UBA_RAB"/>
      <sheetName val="RAP_M"/>
      <sheetName val="BUL_M"/>
      <sheetName val="Kinerja_Proyek"/>
      <sheetName val="Analisa_Fave"/>
      <sheetName val="Harsat_Bahan"/>
      <sheetName val="Harsat_Subkon"/>
      <sheetName val="Rek_An"/>
      <sheetName val="Analis_Upah"/>
      <sheetName val="RAB_Temiling_"/>
      <sheetName val="pek_tanah_utk_irigasi"/>
      <sheetName val="Formula_Paket_A"/>
      <sheetName val="AC_WIL_SERANG"/>
      <sheetName val="Prod_15-5"/>
      <sheetName val="Prod_022"/>
      <sheetName val="Ana__PU"/>
      <sheetName val="Tabel_Item"/>
      <sheetName val="Tabel_Satuan"/>
      <sheetName val="Tabel_Alat"/>
      <sheetName val="Tabel_Bahan"/>
      <sheetName val="Tabel_Tenaga"/>
      <sheetName val="New_MADC_(2)"/>
      <sheetName val="Analisa_Satuan"/>
      <sheetName val="LKT_-_HL"/>
      <sheetName val="LKT_-_HS"/>
      <sheetName val="Metod_TWR"/>
      <sheetName val="HRGA_SATUAN_UPAH-BAHAN"/>
      <sheetName val="HS_Bhn"/>
      <sheetName val="Cek_list"/>
      <sheetName val="abcdef"/>
      <sheetName val="keb-BHN"/>
      <sheetName val="Volume"/>
      <sheetName val="ANALIS ALAT"/>
      <sheetName val="Mat"/>
      <sheetName val="WI"/>
      <sheetName val="TARIP"/>
      <sheetName val="Permanent info"/>
      <sheetName val="BDP"/>
      <sheetName val="surfacing &amp; point..."/>
      <sheetName val="stone mas ARE"/>
      <sheetName val="New MADC"/>
      <sheetName val="Informasi"/>
      <sheetName val="GALIAN batu ok (89)"/>
      <sheetName val="Rkp(1)"/>
      <sheetName val="Data Alat"/>
      <sheetName val="ELEMENT SUM"/>
      <sheetName val="SAT-DAS"/>
      <sheetName val="perkerasan"/>
      <sheetName val="An-Pek-Arui"/>
      <sheetName val="Owning"/>
      <sheetName val="REKOM-Rekap.SCEDULE 3"/>
      <sheetName val="i-j. Pengalaman"/>
      <sheetName val="Daftar Kuantitas &amp; Harga  MC_0"/>
      <sheetName val="BQ ARS"/>
      <sheetName val="TABLE-1"/>
      <sheetName val="Hargamat"/>
      <sheetName val="rekap1"/>
      <sheetName val="HPP"/>
      <sheetName val="Duc_3"/>
      <sheetName val="Duc-3"/>
      <sheetName val="Bill-5.2"/>
      <sheetName val="Bill-9.1"/>
      <sheetName val="Bill-6.1.1-6.1.3"/>
      <sheetName val="ELECTRIC DATA"/>
      <sheetName val="ตาราง G"/>
      <sheetName val="EK-JAN-2010"/>
      <sheetName val="KEDUNG GOONG"/>
      <sheetName val="Vol Admin&amp;Canteen"/>
      <sheetName val="rek det 1-3"/>
      <sheetName val="H-Bahan &amp; Tenaga"/>
      <sheetName val="BA"/>
      <sheetName val="10"/>
      <sheetName val="Vol. Mg 10"/>
      <sheetName val="PENERIMAAN"/>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L2MO"/>
      <sheetName val="product"/>
      <sheetName val="ALAT_BAU"/>
      <sheetName val="Potongan"/>
      <sheetName val="BPM"/>
      <sheetName val="H-SAT"/>
      <sheetName val="duadan3"/>
      <sheetName val="HS-2"/>
      <sheetName val="Monitor"/>
      <sheetName val="HSPK"/>
      <sheetName val="Bahan&amp;Upah"/>
      <sheetName val="BARU-3"/>
      <sheetName val="BARU-4 "/>
      <sheetName val="MINAT"/>
      <sheetName val="HSUB SARPRA"/>
      <sheetName val="Rekanan"/>
      <sheetName val="bill qty"/>
      <sheetName val="Urai _ Guide Post"/>
      <sheetName val="H &amp; U"/>
      <sheetName val="dft-harga"/>
      <sheetName val="STD GD.UTAMA"/>
      <sheetName val="JAD-PEL"/>
      <sheetName val="Harga Baru"/>
      <sheetName val="Analisa Gabungan"/>
      <sheetName val="TOTAL UPAH"/>
      <sheetName val="rms remunerasi"/>
      <sheetName val="ANAL.BOW"/>
      <sheetName val="ANALISA-SNI"/>
      <sheetName val="telp"/>
      <sheetName val="HS1"/>
      <sheetName val="H.Alat"/>
      <sheetName val="H.Bahan"/>
      <sheetName val="RAB-ME"/>
      <sheetName val="RAB-Pipa"/>
      <sheetName val="RAB-Sipil"/>
      <sheetName val="Galian"/>
      <sheetName val="Assetdb"/>
      <sheetName val="Sales Rental"/>
      <sheetName val="AssetPar"/>
      <sheetName val="Sales Paramete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Raw Data"/>
      <sheetName val="Dsr Hitung"/>
      <sheetName val="Rates"/>
      <sheetName val="説明"/>
      <sheetName val="NetBQ"/>
      <sheetName val="REKAP HP"/>
      <sheetName val="AN.EI.5"/>
      <sheetName val="PS-Labour_M"/>
      <sheetName val="Elec LG"/>
      <sheetName val="dnc4"/>
      <sheetName val="물량표S"/>
      <sheetName val="Budget Code"/>
      <sheetName val="PEDESB"/>
      <sheetName val="MTO REV.0"/>
      <sheetName val="NC"/>
      <sheetName val="집계표"/>
      <sheetName val="COAT&amp;WRAP-QIOT-#3"/>
      <sheetName val="PNT-QUOT-#3"/>
      <sheetName val="gia_vt,nc,may1"/>
      <sheetName val="M%20&amp;%20E_xls1"/>
      <sheetName val="TH_DZ351"/>
      <sheetName val="Bill_2_2_Villa_2_beds1"/>
      <sheetName val="Buy_vs__Lease_Car1"/>
      <sheetName val="Division__4_-_PLB_Works1"/>
      <sheetName val="chi_phi_truc_tiep1"/>
      <sheetName val="CFA_(ME)"/>
      <sheetName val="dien_tich"/>
      <sheetName val="tabulation_(comparison)"/>
      <sheetName val="valeurs_de_base"/>
      <sheetName val="_Finish"/>
      <sheetName val="Finish_code"/>
      <sheetName val="Door_schedule"/>
      <sheetName val="Sanitary_ware"/>
      <sheetName val="SUM_6-2"/>
      <sheetName val="Khoi_luong"/>
      <sheetName val="Gia_thue"/>
      <sheetName val="Town_House_"/>
      <sheetName val="Type-A2_Corner"/>
      <sheetName val="Bill_02_-_Xay_gach-Pou_"/>
      <sheetName val="Bill_03-Chống_thấm-Pou"/>
      <sheetName val="Bill_05_-_Hoan_thien-Pou_"/>
      <sheetName val="Bill_02_-_Xay_gach-Tower"/>
      <sheetName val="Bill_03-Chống_thấm-Tower"/>
      <sheetName val="Bill_05_-_Hoan_thien-Tower"/>
      <sheetName val="CF_-Update_31Jul06"/>
      <sheetName val="NSA_fr_Revit"/>
      <sheetName val="AUTOMATIC_SELECT"/>
      <sheetName val="U_P_List"/>
      <sheetName val="Gia_vat_tu"/>
      <sheetName val="gia_vt,nc,may2"/>
      <sheetName val="M%20&amp;%20E_xls2"/>
      <sheetName val="TH_DZ352"/>
      <sheetName val="CFA_(ME)1"/>
      <sheetName val="Bill_2_2_Villa_2_beds2"/>
      <sheetName val="Buy_vs__Lease_Car2"/>
      <sheetName val="Division__4_-_PLB_Works2"/>
      <sheetName val="chi_phi_truc_tiep2"/>
      <sheetName val="dien_tich1"/>
      <sheetName val="tabulation_(comparison)1"/>
      <sheetName val="valeurs_de_base1"/>
      <sheetName val="_Finish1"/>
      <sheetName val="Finish_code1"/>
      <sheetName val="Door_schedule1"/>
      <sheetName val="Sanitary_ware1"/>
      <sheetName val="Bill_02_-_Xay_gach-Pou_1"/>
      <sheetName val="Bill_03-Chống_thấm-Pou1"/>
      <sheetName val="Bill_05_-_Hoan_thien-Pou_1"/>
      <sheetName val="Bill_02_-_Xay_gach-Tower1"/>
      <sheetName val="Bill_03-Chống_thấm-Tower1"/>
      <sheetName val="Bill_05_-_Hoan_thien-Tower1"/>
      <sheetName val="BQ_External1"/>
      <sheetName val="DO_AM_DT1"/>
      <sheetName val="SUM_6-21"/>
      <sheetName val="Khoi_luong1"/>
      <sheetName val="Gia_thue1"/>
      <sheetName val="Town_House_1"/>
      <sheetName val="Type-A2_Corner1"/>
      <sheetName val="CF_-Update_31Jul061"/>
      <sheetName val="NSA_fr_Revit1"/>
      <sheetName val="AUTOMATIC_SELECT1"/>
      <sheetName val="U_P_List1"/>
      <sheetName val="Gia_vat_tu1"/>
      <sheetName val="Bảng Giá"/>
      <sheetName val="KL-MEZZ+Cranes"/>
      <sheetName val="NET-OP1"/>
      <sheetName val="BOQ-Form"/>
      <sheetName val="Expenses (M)"/>
      <sheetName val="A1"/>
      <sheetName val="A10"/>
      <sheetName val="A2&amp;3. AC"/>
      <sheetName val="A4&amp;5. Fan"/>
      <sheetName val="1. Office stationary"/>
      <sheetName val="2. Safety"/>
      <sheetName val="3. Meal fee"/>
      <sheetName val="4. Temporary"/>
      <sheetName val="6MONTHS"/>
      <sheetName val="MTP"/>
      <sheetName val="IBASE"/>
      <sheetName val="ctdz35"/>
      <sheetName val="F4-F7"/>
      <sheetName val="GC산출"/>
      <sheetName val="chiet tinh"/>
      <sheetName val="PERF TEST Pre MP"/>
      <sheetName val="ES-aLL"/>
      <sheetName val="REKAPTF Jul_Agus"/>
      <sheetName val="% Pr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JB1">
            <v>0</v>
          </cell>
        </row>
        <row r="7">
          <cell r="P7" t="str">
            <v xml:space="preserve">B U D G E T A R Y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ow r="7">
          <cell r="P7" t="str">
            <v xml:space="preserve">B U D G E T A R Y </v>
          </cell>
        </row>
      </sheetData>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ow r="7">
          <cell r="P7" t="str">
            <v xml:space="preserve">B U D G E T A R Y </v>
          </cell>
        </row>
      </sheetData>
      <sheetData sheetId="248">
        <row r="7">
          <cell r="P7" t="str">
            <v xml:space="preserve">B U D G E T A R Y </v>
          </cell>
        </row>
      </sheetData>
      <sheetData sheetId="249">
        <row r="7">
          <cell r="P7" t="str">
            <v xml:space="preserve">B U D G E T A R Y </v>
          </cell>
        </row>
      </sheetData>
      <sheetData sheetId="250">
        <row r="7">
          <cell r="P7" t="str">
            <v xml:space="preserve">B U D G E T A R Y </v>
          </cell>
        </row>
      </sheetData>
      <sheetData sheetId="251">
        <row r="7">
          <cell r="P7" t="str">
            <v xml:space="preserve">B U D G E T A R Y </v>
          </cell>
        </row>
      </sheetData>
      <sheetData sheetId="252">
        <row r="7">
          <cell r="P7" t="str">
            <v xml:space="preserve">B U D G E T A R Y </v>
          </cell>
        </row>
      </sheetData>
      <sheetData sheetId="253">
        <row r="7">
          <cell r="P7" t="str">
            <v xml:space="preserve">B U D G E T A R Y </v>
          </cell>
        </row>
      </sheetData>
      <sheetData sheetId="254">
        <row r="7">
          <cell r="P7" t="str">
            <v xml:space="preserve">B U D G E T A R Y </v>
          </cell>
        </row>
      </sheetData>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ow r="7">
          <cell r="P7" t="str">
            <v xml:space="preserve">B U D G E T A R Y </v>
          </cell>
        </row>
      </sheetData>
      <sheetData sheetId="269">
        <row r="7">
          <cell r="P7" t="str">
            <v xml:space="preserve">B U D G E T A R Y </v>
          </cell>
        </row>
      </sheetData>
      <sheetData sheetId="270">
        <row r="7">
          <cell r="P7" t="str">
            <v xml:space="preserve">B U D G E T A R Y </v>
          </cell>
        </row>
      </sheetData>
      <sheetData sheetId="271">
        <row r="7">
          <cell r="P7" t="str">
            <v xml:space="preserve">B U D G E T A R Y </v>
          </cell>
        </row>
      </sheetData>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ow r="7">
          <cell r="P7" t="str">
            <v xml:space="preserve">B U D G E T A R Y </v>
          </cell>
        </row>
      </sheetData>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ow r="7">
          <cell r="P7" t="str">
            <v xml:space="preserve">B U D G E T A R Y </v>
          </cell>
        </row>
      </sheetData>
      <sheetData sheetId="589">
        <row r="7">
          <cell r="P7" t="str">
            <v xml:space="preserve">B U D G E T A R Y </v>
          </cell>
        </row>
      </sheetData>
      <sheetData sheetId="590">
        <row r="7">
          <cell r="P7" t="str">
            <v xml:space="preserve">B U D G E T A R Y </v>
          </cell>
        </row>
      </sheetData>
      <sheetData sheetId="591">
        <row r="7">
          <cell r="P7" t="str">
            <v xml:space="preserve">B U D G E T A R Y </v>
          </cell>
        </row>
      </sheetData>
      <sheetData sheetId="592">
        <row r="7">
          <cell r="P7" t="str">
            <v xml:space="preserve">B U D G E T A R Y </v>
          </cell>
        </row>
      </sheetData>
      <sheetData sheetId="593">
        <row r="7">
          <cell r="P7" t="str">
            <v xml:space="preserve">B U D G E T A R Y </v>
          </cell>
        </row>
      </sheetData>
      <sheetData sheetId="594">
        <row r="7">
          <cell r="P7" t="str">
            <v xml:space="preserve">B U D G E T A R Y </v>
          </cell>
        </row>
      </sheetData>
      <sheetData sheetId="595">
        <row r="7">
          <cell r="P7" t="str">
            <v xml:space="preserve">B U D G E T A R Y </v>
          </cell>
        </row>
      </sheetData>
      <sheetData sheetId="596">
        <row r="7">
          <cell r="P7" t="str">
            <v xml:space="preserve">B U D G E T A R Y </v>
          </cell>
        </row>
      </sheetData>
      <sheetData sheetId="597">
        <row r="7">
          <cell r="P7" t="str">
            <v xml:space="preserve">B U D G E T A R Y </v>
          </cell>
        </row>
      </sheetData>
      <sheetData sheetId="598">
        <row r="7">
          <cell r="P7" t="str">
            <v xml:space="preserve">B U D G E T A R Y </v>
          </cell>
        </row>
      </sheetData>
      <sheetData sheetId="599">
        <row r="7">
          <cell r="P7" t="str">
            <v xml:space="preserve">B U D G E T A R Y </v>
          </cell>
        </row>
      </sheetData>
      <sheetData sheetId="600">
        <row r="7">
          <cell r="P7" t="str">
            <v xml:space="preserve">B U D G E T A R Y </v>
          </cell>
        </row>
      </sheetData>
      <sheetData sheetId="601">
        <row r="7">
          <cell r="P7" t="str">
            <v xml:space="preserve">B U D G E T A R Y </v>
          </cell>
        </row>
      </sheetData>
      <sheetData sheetId="602">
        <row r="7">
          <cell r="P7" t="str">
            <v xml:space="preserve">B U D G E T A R Y </v>
          </cell>
        </row>
      </sheetData>
      <sheetData sheetId="603">
        <row r="7">
          <cell r="P7" t="str">
            <v xml:space="preserve">B U D G E T A R Y </v>
          </cell>
        </row>
      </sheetData>
      <sheetData sheetId="604">
        <row r="7">
          <cell r="P7" t="str">
            <v xml:space="preserve">B U D G E T A R Y </v>
          </cell>
        </row>
      </sheetData>
      <sheetData sheetId="605">
        <row r="7">
          <cell r="P7" t="str">
            <v xml:space="preserve">B U D G E T A R Y </v>
          </cell>
        </row>
      </sheetData>
      <sheetData sheetId="606">
        <row r="7">
          <cell r="P7" t="str">
            <v xml:space="preserve">B U D G E T A R Y </v>
          </cell>
        </row>
      </sheetData>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ow r="1">
          <cell r="JB1">
            <v>0</v>
          </cell>
        </row>
      </sheetData>
      <sheetData sheetId="631">
        <row r="7">
          <cell r="P7" t="str">
            <v xml:space="preserve">B U D G E T A R Y </v>
          </cell>
        </row>
      </sheetData>
      <sheetData sheetId="632">
        <row r="7">
          <cell r="P7" t="str">
            <v xml:space="preserve">B U D G E T A R Y </v>
          </cell>
        </row>
      </sheetData>
      <sheetData sheetId="633">
        <row r="7">
          <cell r="P7" t="str">
            <v xml:space="preserve">B U D G E T A R Y </v>
          </cell>
        </row>
      </sheetData>
      <sheetData sheetId="634">
        <row r="7">
          <cell r="P7" t="str">
            <v xml:space="preserve">B U D G E T A R Y </v>
          </cell>
        </row>
      </sheetData>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ow r="1">
          <cell r="JB1">
            <v>0</v>
          </cell>
        </row>
      </sheetData>
      <sheetData sheetId="645">
        <row r="1">
          <cell r="JB1">
            <v>0</v>
          </cell>
        </row>
      </sheetData>
      <sheetData sheetId="646">
        <row r="1">
          <cell r="JB1">
            <v>0</v>
          </cell>
        </row>
      </sheetData>
      <sheetData sheetId="647">
        <row r="1">
          <cell r="JB1">
            <v>0</v>
          </cell>
        </row>
      </sheetData>
      <sheetData sheetId="648">
        <row r="1">
          <cell r="JB1">
            <v>0</v>
          </cell>
        </row>
      </sheetData>
      <sheetData sheetId="649">
        <row r="1">
          <cell r="JB1">
            <v>0</v>
          </cell>
        </row>
      </sheetData>
      <sheetData sheetId="650">
        <row r="1">
          <cell r="JB1">
            <v>0</v>
          </cell>
        </row>
      </sheetData>
      <sheetData sheetId="651">
        <row r="1">
          <cell r="JB1">
            <v>0</v>
          </cell>
        </row>
      </sheetData>
      <sheetData sheetId="652">
        <row r="1">
          <cell r="JB1">
            <v>0</v>
          </cell>
        </row>
      </sheetData>
      <sheetData sheetId="653">
        <row r="7">
          <cell r="P7" t="str">
            <v xml:space="preserve">B U D G E T A R Y </v>
          </cell>
        </row>
      </sheetData>
      <sheetData sheetId="654">
        <row r="7">
          <cell r="P7" t="str">
            <v xml:space="preserve">B U D G E T A R Y </v>
          </cell>
        </row>
      </sheetData>
      <sheetData sheetId="655">
        <row r="7">
          <cell r="P7" t="str">
            <v xml:space="preserve">B U D G E T A R Y </v>
          </cell>
        </row>
      </sheetData>
      <sheetData sheetId="656">
        <row r="7">
          <cell r="P7" t="str">
            <v xml:space="preserve">B U D G E T A R Y </v>
          </cell>
        </row>
      </sheetData>
      <sheetData sheetId="657">
        <row r="7">
          <cell r="P7" t="str">
            <v xml:space="preserve">B U D G E T A R Y </v>
          </cell>
        </row>
      </sheetData>
      <sheetData sheetId="658">
        <row r="7">
          <cell r="P7" t="str">
            <v xml:space="preserve">B U D G E T A R Y </v>
          </cell>
        </row>
      </sheetData>
      <sheetData sheetId="659">
        <row r="7">
          <cell r="P7" t="str">
            <v xml:space="preserve">B U D G E T A R Y </v>
          </cell>
        </row>
      </sheetData>
      <sheetData sheetId="660">
        <row r="7">
          <cell r="P7" t="str">
            <v xml:space="preserve">B U D G E T A R Y </v>
          </cell>
        </row>
      </sheetData>
      <sheetData sheetId="661">
        <row r="7">
          <cell r="P7" t="str">
            <v xml:space="preserve">B U D G E T A R Y </v>
          </cell>
        </row>
      </sheetData>
      <sheetData sheetId="662">
        <row r="7">
          <cell r="P7" t="str">
            <v xml:space="preserve">B U D G E T A R Y </v>
          </cell>
        </row>
      </sheetData>
      <sheetData sheetId="663">
        <row r="7">
          <cell r="P7" t="str">
            <v xml:space="preserve">B U D G E T A R Y </v>
          </cell>
        </row>
      </sheetData>
      <sheetData sheetId="664">
        <row r="7">
          <cell r="P7" t="str">
            <v xml:space="preserve">B U D G E T A R Y </v>
          </cell>
        </row>
      </sheetData>
      <sheetData sheetId="665">
        <row r="7">
          <cell r="P7" t="str">
            <v xml:space="preserve">B U D G E T A R Y </v>
          </cell>
        </row>
      </sheetData>
      <sheetData sheetId="666">
        <row r="7">
          <cell r="P7" t="str">
            <v xml:space="preserve">B U D G E T A R Y </v>
          </cell>
        </row>
      </sheetData>
      <sheetData sheetId="667">
        <row r="7">
          <cell r="P7" t="str">
            <v xml:space="preserve">B U D G E T A R Y </v>
          </cell>
        </row>
      </sheetData>
      <sheetData sheetId="668">
        <row r="7">
          <cell r="P7" t="str">
            <v xml:space="preserve">B U D G E T A R Y </v>
          </cell>
        </row>
      </sheetData>
      <sheetData sheetId="669">
        <row r="1">
          <cell r="JB1">
            <v>0</v>
          </cell>
        </row>
      </sheetData>
      <sheetData sheetId="670">
        <row r="7">
          <cell r="P7" t="str">
            <v xml:space="preserve">B U D G E T A R Y </v>
          </cell>
        </row>
      </sheetData>
      <sheetData sheetId="671">
        <row r="7">
          <cell r="P7" t="str">
            <v xml:space="preserve">B U D G E T A R Y </v>
          </cell>
        </row>
      </sheetData>
      <sheetData sheetId="672">
        <row r="1">
          <cell r="JB1">
            <v>0</v>
          </cell>
        </row>
      </sheetData>
      <sheetData sheetId="673">
        <row r="7">
          <cell r="P7" t="str">
            <v xml:space="preserve">B U D G E T A R Y </v>
          </cell>
        </row>
      </sheetData>
      <sheetData sheetId="674">
        <row r="7">
          <cell r="P7" t="str">
            <v xml:space="preserve">B U D G E T A R Y </v>
          </cell>
        </row>
      </sheetData>
      <sheetData sheetId="675">
        <row r="7">
          <cell r="P7" t="str">
            <v xml:space="preserve">B U D G E T A R Y </v>
          </cell>
        </row>
      </sheetData>
      <sheetData sheetId="676">
        <row r="7">
          <cell r="P7" t="str">
            <v xml:space="preserve">B U D G E T A R Y </v>
          </cell>
        </row>
      </sheetData>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ow r="7">
          <cell r="P7" t="str">
            <v xml:space="preserve">B U D G E T A R Y </v>
          </cell>
        </row>
      </sheetData>
      <sheetData sheetId="689">
        <row r="7">
          <cell r="P7" t="str">
            <v xml:space="preserve">B U D G E T A R Y </v>
          </cell>
        </row>
      </sheetData>
      <sheetData sheetId="690">
        <row r="7">
          <cell r="P7" t="str">
            <v xml:space="preserve">B U D G E T A R Y </v>
          </cell>
        </row>
      </sheetData>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ow r="7">
          <cell r="P7" t="str">
            <v xml:space="preserve">B U D G E T A R Y </v>
          </cell>
        </row>
      </sheetData>
      <sheetData sheetId="819">
        <row r="7">
          <cell r="P7" t="str">
            <v xml:space="preserve">B U D G E T A R Y </v>
          </cell>
        </row>
      </sheetData>
      <sheetData sheetId="820">
        <row r="7">
          <cell r="P7" t="str">
            <v xml:space="preserve">B U D G E T A R Y </v>
          </cell>
        </row>
      </sheetData>
      <sheetData sheetId="821">
        <row r="7">
          <cell r="P7" t="str">
            <v xml:space="preserve">B U D G E T A R Y </v>
          </cell>
        </row>
      </sheetData>
      <sheetData sheetId="822">
        <row r="7">
          <cell r="P7" t="str">
            <v xml:space="preserve">B U D G E T A R Y </v>
          </cell>
        </row>
      </sheetData>
      <sheetData sheetId="823">
        <row r="7">
          <cell r="P7" t="str">
            <v xml:space="preserve">B U D G E T A R Y </v>
          </cell>
        </row>
      </sheetData>
      <sheetData sheetId="824">
        <row r="7">
          <cell r="P7" t="str">
            <v xml:space="preserve">B U D G E T A R Y </v>
          </cell>
        </row>
      </sheetData>
      <sheetData sheetId="825">
        <row r="7">
          <cell r="P7" t="str">
            <v xml:space="preserve">B U D G E T A R Y </v>
          </cell>
        </row>
      </sheetData>
      <sheetData sheetId="826">
        <row r="7">
          <cell r="P7" t="str">
            <v xml:space="preserve">B U D G E T A R Y </v>
          </cell>
        </row>
      </sheetData>
      <sheetData sheetId="827">
        <row r="7">
          <cell r="P7" t="str">
            <v xml:space="preserve">B U D G E T A R Y </v>
          </cell>
        </row>
      </sheetData>
      <sheetData sheetId="828">
        <row r="7">
          <cell r="P7" t="str">
            <v xml:space="preserve">B U D G E T A R Y </v>
          </cell>
        </row>
      </sheetData>
      <sheetData sheetId="829">
        <row r="7">
          <cell r="P7" t="str">
            <v xml:space="preserve">B U D G E T A R Y </v>
          </cell>
        </row>
      </sheetData>
      <sheetData sheetId="830">
        <row r="7">
          <cell r="P7" t="str">
            <v xml:space="preserve">B U D G E T A R Y </v>
          </cell>
        </row>
      </sheetData>
      <sheetData sheetId="831">
        <row r="7">
          <cell r="P7" t="str">
            <v xml:space="preserve">B U D G E T A R Y </v>
          </cell>
        </row>
      </sheetData>
      <sheetData sheetId="832">
        <row r="7">
          <cell r="P7" t="str">
            <v xml:space="preserve">B U D G E T A R Y </v>
          </cell>
        </row>
      </sheetData>
      <sheetData sheetId="833">
        <row r="7">
          <cell r="P7" t="str">
            <v xml:space="preserve">B U D G E T A R Y </v>
          </cell>
        </row>
      </sheetData>
      <sheetData sheetId="834">
        <row r="7">
          <cell r="P7" t="str">
            <v xml:space="preserve">B U D G E T A R Y </v>
          </cell>
        </row>
      </sheetData>
      <sheetData sheetId="835">
        <row r="7">
          <cell r="P7" t="str">
            <v xml:space="preserve">B U D G E T A R Y </v>
          </cell>
        </row>
      </sheetData>
      <sheetData sheetId="836">
        <row r="7">
          <cell r="P7" t="str">
            <v xml:space="preserve">B U D G E T A R Y </v>
          </cell>
        </row>
      </sheetData>
      <sheetData sheetId="837">
        <row r="7">
          <cell r="P7" t="str">
            <v xml:space="preserve">B U D G E T A R Y </v>
          </cell>
        </row>
      </sheetData>
      <sheetData sheetId="838">
        <row r="7">
          <cell r="P7" t="str">
            <v xml:space="preserve">B U D G E T A R Y </v>
          </cell>
        </row>
      </sheetData>
      <sheetData sheetId="839">
        <row r="7">
          <cell r="P7" t="str">
            <v xml:space="preserve">B U D G E T A R Y </v>
          </cell>
        </row>
      </sheetData>
      <sheetData sheetId="840">
        <row r="7">
          <cell r="P7" t="str">
            <v xml:space="preserve">B U D G E T A R Y </v>
          </cell>
        </row>
      </sheetData>
      <sheetData sheetId="841">
        <row r="7">
          <cell r="P7" t="str">
            <v xml:space="preserve">B U D G E T A R Y </v>
          </cell>
        </row>
      </sheetData>
      <sheetData sheetId="842">
        <row r="7">
          <cell r="P7" t="str">
            <v xml:space="preserve">B U D G E T A R Y </v>
          </cell>
        </row>
      </sheetData>
      <sheetData sheetId="843">
        <row r="7">
          <cell r="P7" t="str">
            <v xml:space="preserve">B U D G E T A R Y </v>
          </cell>
        </row>
      </sheetData>
      <sheetData sheetId="844">
        <row r="7">
          <cell r="P7" t="str">
            <v xml:space="preserve">B U D G E T A R Y </v>
          </cell>
        </row>
      </sheetData>
      <sheetData sheetId="845">
        <row r="7">
          <cell r="P7" t="str">
            <v xml:space="preserve">B U D G E T A R Y </v>
          </cell>
        </row>
      </sheetData>
      <sheetData sheetId="846">
        <row r="7">
          <cell r="P7" t="str">
            <v xml:space="preserve">B U D G E T A R Y </v>
          </cell>
        </row>
      </sheetData>
      <sheetData sheetId="847">
        <row r="7">
          <cell r="P7" t="str">
            <v xml:space="preserve">B U D G E T A R Y </v>
          </cell>
        </row>
      </sheetData>
      <sheetData sheetId="848">
        <row r="7">
          <cell r="P7" t="str">
            <v xml:space="preserve">B U D G E T A R Y </v>
          </cell>
        </row>
      </sheetData>
      <sheetData sheetId="849">
        <row r="7">
          <cell r="P7" t="str">
            <v xml:space="preserve">B U D G E T A R Y </v>
          </cell>
        </row>
      </sheetData>
      <sheetData sheetId="850">
        <row r="7">
          <cell r="P7" t="str">
            <v xml:space="preserve">B U D G E T A R Y </v>
          </cell>
        </row>
      </sheetData>
      <sheetData sheetId="851">
        <row r="7">
          <cell r="P7" t="str">
            <v xml:space="preserve">B U D G E T A R Y </v>
          </cell>
        </row>
      </sheetData>
      <sheetData sheetId="852">
        <row r="7">
          <cell r="P7" t="str">
            <v xml:space="preserve">B U D G E T A R Y </v>
          </cell>
        </row>
      </sheetData>
      <sheetData sheetId="853">
        <row r="7">
          <cell r="P7" t="str">
            <v xml:space="preserve">B U D G E T A R Y </v>
          </cell>
        </row>
      </sheetData>
      <sheetData sheetId="854">
        <row r="7">
          <cell r="P7" t="str">
            <v xml:space="preserve">B U D G E T A R Y </v>
          </cell>
        </row>
      </sheetData>
      <sheetData sheetId="855">
        <row r="7">
          <cell r="P7" t="str">
            <v xml:space="preserve">B U D G E T A R Y </v>
          </cell>
        </row>
      </sheetData>
      <sheetData sheetId="856">
        <row r="7">
          <cell r="P7" t="str">
            <v xml:space="preserve">B U D G E T A R Y </v>
          </cell>
        </row>
      </sheetData>
      <sheetData sheetId="857">
        <row r="7">
          <cell r="P7" t="str">
            <v xml:space="preserve">B U D G E T A R Y </v>
          </cell>
        </row>
      </sheetData>
      <sheetData sheetId="858">
        <row r="7">
          <cell r="P7" t="str">
            <v xml:space="preserve">B U D G E T A R Y </v>
          </cell>
        </row>
      </sheetData>
      <sheetData sheetId="859">
        <row r="7">
          <cell r="P7" t="str">
            <v xml:space="preserve">B U D G E T A R Y </v>
          </cell>
        </row>
      </sheetData>
      <sheetData sheetId="860">
        <row r="7">
          <cell r="P7" t="str">
            <v xml:space="preserve">B U D G E T A R Y </v>
          </cell>
        </row>
      </sheetData>
      <sheetData sheetId="861">
        <row r="7">
          <cell r="P7" t="str">
            <v xml:space="preserve">B U D G E T A R Y </v>
          </cell>
        </row>
      </sheetData>
      <sheetData sheetId="862">
        <row r="7">
          <cell r="P7" t="str">
            <v xml:space="preserve">B U D G E T A R Y </v>
          </cell>
        </row>
      </sheetData>
      <sheetData sheetId="863">
        <row r="7">
          <cell r="P7" t="str">
            <v xml:space="preserve">B U D G E T A R Y </v>
          </cell>
        </row>
      </sheetData>
      <sheetData sheetId="864">
        <row r="7">
          <cell r="P7" t="str">
            <v xml:space="preserve">B U D G E T A R Y </v>
          </cell>
        </row>
      </sheetData>
      <sheetData sheetId="865">
        <row r="7">
          <cell r="P7" t="str">
            <v xml:space="preserve">B U D G E T A R Y </v>
          </cell>
        </row>
      </sheetData>
      <sheetData sheetId="866" refreshError="1"/>
      <sheetData sheetId="867">
        <row r="7">
          <cell r="P7" t="str">
            <v xml:space="preserve">B U D G E T A R Y </v>
          </cell>
        </row>
      </sheetData>
      <sheetData sheetId="868">
        <row r="7">
          <cell r="P7" t="str">
            <v xml:space="preserve">B U D G E T A R Y </v>
          </cell>
        </row>
      </sheetData>
      <sheetData sheetId="869">
        <row r="7">
          <cell r="P7" t="str">
            <v xml:space="preserve">B U D G E T A R Y </v>
          </cell>
        </row>
      </sheetData>
      <sheetData sheetId="870">
        <row r="7">
          <cell r="P7" t="str">
            <v xml:space="preserve">B U D G E T A R Y </v>
          </cell>
        </row>
      </sheetData>
      <sheetData sheetId="871">
        <row r="7">
          <cell r="P7" t="str">
            <v xml:space="preserve">B U D G E T A R Y </v>
          </cell>
        </row>
      </sheetData>
      <sheetData sheetId="872">
        <row r="7">
          <cell r="P7" t="str">
            <v xml:space="preserve">B U D G E T A R Y </v>
          </cell>
        </row>
      </sheetData>
      <sheetData sheetId="873">
        <row r="7">
          <cell r="P7" t="str">
            <v xml:space="preserve">B U D G E T A R Y </v>
          </cell>
        </row>
      </sheetData>
      <sheetData sheetId="874">
        <row r="7">
          <cell r="P7" t="str">
            <v xml:space="preserve">B U D G E T A R Y </v>
          </cell>
        </row>
      </sheetData>
      <sheetData sheetId="875">
        <row r="7">
          <cell r="P7" t="str">
            <v xml:space="preserve">B U D G E T A R Y </v>
          </cell>
        </row>
      </sheetData>
      <sheetData sheetId="876">
        <row r="7">
          <cell r="P7" t="str">
            <v xml:space="preserve">B U D G E T A R Y </v>
          </cell>
        </row>
      </sheetData>
      <sheetData sheetId="877">
        <row r="7">
          <cell r="P7" t="str">
            <v xml:space="preserve">B U D G E T A R Y </v>
          </cell>
        </row>
      </sheetData>
      <sheetData sheetId="878">
        <row r="7">
          <cell r="P7" t="str">
            <v xml:space="preserve">B U D G E T A R Y </v>
          </cell>
        </row>
      </sheetData>
      <sheetData sheetId="879">
        <row r="7">
          <cell r="P7" t="str">
            <v xml:space="preserve">B U D G E T A R Y </v>
          </cell>
        </row>
      </sheetData>
      <sheetData sheetId="880">
        <row r="7">
          <cell r="P7" t="str">
            <v xml:space="preserve">B U D G E T A R Y </v>
          </cell>
        </row>
      </sheetData>
      <sheetData sheetId="881">
        <row r="7">
          <cell r="P7" t="str">
            <v xml:space="preserve">B U D G E T A R Y </v>
          </cell>
        </row>
      </sheetData>
      <sheetData sheetId="882">
        <row r="7">
          <cell r="P7" t="str">
            <v xml:space="preserve">B U D G E T A R Y </v>
          </cell>
        </row>
      </sheetData>
      <sheetData sheetId="883">
        <row r="7">
          <cell r="P7" t="str">
            <v xml:space="preserve">B U D G E T A R Y </v>
          </cell>
        </row>
      </sheetData>
      <sheetData sheetId="884">
        <row r="7">
          <cell r="P7" t="str">
            <v xml:space="preserve">B U D G E T A R Y </v>
          </cell>
        </row>
      </sheetData>
      <sheetData sheetId="885">
        <row r="7">
          <cell r="P7" t="str">
            <v xml:space="preserve">B U D G E T A R Y </v>
          </cell>
        </row>
      </sheetData>
      <sheetData sheetId="886">
        <row r="8">
          <cell r="A8" t="str">
            <v>No.</v>
          </cell>
        </row>
      </sheetData>
      <sheetData sheetId="887"/>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7">
          <cell r="P7" t="str">
            <v xml:space="preserve">B U D G E T A R Y </v>
          </cell>
        </row>
      </sheetData>
      <sheetData sheetId="1036">
        <row r="7">
          <cell r="P7" t="str">
            <v xml:space="preserve">B U D G E T A R Y </v>
          </cell>
        </row>
      </sheetData>
      <sheetData sheetId="1037">
        <row r="7">
          <cell r="P7" t="str">
            <v xml:space="preserve">B U D G E T A R Y </v>
          </cell>
        </row>
      </sheetData>
      <sheetData sheetId="1038">
        <row r="7">
          <cell r="P7" t="str">
            <v xml:space="preserve">B U D G E T A R Y </v>
          </cell>
        </row>
      </sheetData>
      <sheetData sheetId="1039">
        <row r="7">
          <cell r="P7" t="str">
            <v xml:space="preserve">B U D G E T A R Y </v>
          </cell>
        </row>
      </sheetData>
      <sheetData sheetId="1040">
        <row r="7">
          <cell r="P7" t="str">
            <v xml:space="preserve">B U D G E T A R Y </v>
          </cell>
        </row>
      </sheetData>
      <sheetData sheetId="1041">
        <row r="7">
          <cell r="P7" t="str">
            <v xml:space="preserve">B U D G E T A R Y </v>
          </cell>
        </row>
      </sheetData>
      <sheetData sheetId="1042">
        <row r="7">
          <cell r="P7" t="str">
            <v xml:space="preserve">B U D G E T A R Y </v>
          </cell>
        </row>
      </sheetData>
      <sheetData sheetId="1043">
        <row r="7">
          <cell r="P7" t="str">
            <v xml:space="preserve">B U D G E T A R Y </v>
          </cell>
        </row>
      </sheetData>
      <sheetData sheetId="1044">
        <row r="7">
          <cell r="P7" t="str">
            <v xml:space="preserve">B U D G E T A R Y </v>
          </cell>
        </row>
      </sheetData>
      <sheetData sheetId="1045">
        <row r="7">
          <cell r="P7" t="str">
            <v xml:space="preserve">B U D G E T A R Y </v>
          </cell>
        </row>
      </sheetData>
      <sheetData sheetId="1046">
        <row r="7">
          <cell r="P7" t="str">
            <v xml:space="preserve">B U D G E T A R Y </v>
          </cell>
        </row>
      </sheetData>
      <sheetData sheetId="1047">
        <row r="7">
          <cell r="P7" t="str">
            <v xml:space="preserve">B U D G E T A R Y </v>
          </cell>
        </row>
      </sheetData>
      <sheetData sheetId="1048">
        <row r="7">
          <cell r="P7" t="str">
            <v xml:space="preserve">B U D G E T A R Y </v>
          </cell>
        </row>
      </sheetData>
      <sheetData sheetId="1049">
        <row r="7">
          <cell r="P7" t="str">
            <v xml:space="preserve">B U D G E T A R Y </v>
          </cell>
        </row>
      </sheetData>
      <sheetData sheetId="1050">
        <row r="7">
          <cell r="P7" t="str">
            <v xml:space="preserve">B U D G E T A R Y </v>
          </cell>
        </row>
      </sheetData>
      <sheetData sheetId="1051"/>
      <sheetData sheetId="1052"/>
      <sheetData sheetId="1053">
        <row r="7">
          <cell r="P7" t="str">
            <v xml:space="preserve">B U D G E T A R Y </v>
          </cell>
        </row>
      </sheetData>
      <sheetData sheetId="1054">
        <row r="7">
          <cell r="P7" t="str">
            <v xml:space="preserve">B U D G E T A R Y </v>
          </cell>
        </row>
      </sheetData>
      <sheetData sheetId="1055">
        <row r="7">
          <cell r="P7">
            <v>0</v>
          </cell>
        </row>
      </sheetData>
      <sheetData sheetId="1056">
        <row r="7">
          <cell r="P7" t="str">
            <v xml:space="preserve">B U D G E T A R Y </v>
          </cell>
        </row>
      </sheetData>
      <sheetData sheetId="1057">
        <row r="7">
          <cell r="P7" t="str">
            <v xml:space="preserve">B U D G E T A R Y </v>
          </cell>
        </row>
      </sheetData>
      <sheetData sheetId="1058"/>
      <sheetData sheetId="1059">
        <row r="7">
          <cell r="P7" t="str">
            <v xml:space="preserve">B U D G E T A R Y </v>
          </cell>
        </row>
      </sheetData>
      <sheetData sheetId="1060"/>
      <sheetData sheetId="1061"/>
      <sheetData sheetId="1062"/>
      <sheetData sheetId="1063"/>
      <sheetData sheetId="1064"/>
      <sheetData sheetId="1065"/>
      <sheetData sheetId="1066"/>
      <sheetData sheetId="1067"/>
      <sheetData sheetId="1068"/>
      <sheetData sheetId="1069">
        <row r="7">
          <cell r="P7" t="str">
            <v xml:space="preserve">B U D G E T A R Y </v>
          </cell>
        </row>
      </sheetData>
      <sheetData sheetId="1070"/>
      <sheetData sheetId="1071"/>
      <sheetData sheetId="1072"/>
      <sheetData sheetId="1073"/>
      <sheetData sheetId="1074">
        <row r="8">
          <cell r="A8" t="str">
            <v>No.</v>
          </cell>
        </row>
      </sheetData>
      <sheetData sheetId="1075"/>
      <sheetData sheetId="1076"/>
      <sheetData sheetId="1077">
        <row r="7">
          <cell r="P7">
            <v>0</v>
          </cell>
        </row>
      </sheetData>
      <sheetData sheetId="1078">
        <row r="7">
          <cell r="P7" t="str">
            <v xml:space="preserve">B U D G E T A R Y </v>
          </cell>
        </row>
      </sheetData>
      <sheetData sheetId="1079">
        <row r="7">
          <cell r="P7" t="str">
            <v xml:space="preserve">B U D G E T A R Y </v>
          </cell>
        </row>
      </sheetData>
      <sheetData sheetId="1080">
        <row r="7">
          <cell r="P7" t="str">
            <v xml:space="preserve">B U D G E T A R Y </v>
          </cell>
        </row>
      </sheetData>
      <sheetData sheetId="1081"/>
      <sheetData sheetId="1082">
        <row r="7">
          <cell r="P7" t="str">
            <v xml:space="preserve">B U D G E T A R Y </v>
          </cell>
        </row>
      </sheetData>
      <sheetData sheetId="1083">
        <row r="7">
          <cell r="P7" t="str">
            <v xml:space="preserve">B U D G E T A R Y </v>
          </cell>
        </row>
      </sheetData>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sheetData sheetId="1111"/>
      <sheetData sheetId="1112"/>
      <sheetData sheetId="1113"/>
      <sheetData sheetId="1114"/>
      <sheetData sheetId="1115"/>
      <sheetData sheetId="1116"/>
      <sheetData sheetId="1117"/>
      <sheetData sheetId="1118">
        <row r="7">
          <cell r="P7" t="str">
            <v xml:space="preserve">B U D G E T A R Y </v>
          </cell>
        </row>
      </sheetData>
      <sheetData sheetId="1119">
        <row r="7">
          <cell r="P7" t="str">
            <v xml:space="preserve">B U D G E T A R Y </v>
          </cell>
        </row>
      </sheetData>
      <sheetData sheetId="1120">
        <row r="7">
          <cell r="P7" t="str">
            <v xml:space="preserve">B U D G E T A R Y </v>
          </cell>
        </row>
      </sheetData>
      <sheetData sheetId="1121">
        <row r="7">
          <cell r="P7" t="str">
            <v xml:space="preserve">B U D G E T A R Y </v>
          </cell>
        </row>
      </sheetData>
      <sheetData sheetId="1122">
        <row r="7">
          <cell r="P7" t="str">
            <v xml:space="preserve">B U D G E T A R Y </v>
          </cell>
        </row>
      </sheetData>
      <sheetData sheetId="1123">
        <row r="7">
          <cell r="P7" t="str">
            <v xml:space="preserve">B U D G E T A R Y </v>
          </cell>
        </row>
      </sheetData>
      <sheetData sheetId="1124">
        <row r="7">
          <cell r="P7" t="str">
            <v xml:space="preserve">B U D G E T A R Y </v>
          </cell>
        </row>
      </sheetData>
      <sheetData sheetId="1125">
        <row r="7">
          <cell r="P7" t="str">
            <v xml:space="preserve">B U D G E T A R Y </v>
          </cell>
        </row>
      </sheetData>
      <sheetData sheetId="1126">
        <row r="7">
          <cell r="P7" t="str">
            <v xml:space="preserve">B U D G E T A R Y </v>
          </cell>
        </row>
      </sheetData>
      <sheetData sheetId="1127">
        <row r="7">
          <cell r="P7" t="str">
            <v xml:space="preserve">B U D G E T A R Y </v>
          </cell>
        </row>
      </sheetData>
      <sheetData sheetId="1128">
        <row r="7">
          <cell r="P7" t="str">
            <v xml:space="preserve">B U D G E T A R Y </v>
          </cell>
        </row>
      </sheetData>
      <sheetData sheetId="1129">
        <row r="7">
          <cell r="P7" t="str">
            <v xml:space="preserve">B U D G E T A R Y </v>
          </cell>
        </row>
      </sheetData>
      <sheetData sheetId="1130">
        <row r="7">
          <cell r="P7" t="str">
            <v xml:space="preserve">B U D G E T A R Y </v>
          </cell>
        </row>
      </sheetData>
      <sheetData sheetId="1131">
        <row r="7">
          <cell r="P7" t="str">
            <v xml:space="preserve">B U D G E T A R Y </v>
          </cell>
        </row>
      </sheetData>
      <sheetData sheetId="1132">
        <row r="7">
          <cell r="P7" t="str">
            <v xml:space="preserve">B U D G E T A R Y </v>
          </cell>
        </row>
      </sheetData>
      <sheetData sheetId="1133">
        <row r="7">
          <cell r="P7" t="str">
            <v xml:space="preserve">B U D G E T A R Y </v>
          </cell>
        </row>
      </sheetData>
      <sheetData sheetId="1134">
        <row r="7">
          <cell r="P7" t="str">
            <v xml:space="preserve">B U D G E T A R Y </v>
          </cell>
        </row>
      </sheetData>
      <sheetData sheetId="1135">
        <row r="7">
          <cell r="P7" t="str">
            <v xml:space="preserve">B U D G E T A R Y </v>
          </cell>
        </row>
      </sheetData>
      <sheetData sheetId="1136">
        <row r="7">
          <cell r="P7" t="str">
            <v xml:space="preserve">B U D G E T A R Y </v>
          </cell>
        </row>
      </sheetData>
      <sheetData sheetId="1137">
        <row r="7">
          <cell r="P7" t="str">
            <v xml:space="preserve">B U D G E T A R Y </v>
          </cell>
        </row>
      </sheetData>
      <sheetData sheetId="1138">
        <row r="7">
          <cell r="P7" t="str">
            <v xml:space="preserve">B U D G E T A R Y </v>
          </cell>
        </row>
      </sheetData>
      <sheetData sheetId="1139">
        <row r="7">
          <cell r="P7" t="str">
            <v xml:space="preserve">B U D G E T A R Y </v>
          </cell>
        </row>
      </sheetData>
      <sheetData sheetId="1140">
        <row r="7">
          <cell r="P7" t="str">
            <v xml:space="preserve">B U D G E T A R Y </v>
          </cell>
        </row>
      </sheetData>
      <sheetData sheetId="1141">
        <row r="7">
          <cell r="P7" t="str">
            <v xml:space="preserve">B U D G E T A R Y </v>
          </cell>
        </row>
      </sheetData>
      <sheetData sheetId="1142">
        <row r="7">
          <cell r="P7" t="str">
            <v xml:space="preserve">B U D G E T A R Y </v>
          </cell>
        </row>
      </sheetData>
      <sheetData sheetId="1143">
        <row r="7">
          <cell r="P7" t="str">
            <v xml:space="preserve">B U D G E T A R Y </v>
          </cell>
        </row>
      </sheetData>
      <sheetData sheetId="1144">
        <row r="7">
          <cell r="P7" t="str">
            <v xml:space="preserve">B U D G E T A R Y </v>
          </cell>
        </row>
      </sheetData>
      <sheetData sheetId="1145">
        <row r="7">
          <cell r="P7" t="str">
            <v xml:space="preserve">B U D G E T A R Y </v>
          </cell>
        </row>
      </sheetData>
      <sheetData sheetId="1146">
        <row r="7">
          <cell r="P7" t="str">
            <v xml:space="preserve">B U D G E T A R Y </v>
          </cell>
        </row>
      </sheetData>
      <sheetData sheetId="1147">
        <row r="7">
          <cell r="P7" t="str">
            <v xml:space="preserve">B U D G E T A R Y </v>
          </cell>
        </row>
      </sheetData>
      <sheetData sheetId="1148">
        <row r="7">
          <cell r="P7" t="str">
            <v xml:space="preserve">B U D G E T A R Y </v>
          </cell>
        </row>
      </sheetData>
      <sheetData sheetId="1149">
        <row r="7">
          <cell r="P7" t="str">
            <v xml:space="preserve">B U D G E T A R Y </v>
          </cell>
        </row>
      </sheetData>
      <sheetData sheetId="1150">
        <row r="7">
          <cell r="P7" t="str">
            <v xml:space="preserve">B U D G E T A R Y </v>
          </cell>
        </row>
      </sheetData>
      <sheetData sheetId="1151">
        <row r="7">
          <cell r="P7" t="str">
            <v xml:space="preserve">B U D G E T A R Y </v>
          </cell>
        </row>
      </sheetData>
      <sheetData sheetId="1152">
        <row r="7">
          <cell r="P7" t="str">
            <v xml:space="preserve">B U D G E T A R Y </v>
          </cell>
        </row>
      </sheetData>
      <sheetData sheetId="1153">
        <row r="7">
          <cell r="P7" t="str">
            <v xml:space="preserve">B U D G E T A R Y </v>
          </cell>
        </row>
      </sheetData>
      <sheetData sheetId="1154">
        <row r="7">
          <cell r="P7" t="str">
            <v xml:space="preserve">B U D G E T A R Y </v>
          </cell>
        </row>
      </sheetData>
      <sheetData sheetId="1155">
        <row r="7">
          <cell r="P7" t="str">
            <v xml:space="preserve">B U D G E T A R Y </v>
          </cell>
        </row>
      </sheetData>
      <sheetData sheetId="1156">
        <row r="7">
          <cell r="P7" t="str">
            <v xml:space="preserve">B U D G E T A R Y </v>
          </cell>
        </row>
      </sheetData>
      <sheetData sheetId="1157">
        <row r="7">
          <cell r="P7" t="str">
            <v xml:space="preserve">B U D G E T A R Y </v>
          </cell>
        </row>
      </sheetData>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ow r="7">
          <cell r="P7" t="str">
            <v xml:space="preserve">B U D G E T A R Y </v>
          </cell>
        </row>
      </sheetData>
      <sheetData sheetId="1275">
        <row r="7">
          <cell r="P7" t="str">
            <v xml:space="preserve">B U D G E T A R Y </v>
          </cell>
        </row>
      </sheetData>
      <sheetData sheetId="1276">
        <row r="7">
          <cell r="P7" t="str">
            <v xml:space="preserve">B U D G E T A R Y </v>
          </cell>
        </row>
      </sheetData>
      <sheetData sheetId="1277">
        <row r="7">
          <cell r="P7" t="str">
            <v xml:space="preserve">B U D G E T A R Y </v>
          </cell>
        </row>
      </sheetData>
      <sheetData sheetId="1278">
        <row r="7">
          <cell r="P7">
            <v>0</v>
          </cell>
        </row>
      </sheetData>
      <sheetData sheetId="1279">
        <row r="7">
          <cell r="P7">
            <v>0</v>
          </cell>
        </row>
      </sheetData>
      <sheetData sheetId="1280">
        <row r="7">
          <cell r="P7">
            <v>0</v>
          </cell>
        </row>
      </sheetData>
      <sheetData sheetId="1281">
        <row r="7">
          <cell r="P7" t="str">
            <v xml:space="preserve">B U D G E T A R Y </v>
          </cell>
        </row>
      </sheetData>
      <sheetData sheetId="1282">
        <row r="7">
          <cell r="P7">
            <v>0</v>
          </cell>
        </row>
      </sheetData>
      <sheetData sheetId="1283">
        <row r="7">
          <cell r="P7">
            <v>0</v>
          </cell>
        </row>
      </sheetData>
      <sheetData sheetId="1284">
        <row r="7">
          <cell r="P7">
            <v>0</v>
          </cell>
        </row>
      </sheetData>
      <sheetData sheetId="1285">
        <row r="7">
          <cell r="P7" t="str">
            <v xml:space="preserve">B U D G E T A R Y </v>
          </cell>
        </row>
      </sheetData>
      <sheetData sheetId="1286">
        <row r="7">
          <cell r="P7">
            <v>0</v>
          </cell>
        </row>
      </sheetData>
      <sheetData sheetId="1287">
        <row r="7">
          <cell r="P7">
            <v>0</v>
          </cell>
        </row>
      </sheetData>
      <sheetData sheetId="1288">
        <row r="7">
          <cell r="P7">
            <v>0</v>
          </cell>
        </row>
      </sheetData>
      <sheetData sheetId="1289">
        <row r="7">
          <cell r="P7">
            <v>0</v>
          </cell>
        </row>
      </sheetData>
      <sheetData sheetId="1290">
        <row r="7">
          <cell r="P7">
            <v>0</v>
          </cell>
        </row>
      </sheetData>
      <sheetData sheetId="1291">
        <row r="7">
          <cell r="P7" t="str">
            <v xml:space="preserve">B U D G E T A R Y </v>
          </cell>
        </row>
      </sheetData>
      <sheetData sheetId="1292">
        <row r="7">
          <cell r="P7">
            <v>0</v>
          </cell>
        </row>
      </sheetData>
      <sheetData sheetId="1293">
        <row r="7">
          <cell r="P7">
            <v>0</v>
          </cell>
        </row>
      </sheetData>
      <sheetData sheetId="1294">
        <row r="7">
          <cell r="P7" t="str">
            <v xml:space="preserve">B U D G E T A R Y </v>
          </cell>
        </row>
      </sheetData>
      <sheetData sheetId="1295">
        <row r="7">
          <cell r="P7">
            <v>0</v>
          </cell>
        </row>
      </sheetData>
      <sheetData sheetId="1296">
        <row r="7">
          <cell r="P7">
            <v>0</v>
          </cell>
        </row>
      </sheetData>
      <sheetData sheetId="1297">
        <row r="7">
          <cell r="P7">
            <v>0</v>
          </cell>
        </row>
      </sheetData>
      <sheetData sheetId="1298">
        <row r="7">
          <cell r="P7">
            <v>0</v>
          </cell>
        </row>
      </sheetData>
      <sheetData sheetId="1299">
        <row r="7">
          <cell r="P7">
            <v>0</v>
          </cell>
        </row>
      </sheetData>
      <sheetData sheetId="1300">
        <row r="7">
          <cell r="P7" t="str">
            <v xml:space="preserve">B U D G E T A R Y </v>
          </cell>
        </row>
      </sheetData>
      <sheetData sheetId="1301">
        <row r="7">
          <cell r="P7">
            <v>0</v>
          </cell>
        </row>
      </sheetData>
      <sheetData sheetId="1302">
        <row r="7">
          <cell r="P7" t="str">
            <v xml:space="preserve">B U D G E T A R Y </v>
          </cell>
        </row>
      </sheetData>
      <sheetData sheetId="1303">
        <row r="7">
          <cell r="P7" t="str">
            <v xml:space="preserve">B U D G E T A R Y </v>
          </cell>
        </row>
      </sheetData>
      <sheetData sheetId="1304">
        <row r="7">
          <cell r="P7">
            <v>0</v>
          </cell>
        </row>
      </sheetData>
      <sheetData sheetId="1305">
        <row r="7">
          <cell r="P7">
            <v>0</v>
          </cell>
        </row>
      </sheetData>
      <sheetData sheetId="1306">
        <row r="7">
          <cell r="P7">
            <v>0</v>
          </cell>
        </row>
      </sheetData>
      <sheetData sheetId="1307">
        <row r="7">
          <cell r="P7">
            <v>0</v>
          </cell>
        </row>
      </sheetData>
      <sheetData sheetId="1308">
        <row r="7">
          <cell r="P7">
            <v>0</v>
          </cell>
        </row>
      </sheetData>
      <sheetData sheetId="1309">
        <row r="7">
          <cell r="P7" t="str">
            <v xml:space="preserve">B U D G E T A R Y </v>
          </cell>
        </row>
      </sheetData>
      <sheetData sheetId="1310">
        <row r="7">
          <cell r="P7">
            <v>0</v>
          </cell>
        </row>
      </sheetData>
      <sheetData sheetId="1311">
        <row r="7">
          <cell r="P7" t="str">
            <v xml:space="preserve">B U D G E T A R Y </v>
          </cell>
        </row>
      </sheetData>
      <sheetData sheetId="1312">
        <row r="7">
          <cell r="P7" t="str">
            <v xml:space="preserve">B U D G E T A R Y </v>
          </cell>
        </row>
      </sheetData>
      <sheetData sheetId="1313">
        <row r="7">
          <cell r="P7">
            <v>0</v>
          </cell>
        </row>
      </sheetData>
      <sheetData sheetId="1314">
        <row r="7">
          <cell r="P7">
            <v>0</v>
          </cell>
        </row>
      </sheetData>
      <sheetData sheetId="1315">
        <row r="7">
          <cell r="P7">
            <v>0</v>
          </cell>
        </row>
      </sheetData>
      <sheetData sheetId="1316">
        <row r="7">
          <cell r="P7">
            <v>0</v>
          </cell>
        </row>
      </sheetData>
      <sheetData sheetId="1317">
        <row r="7">
          <cell r="P7">
            <v>0</v>
          </cell>
        </row>
      </sheetData>
      <sheetData sheetId="1318">
        <row r="7">
          <cell r="P7" t="str">
            <v xml:space="preserve">B U D G E T A R Y </v>
          </cell>
        </row>
      </sheetData>
      <sheetData sheetId="1319">
        <row r="7">
          <cell r="P7">
            <v>0</v>
          </cell>
        </row>
      </sheetData>
      <sheetData sheetId="1320">
        <row r="7">
          <cell r="P7">
            <v>0</v>
          </cell>
        </row>
      </sheetData>
      <sheetData sheetId="1321">
        <row r="7">
          <cell r="P7">
            <v>0</v>
          </cell>
        </row>
      </sheetData>
      <sheetData sheetId="1322">
        <row r="7">
          <cell r="P7">
            <v>0</v>
          </cell>
        </row>
      </sheetData>
      <sheetData sheetId="1323">
        <row r="7">
          <cell r="P7">
            <v>0</v>
          </cell>
        </row>
      </sheetData>
      <sheetData sheetId="1324">
        <row r="7">
          <cell r="P7">
            <v>0</v>
          </cell>
        </row>
      </sheetData>
      <sheetData sheetId="1325">
        <row r="7">
          <cell r="P7">
            <v>0</v>
          </cell>
        </row>
      </sheetData>
      <sheetData sheetId="1326">
        <row r="7">
          <cell r="P7">
            <v>0</v>
          </cell>
        </row>
      </sheetData>
      <sheetData sheetId="1327">
        <row r="7">
          <cell r="P7" t="str">
            <v xml:space="preserve">B U D G E T A R Y </v>
          </cell>
        </row>
      </sheetData>
      <sheetData sheetId="1328">
        <row r="7">
          <cell r="P7">
            <v>0</v>
          </cell>
        </row>
      </sheetData>
      <sheetData sheetId="1329">
        <row r="7">
          <cell r="P7">
            <v>0</v>
          </cell>
        </row>
      </sheetData>
      <sheetData sheetId="1330">
        <row r="7">
          <cell r="P7">
            <v>0</v>
          </cell>
        </row>
      </sheetData>
      <sheetData sheetId="1331">
        <row r="7">
          <cell r="P7">
            <v>0</v>
          </cell>
        </row>
      </sheetData>
      <sheetData sheetId="1332">
        <row r="7">
          <cell r="P7" t="str">
            <v xml:space="preserve">B U D G E T A R Y </v>
          </cell>
        </row>
      </sheetData>
      <sheetData sheetId="1333">
        <row r="7">
          <cell r="P7">
            <v>0</v>
          </cell>
        </row>
      </sheetData>
      <sheetData sheetId="1334">
        <row r="7">
          <cell r="P7">
            <v>0</v>
          </cell>
        </row>
      </sheetData>
      <sheetData sheetId="1335">
        <row r="7">
          <cell r="P7">
            <v>0</v>
          </cell>
        </row>
      </sheetData>
      <sheetData sheetId="1336">
        <row r="7">
          <cell r="P7" t="str">
            <v xml:space="preserve">B U D G E T A R Y </v>
          </cell>
        </row>
      </sheetData>
      <sheetData sheetId="1337">
        <row r="7">
          <cell r="P7">
            <v>0</v>
          </cell>
        </row>
      </sheetData>
      <sheetData sheetId="1338">
        <row r="7">
          <cell r="P7">
            <v>0</v>
          </cell>
        </row>
      </sheetData>
      <sheetData sheetId="1339">
        <row r="7">
          <cell r="P7">
            <v>0</v>
          </cell>
        </row>
      </sheetData>
      <sheetData sheetId="1340">
        <row r="7">
          <cell r="P7">
            <v>0</v>
          </cell>
        </row>
      </sheetData>
      <sheetData sheetId="1341">
        <row r="7">
          <cell r="P7">
            <v>0</v>
          </cell>
        </row>
      </sheetData>
      <sheetData sheetId="1342">
        <row r="7">
          <cell r="P7">
            <v>0</v>
          </cell>
        </row>
      </sheetData>
      <sheetData sheetId="1343">
        <row r="7">
          <cell r="P7">
            <v>0</v>
          </cell>
        </row>
      </sheetData>
      <sheetData sheetId="1344">
        <row r="7">
          <cell r="P7">
            <v>0</v>
          </cell>
        </row>
      </sheetData>
      <sheetData sheetId="1345">
        <row r="7">
          <cell r="P7" t="str">
            <v xml:space="preserve">B U D G E T A R Y </v>
          </cell>
        </row>
      </sheetData>
      <sheetData sheetId="1346">
        <row r="7">
          <cell r="P7">
            <v>0</v>
          </cell>
        </row>
      </sheetData>
      <sheetData sheetId="1347">
        <row r="7">
          <cell r="P7">
            <v>0</v>
          </cell>
        </row>
      </sheetData>
      <sheetData sheetId="1348">
        <row r="7">
          <cell r="P7">
            <v>0</v>
          </cell>
        </row>
      </sheetData>
      <sheetData sheetId="1349">
        <row r="7">
          <cell r="P7" t="str">
            <v xml:space="preserve">B U D G E T A R Y </v>
          </cell>
        </row>
      </sheetData>
      <sheetData sheetId="1350">
        <row r="7">
          <cell r="P7" t="str">
            <v xml:space="preserve">B U D G E T A R Y </v>
          </cell>
        </row>
      </sheetData>
      <sheetData sheetId="1351">
        <row r="7">
          <cell r="P7" t="str">
            <v xml:space="preserve">B U D G E T A R Y </v>
          </cell>
        </row>
      </sheetData>
      <sheetData sheetId="1352">
        <row r="7">
          <cell r="P7">
            <v>0</v>
          </cell>
        </row>
      </sheetData>
      <sheetData sheetId="1353">
        <row r="7">
          <cell r="P7">
            <v>0</v>
          </cell>
        </row>
      </sheetData>
      <sheetData sheetId="1354">
        <row r="7">
          <cell r="P7" t="str">
            <v xml:space="preserve">B U D G E T A R Y </v>
          </cell>
        </row>
      </sheetData>
      <sheetData sheetId="1355">
        <row r="7">
          <cell r="P7">
            <v>0</v>
          </cell>
        </row>
      </sheetData>
      <sheetData sheetId="1356">
        <row r="7">
          <cell r="P7">
            <v>0</v>
          </cell>
        </row>
      </sheetData>
      <sheetData sheetId="1357">
        <row r="7">
          <cell r="P7">
            <v>0</v>
          </cell>
        </row>
      </sheetData>
      <sheetData sheetId="1358">
        <row r="7">
          <cell r="P7">
            <v>0</v>
          </cell>
        </row>
      </sheetData>
      <sheetData sheetId="1359">
        <row r="7">
          <cell r="P7">
            <v>0</v>
          </cell>
        </row>
      </sheetData>
      <sheetData sheetId="1360">
        <row r="7">
          <cell r="P7" t="str">
            <v xml:space="preserve">B U D G E T A R Y </v>
          </cell>
        </row>
      </sheetData>
      <sheetData sheetId="1361">
        <row r="7">
          <cell r="P7">
            <v>0</v>
          </cell>
        </row>
      </sheetData>
      <sheetData sheetId="1362">
        <row r="7">
          <cell r="P7">
            <v>0</v>
          </cell>
        </row>
      </sheetData>
      <sheetData sheetId="1363">
        <row r="7">
          <cell r="P7" t="str">
            <v xml:space="preserve">B U D G E T A R Y </v>
          </cell>
        </row>
      </sheetData>
      <sheetData sheetId="1364">
        <row r="7">
          <cell r="P7">
            <v>0</v>
          </cell>
        </row>
      </sheetData>
      <sheetData sheetId="1365">
        <row r="7">
          <cell r="P7">
            <v>0</v>
          </cell>
        </row>
      </sheetData>
      <sheetData sheetId="1366">
        <row r="7">
          <cell r="P7">
            <v>0</v>
          </cell>
        </row>
      </sheetData>
      <sheetData sheetId="1367">
        <row r="7">
          <cell r="P7">
            <v>0</v>
          </cell>
        </row>
      </sheetData>
      <sheetData sheetId="1368">
        <row r="7">
          <cell r="P7">
            <v>0</v>
          </cell>
        </row>
      </sheetData>
      <sheetData sheetId="1369">
        <row r="7">
          <cell r="P7" t="str">
            <v xml:space="preserve">B U D G E T A R Y </v>
          </cell>
        </row>
      </sheetData>
      <sheetData sheetId="1370">
        <row r="7">
          <cell r="P7">
            <v>0</v>
          </cell>
        </row>
      </sheetData>
      <sheetData sheetId="1371">
        <row r="7">
          <cell r="P7">
            <v>0</v>
          </cell>
        </row>
      </sheetData>
      <sheetData sheetId="1372">
        <row r="7">
          <cell r="P7">
            <v>0</v>
          </cell>
        </row>
      </sheetData>
      <sheetData sheetId="1373">
        <row r="7">
          <cell r="P7">
            <v>0</v>
          </cell>
        </row>
      </sheetData>
      <sheetData sheetId="1374">
        <row r="7">
          <cell r="P7">
            <v>0</v>
          </cell>
        </row>
      </sheetData>
      <sheetData sheetId="1375">
        <row r="7">
          <cell r="P7">
            <v>0</v>
          </cell>
        </row>
      </sheetData>
      <sheetData sheetId="1376">
        <row r="7">
          <cell r="P7" t="str">
            <v xml:space="preserve">B U D G E T A R Y </v>
          </cell>
        </row>
      </sheetData>
      <sheetData sheetId="1377">
        <row r="7">
          <cell r="P7">
            <v>0</v>
          </cell>
        </row>
      </sheetData>
      <sheetData sheetId="1378">
        <row r="7">
          <cell r="P7" t="str">
            <v xml:space="preserve">B U D G E T A R Y </v>
          </cell>
        </row>
      </sheetData>
      <sheetData sheetId="1379">
        <row r="7">
          <cell r="P7">
            <v>0</v>
          </cell>
        </row>
      </sheetData>
      <sheetData sheetId="1380">
        <row r="7">
          <cell r="P7">
            <v>0</v>
          </cell>
        </row>
      </sheetData>
      <sheetData sheetId="1381">
        <row r="7">
          <cell r="P7">
            <v>0</v>
          </cell>
        </row>
      </sheetData>
      <sheetData sheetId="1382">
        <row r="7">
          <cell r="P7" t="str">
            <v xml:space="preserve">B U D G E T A R Y </v>
          </cell>
        </row>
      </sheetData>
      <sheetData sheetId="1383">
        <row r="7">
          <cell r="P7" t="str">
            <v xml:space="preserve">B U D G E T A R Y </v>
          </cell>
        </row>
      </sheetData>
      <sheetData sheetId="1384">
        <row r="7">
          <cell r="P7" t="str">
            <v xml:space="preserve">B U D G E T A R Y </v>
          </cell>
        </row>
      </sheetData>
      <sheetData sheetId="1385">
        <row r="7">
          <cell r="P7" t="str">
            <v xml:space="preserve">B U D G E T A R Y </v>
          </cell>
        </row>
      </sheetData>
      <sheetData sheetId="1386">
        <row r="7">
          <cell r="P7">
            <v>0</v>
          </cell>
        </row>
      </sheetData>
      <sheetData sheetId="1387">
        <row r="7">
          <cell r="P7">
            <v>0</v>
          </cell>
        </row>
      </sheetData>
      <sheetData sheetId="1388">
        <row r="7">
          <cell r="P7">
            <v>0</v>
          </cell>
        </row>
      </sheetData>
      <sheetData sheetId="1389">
        <row r="7">
          <cell r="P7">
            <v>0</v>
          </cell>
        </row>
      </sheetData>
      <sheetData sheetId="1390">
        <row r="7">
          <cell r="P7">
            <v>0</v>
          </cell>
        </row>
      </sheetData>
      <sheetData sheetId="1391">
        <row r="7">
          <cell r="P7">
            <v>0</v>
          </cell>
        </row>
      </sheetData>
      <sheetData sheetId="1392">
        <row r="7">
          <cell r="P7">
            <v>0</v>
          </cell>
        </row>
      </sheetData>
      <sheetData sheetId="1393">
        <row r="7">
          <cell r="P7">
            <v>0</v>
          </cell>
        </row>
      </sheetData>
      <sheetData sheetId="1394">
        <row r="7">
          <cell r="P7">
            <v>0</v>
          </cell>
        </row>
      </sheetData>
      <sheetData sheetId="1395">
        <row r="7">
          <cell r="P7" t="str">
            <v xml:space="preserve">B U D G E T A R Y </v>
          </cell>
        </row>
      </sheetData>
      <sheetData sheetId="1396">
        <row r="7">
          <cell r="P7" t="str">
            <v xml:space="preserve">B U D G E T A R Y </v>
          </cell>
        </row>
      </sheetData>
      <sheetData sheetId="1397">
        <row r="7">
          <cell r="P7">
            <v>0</v>
          </cell>
        </row>
      </sheetData>
      <sheetData sheetId="1398">
        <row r="7">
          <cell r="P7">
            <v>0</v>
          </cell>
        </row>
      </sheetData>
      <sheetData sheetId="1399">
        <row r="7">
          <cell r="P7">
            <v>0</v>
          </cell>
        </row>
      </sheetData>
      <sheetData sheetId="1400">
        <row r="7">
          <cell r="P7">
            <v>0</v>
          </cell>
        </row>
      </sheetData>
      <sheetData sheetId="1401">
        <row r="7">
          <cell r="P7" t="str">
            <v xml:space="preserve">B U D G E T A R Y </v>
          </cell>
        </row>
      </sheetData>
      <sheetData sheetId="1402">
        <row r="7">
          <cell r="P7" t="str">
            <v xml:space="preserve">B U D G E T A R Y </v>
          </cell>
        </row>
      </sheetData>
      <sheetData sheetId="1403">
        <row r="7">
          <cell r="P7">
            <v>0</v>
          </cell>
        </row>
      </sheetData>
      <sheetData sheetId="1404">
        <row r="7">
          <cell r="P7" t="str">
            <v xml:space="preserve">B U D G E T A R Y </v>
          </cell>
        </row>
      </sheetData>
      <sheetData sheetId="1405">
        <row r="7">
          <cell r="P7">
            <v>0</v>
          </cell>
        </row>
      </sheetData>
      <sheetData sheetId="1406">
        <row r="7">
          <cell r="P7">
            <v>0</v>
          </cell>
        </row>
      </sheetData>
      <sheetData sheetId="1407">
        <row r="7">
          <cell r="P7" t="str">
            <v xml:space="preserve">B U D G E T A R Y </v>
          </cell>
        </row>
      </sheetData>
      <sheetData sheetId="1408">
        <row r="7">
          <cell r="P7">
            <v>0</v>
          </cell>
        </row>
      </sheetData>
      <sheetData sheetId="1409">
        <row r="7">
          <cell r="P7" t="str">
            <v xml:space="preserve">B U D G E T A R Y </v>
          </cell>
        </row>
      </sheetData>
      <sheetData sheetId="1410">
        <row r="7">
          <cell r="P7" t="str">
            <v xml:space="preserve">B U D G E T A R Y </v>
          </cell>
        </row>
      </sheetData>
      <sheetData sheetId="1411">
        <row r="7">
          <cell r="P7">
            <v>0</v>
          </cell>
        </row>
      </sheetData>
      <sheetData sheetId="1412">
        <row r="7">
          <cell r="P7">
            <v>0</v>
          </cell>
        </row>
      </sheetData>
      <sheetData sheetId="1413">
        <row r="7">
          <cell r="P7" t="str">
            <v xml:space="preserve">B U D G E T A R Y </v>
          </cell>
        </row>
      </sheetData>
      <sheetData sheetId="1414">
        <row r="7">
          <cell r="P7" t="str">
            <v xml:space="preserve">B U D G E T A R Y </v>
          </cell>
        </row>
      </sheetData>
      <sheetData sheetId="1415">
        <row r="7">
          <cell r="P7">
            <v>0</v>
          </cell>
        </row>
      </sheetData>
      <sheetData sheetId="1416">
        <row r="7">
          <cell r="P7">
            <v>0</v>
          </cell>
        </row>
      </sheetData>
      <sheetData sheetId="1417">
        <row r="7">
          <cell r="P7">
            <v>0</v>
          </cell>
        </row>
      </sheetData>
      <sheetData sheetId="1418">
        <row r="7">
          <cell r="P7" t="str">
            <v xml:space="preserve">B U D G E T A R Y </v>
          </cell>
        </row>
      </sheetData>
      <sheetData sheetId="1419">
        <row r="7">
          <cell r="P7" t="str">
            <v xml:space="preserve">B U D G E T A R Y </v>
          </cell>
        </row>
      </sheetData>
      <sheetData sheetId="1420">
        <row r="7">
          <cell r="P7" t="str">
            <v xml:space="preserve">B U D G E T A R Y </v>
          </cell>
        </row>
      </sheetData>
      <sheetData sheetId="1421">
        <row r="7">
          <cell r="P7" t="str">
            <v xml:space="preserve">B U D G E T A R Y </v>
          </cell>
        </row>
      </sheetData>
      <sheetData sheetId="1422">
        <row r="7">
          <cell r="P7" t="str">
            <v xml:space="preserve">B U D G E T A R Y </v>
          </cell>
        </row>
      </sheetData>
      <sheetData sheetId="1423">
        <row r="7">
          <cell r="P7" t="str">
            <v xml:space="preserve">B U D G E T A R Y </v>
          </cell>
        </row>
      </sheetData>
      <sheetData sheetId="1424">
        <row r="7">
          <cell r="P7" t="str">
            <v xml:space="preserve">B U D G E T A R Y </v>
          </cell>
        </row>
      </sheetData>
      <sheetData sheetId="1425">
        <row r="7">
          <cell r="P7">
            <v>0</v>
          </cell>
        </row>
      </sheetData>
      <sheetData sheetId="1426">
        <row r="7">
          <cell r="P7" t="str">
            <v xml:space="preserve">B U D G E T A R Y </v>
          </cell>
        </row>
      </sheetData>
      <sheetData sheetId="1427">
        <row r="7">
          <cell r="P7" t="str">
            <v xml:space="preserve">B U D G E T A R Y </v>
          </cell>
        </row>
      </sheetData>
      <sheetData sheetId="1428">
        <row r="7">
          <cell r="P7" t="str">
            <v xml:space="preserve">B U D G E T A R Y </v>
          </cell>
        </row>
      </sheetData>
      <sheetData sheetId="1429">
        <row r="7">
          <cell r="P7" t="str">
            <v xml:space="preserve">B U D G E T A R Y </v>
          </cell>
        </row>
      </sheetData>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ow r="7">
          <cell r="P7" t="str">
            <v xml:space="preserve">B U D G E T A R Y </v>
          </cell>
        </row>
      </sheetData>
      <sheetData sheetId="1483"/>
      <sheetData sheetId="1484"/>
      <sheetData sheetId="1485">
        <row r="7">
          <cell r="P7">
            <v>0</v>
          </cell>
        </row>
      </sheetData>
      <sheetData sheetId="1486"/>
      <sheetData sheetId="1487"/>
      <sheetData sheetId="1488"/>
      <sheetData sheetId="1489">
        <row r="7">
          <cell r="P7">
            <v>0</v>
          </cell>
        </row>
      </sheetData>
      <sheetData sheetId="1490"/>
      <sheetData sheetId="1491"/>
      <sheetData sheetId="1492"/>
      <sheetData sheetId="1493"/>
      <sheetData sheetId="1494">
        <row r="7">
          <cell r="P7">
            <v>0</v>
          </cell>
        </row>
      </sheetData>
      <sheetData sheetId="1495">
        <row r="7">
          <cell r="P7" t="str">
            <v xml:space="preserve">B U D G E T A R Y </v>
          </cell>
        </row>
      </sheetData>
      <sheetData sheetId="1496"/>
      <sheetData sheetId="1497"/>
      <sheetData sheetId="1498"/>
      <sheetData sheetId="1499"/>
      <sheetData sheetId="1500"/>
      <sheetData sheetId="1501"/>
      <sheetData sheetId="1502"/>
      <sheetData sheetId="1503" refreshError="1"/>
      <sheetData sheetId="1504"/>
      <sheetData sheetId="1505"/>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sheetData sheetId="1525">
        <row r="7">
          <cell r="P7">
            <v>0</v>
          </cell>
        </row>
      </sheetData>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ow r="7">
          <cell r="P7" t="str">
            <v xml:space="preserve">B U D G E T A R Y </v>
          </cell>
        </row>
      </sheetData>
      <sheetData sheetId="1551"/>
      <sheetData sheetId="1552"/>
      <sheetData sheetId="1553"/>
      <sheetData sheetId="1554"/>
      <sheetData sheetId="1555"/>
      <sheetData sheetId="1556"/>
      <sheetData sheetId="1557">
        <row r="7">
          <cell r="P7" t="str">
            <v xml:space="preserve">B U D G E T A R Y </v>
          </cell>
        </row>
      </sheetData>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row r="7">
          <cell r="P7" t="str">
            <v xml:space="preserve">B U D G E T A R Y </v>
          </cell>
        </row>
      </sheetData>
      <sheetData sheetId="1575">
        <row r="7">
          <cell r="P7" t="str">
            <v xml:space="preserve">B U D G E T A R Y </v>
          </cell>
        </row>
      </sheetData>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row r="7">
          <cell r="P7" t="str">
            <v xml:space="preserve">B U D G E T A R Y </v>
          </cell>
        </row>
      </sheetData>
      <sheetData sheetId="1600">
        <row r="7">
          <cell r="P7" t="str">
            <v xml:space="preserve">B U D G E T A R Y </v>
          </cell>
        </row>
      </sheetData>
      <sheetData sheetId="1601">
        <row r="7">
          <cell r="P7" t="str">
            <v xml:space="preserve">B U D G E T A R Y </v>
          </cell>
        </row>
      </sheetData>
      <sheetData sheetId="1602">
        <row r="7">
          <cell r="P7" t="str">
            <v xml:space="preserve">B U D G E T A R Y </v>
          </cell>
        </row>
      </sheetData>
      <sheetData sheetId="1603">
        <row r="7">
          <cell r="P7" t="str">
            <v xml:space="preserve">B U D G E T A R Y </v>
          </cell>
        </row>
      </sheetData>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ow r="7">
          <cell r="P7" t="str">
            <v xml:space="preserve">B U D G E T A R Y </v>
          </cell>
        </row>
      </sheetData>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sheetData sheetId="1898" refreshError="1"/>
      <sheetData sheetId="1899" refreshError="1"/>
      <sheetData sheetId="1900" refreshError="1"/>
      <sheetData sheetId="1901"/>
      <sheetData sheetId="1902" refreshError="1"/>
      <sheetData sheetId="1903"/>
      <sheetData sheetId="1904"/>
      <sheetData sheetId="1905" refreshError="1"/>
      <sheetData sheetId="1906"/>
      <sheetData sheetId="1907" refreshError="1"/>
      <sheetData sheetId="1908" refreshError="1"/>
      <sheetData sheetId="1909" refreshError="1"/>
      <sheetData sheetId="1910"/>
      <sheetData sheetId="1911"/>
      <sheetData sheetId="1912" refreshError="1"/>
      <sheetData sheetId="1913"/>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ow r="11">
          <cell r="A11">
            <v>3</v>
          </cell>
        </row>
      </sheetData>
      <sheetData sheetId="1953">
        <row r="11">
          <cell r="A11">
            <v>3</v>
          </cell>
        </row>
      </sheetData>
      <sheetData sheetId="1954">
        <row r="11">
          <cell r="A11">
            <v>3</v>
          </cell>
        </row>
      </sheetData>
      <sheetData sheetId="1955">
        <row r="11">
          <cell r="A11">
            <v>3</v>
          </cell>
        </row>
      </sheetData>
      <sheetData sheetId="1956">
        <row r="11">
          <cell r="A11">
            <v>3</v>
          </cell>
        </row>
      </sheetData>
      <sheetData sheetId="1957">
        <row r="11">
          <cell r="A11">
            <v>3</v>
          </cell>
        </row>
      </sheetData>
      <sheetData sheetId="1958">
        <row r="11">
          <cell r="A11">
            <v>3</v>
          </cell>
        </row>
      </sheetData>
      <sheetData sheetId="1959">
        <row r="11">
          <cell r="A11">
            <v>3</v>
          </cell>
        </row>
      </sheetData>
      <sheetData sheetId="1960">
        <row r="11">
          <cell r="A11">
            <v>3</v>
          </cell>
        </row>
      </sheetData>
      <sheetData sheetId="1961">
        <row r="11">
          <cell r="A11">
            <v>3</v>
          </cell>
        </row>
      </sheetData>
      <sheetData sheetId="1962">
        <row r="11">
          <cell r="A11">
            <v>3</v>
          </cell>
        </row>
      </sheetData>
      <sheetData sheetId="1963">
        <row r="11">
          <cell r="A11">
            <v>3</v>
          </cell>
        </row>
      </sheetData>
      <sheetData sheetId="1964">
        <row r="11">
          <cell r="A11">
            <v>3</v>
          </cell>
        </row>
      </sheetData>
      <sheetData sheetId="1965">
        <row r="11">
          <cell r="A11">
            <v>3</v>
          </cell>
        </row>
      </sheetData>
      <sheetData sheetId="1966">
        <row r="11">
          <cell r="A11">
            <v>3</v>
          </cell>
        </row>
      </sheetData>
      <sheetData sheetId="1967">
        <row r="11">
          <cell r="A11">
            <v>3</v>
          </cell>
        </row>
      </sheetData>
      <sheetData sheetId="1968">
        <row r="11">
          <cell r="A11">
            <v>3</v>
          </cell>
        </row>
      </sheetData>
      <sheetData sheetId="1969">
        <row r="11">
          <cell r="A11">
            <v>3</v>
          </cell>
        </row>
      </sheetData>
      <sheetData sheetId="1970">
        <row r="11">
          <cell r="A11">
            <v>3</v>
          </cell>
        </row>
      </sheetData>
      <sheetData sheetId="1971">
        <row r="11">
          <cell r="A11">
            <v>3</v>
          </cell>
        </row>
      </sheetData>
      <sheetData sheetId="1972">
        <row r="11">
          <cell r="A11">
            <v>3</v>
          </cell>
        </row>
      </sheetData>
      <sheetData sheetId="1973">
        <row r="11">
          <cell r="A11">
            <v>3</v>
          </cell>
        </row>
      </sheetData>
      <sheetData sheetId="1974">
        <row r="11">
          <cell r="A11">
            <v>3</v>
          </cell>
        </row>
      </sheetData>
      <sheetData sheetId="1975">
        <row r="11">
          <cell r="A11">
            <v>3</v>
          </cell>
        </row>
      </sheetData>
      <sheetData sheetId="1976">
        <row r="11">
          <cell r="A11">
            <v>3</v>
          </cell>
        </row>
      </sheetData>
      <sheetData sheetId="1977">
        <row r="11">
          <cell r="A11">
            <v>3</v>
          </cell>
        </row>
      </sheetData>
      <sheetData sheetId="1978">
        <row r="11">
          <cell r="A11">
            <v>3</v>
          </cell>
        </row>
      </sheetData>
      <sheetData sheetId="1979">
        <row r="11">
          <cell r="A11">
            <v>3</v>
          </cell>
        </row>
      </sheetData>
      <sheetData sheetId="1980">
        <row r="11">
          <cell r="A11">
            <v>3</v>
          </cell>
        </row>
      </sheetData>
      <sheetData sheetId="1981">
        <row r="11">
          <cell r="A11">
            <v>3</v>
          </cell>
        </row>
      </sheetData>
      <sheetData sheetId="1982">
        <row r="11">
          <cell r="A11">
            <v>3</v>
          </cell>
        </row>
      </sheetData>
      <sheetData sheetId="1983" refreshError="1"/>
      <sheetData sheetId="1984" refreshError="1"/>
      <sheetData sheetId="1985" refreshError="1"/>
      <sheetData sheetId="1986" refreshError="1"/>
      <sheetData sheetId="1987" refreshError="1"/>
      <sheetData sheetId="1988" refreshError="1"/>
      <sheetData sheetId="1989">
        <row r="11">
          <cell r="A11">
            <v>3</v>
          </cell>
        </row>
      </sheetData>
      <sheetData sheetId="1990">
        <row r="11">
          <cell r="A11">
            <v>3</v>
          </cell>
        </row>
      </sheetData>
      <sheetData sheetId="1991">
        <row r="11">
          <cell r="A11">
            <v>3</v>
          </cell>
        </row>
      </sheetData>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sheetData sheetId="2135"/>
      <sheetData sheetId="2136"/>
      <sheetData sheetId="2137"/>
      <sheetData sheetId="2138">
        <row r="11">
          <cell r="A11">
            <v>3</v>
          </cell>
        </row>
      </sheetData>
      <sheetData sheetId="2139"/>
      <sheetData sheetId="2140"/>
      <sheetData sheetId="2141"/>
      <sheetData sheetId="2142"/>
      <sheetData sheetId="2143"/>
      <sheetData sheetId="2144"/>
      <sheetData sheetId="2145"/>
      <sheetData sheetId="2146"/>
      <sheetData sheetId="2147"/>
      <sheetData sheetId="2148"/>
      <sheetData sheetId="2149"/>
      <sheetData sheetId="2150">
        <row r="11">
          <cell r="A11">
            <v>3</v>
          </cell>
        </row>
      </sheetData>
      <sheetData sheetId="2151"/>
      <sheetData sheetId="2152"/>
      <sheetData sheetId="2153">
        <row r="11">
          <cell r="A11">
            <v>3</v>
          </cell>
        </row>
      </sheetData>
      <sheetData sheetId="2154"/>
      <sheetData sheetId="2155"/>
      <sheetData sheetId="2156"/>
      <sheetData sheetId="2157"/>
      <sheetData sheetId="2158"/>
      <sheetData sheetId="2159"/>
      <sheetData sheetId="2160"/>
      <sheetData sheetId="2161"/>
      <sheetData sheetId="2162"/>
      <sheetData sheetId="2163"/>
      <sheetData sheetId="2164"/>
      <sheetData sheetId="2165">
        <row r="11">
          <cell r="A11">
            <v>3</v>
          </cell>
        </row>
      </sheetData>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row r="11">
          <cell r="A11">
            <v>3</v>
          </cell>
        </row>
      </sheetData>
      <sheetData sheetId="2204"/>
      <sheetData sheetId="2205"/>
      <sheetData sheetId="2206"/>
      <sheetData sheetId="2207"/>
      <sheetData sheetId="2208"/>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sheetData sheetId="2292"/>
      <sheetData sheetId="2293"/>
      <sheetData sheetId="2294"/>
      <sheetData sheetId="2295"/>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sheetData sheetId="2356"/>
      <sheetData sheetId="2357"/>
      <sheetData sheetId="2358"/>
      <sheetData sheetId="2359"/>
      <sheetData sheetId="2360"/>
      <sheetData sheetId="2361" refreshError="1"/>
      <sheetData sheetId="2362" refreshError="1"/>
      <sheetData sheetId="2363"/>
      <sheetData sheetId="2364"/>
      <sheetData sheetId="2365"/>
      <sheetData sheetId="2366"/>
      <sheetData sheetId="2367" refreshError="1"/>
      <sheetData sheetId="2368" refreshError="1"/>
      <sheetData sheetId="2369" refreshError="1"/>
      <sheetData sheetId="2370" refreshError="1"/>
      <sheetData sheetId="2371" refreshError="1"/>
      <sheetData sheetId="2372">
        <row r="7">
          <cell r="P7" t="str">
            <v xml:space="preserve">B U D G E T A R Y </v>
          </cell>
        </row>
      </sheetData>
      <sheetData sheetId="2373">
        <row r="7">
          <cell r="P7" t="str">
            <v xml:space="preserve">B U D G E T A R Y </v>
          </cell>
        </row>
      </sheetData>
      <sheetData sheetId="2374"/>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ow r="7">
          <cell r="P7" t="str">
            <v xml:space="preserve">B U D G E T A R Y </v>
          </cell>
        </row>
      </sheetData>
      <sheetData sheetId="2434">
        <row r="7">
          <cell r="P7" t="str">
            <v xml:space="preserve">B U D G E T A R Y </v>
          </cell>
        </row>
      </sheetData>
      <sheetData sheetId="2435">
        <row r="7">
          <cell r="P7" t="str">
            <v xml:space="preserve">B U D G E T A R Y </v>
          </cell>
        </row>
      </sheetData>
      <sheetData sheetId="2436">
        <row r="7">
          <cell r="P7" t="str">
            <v xml:space="preserve">B U D G E T A R Y </v>
          </cell>
        </row>
      </sheetData>
      <sheetData sheetId="2437">
        <row r="7">
          <cell r="P7" t="str">
            <v xml:space="preserve">B U D G E T A R Y </v>
          </cell>
        </row>
      </sheetData>
      <sheetData sheetId="2438">
        <row r="7">
          <cell r="P7" t="str">
            <v xml:space="preserve">B U D G E T A R Y </v>
          </cell>
        </row>
      </sheetData>
      <sheetData sheetId="2439">
        <row r="7">
          <cell r="P7" t="str">
            <v xml:space="preserve">B U D G E T A R Y </v>
          </cell>
        </row>
      </sheetData>
      <sheetData sheetId="2440">
        <row r="7">
          <cell r="P7" t="str">
            <v xml:space="preserve">B U D G E T A R Y </v>
          </cell>
        </row>
      </sheetData>
      <sheetData sheetId="2441">
        <row r="7">
          <cell r="P7" t="str">
            <v xml:space="preserve">B U D G E T A R Y </v>
          </cell>
        </row>
      </sheetData>
      <sheetData sheetId="2442">
        <row r="8">
          <cell r="A8" t="str">
            <v>No.</v>
          </cell>
        </row>
      </sheetData>
      <sheetData sheetId="2443">
        <row r="7">
          <cell r="P7" t="str">
            <v xml:space="preserve">B U D G E T A R Y </v>
          </cell>
        </row>
      </sheetData>
      <sheetData sheetId="2444">
        <row r="7">
          <cell r="P7" t="str">
            <v xml:space="preserve">B U D G E T A R Y </v>
          </cell>
        </row>
      </sheetData>
      <sheetData sheetId="2445">
        <row r="7">
          <cell r="P7" t="str">
            <v xml:space="preserve">B U D G E T A R Y </v>
          </cell>
        </row>
      </sheetData>
      <sheetData sheetId="2446">
        <row r="7">
          <cell r="P7" t="str">
            <v xml:space="preserve">B U D G E T A R Y </v>
          </cell>
        </row>
      </sheetData>
      <sheetData sheetId="2447">
        <row r="7">
          <cell r="P7" t="str">
            <v xml:space="preserve">B U D G E T A R Y </v>
          </cell>
        </row>
      </sheetData>
      <sheetData sheetId="2448">
        <row r="7">
          <cell r="P7" t="str">
            <v xml:space="preserve">B U D G E T A R Y </v>
          </cell>
        </row>
      </sheetData>
      <sheetData sheetId="2449">
        <row r="7">
          <cell r="P7" t="str">
            <v xml:space="preserve">B U D G E T A R Y </v>
          </cell>
        </row>
      </sheetData>
      <sheetData sheetId="2450">
        <row r="7">
          <cell r="P7" t="str">
            <v xml:space="preserve">B U D G E T A R Y </v>
          </cell>
        </row>
      </sheetData>
      <sheetData sheetId="2451">
        <row r="7">
          <cell r="P7" t="str">
            <v xml:space="preserve">B U D G E T A R Y </v>
          </cell>
        </row>
      </sheetData>
      <sheetData sheetId="2452">
        <row r="7">
          <cell r="P7" t="str">
            <v xml:space="preserve">B U D G E T A R Y </v>
          </cell>
        </row>
      </sheetData>
      <sheetData sheetId="2453">
        <row r="7">
          <cell r="P7" t="str">
            <v xml:space="preserve">B U D G E T A R Y </v>
          </cell>
        </row>
      </sheetData>
      <sheetData sheetId="2454">
        <row r="7">
          <cell r="P7" t="str">
            <v xml:space="preserve">B U D G E T A R Y </v>
          </cell>
        </row>
      </sheetData>
      <sheetData sheetId="2455">
        <row r="7">
          <cell r="P7" t="str">
            <v xml:space="preserve">B U D G E T A R Y </v>
          </cell>
        </row>
      </sheetData>
      <sheetData sheetId="2456">
        <row r="7">
          <cell r="P7" t="str">
            <v xml:space="preserve">B U D G E T A R Y </v>
          </cell>
        </row>
      </sheetData>
      <sheetData sheetId="2457">
        <row r="7">
          <cell r="P7" t="str">
            <v xml:space="preserve">B U D G E T A R Y </v>
          </cell>
        </row>
      </sheetData>
      <sheetData sheetId="2458">
        <row r="7">
          <cell r="P7" t="str">
            <v xml:space="preserve">B U D G E T A R Y </v>
          </cell>
        </row>
      </sheetData>
      <sheetData sheetId="2459">
        <row r="7">
          <cell r="P7" t="str">
            <v xml:space="preserve">B U D G E T A R Y </v>
          </cell>
        </row>
      </sheetData>
      <sheetData sheetId="2460">
        <row r="7">
          <cell r="P7" t="str">
            <v xml:space="preserve">B U D G E T A R Y </v>
          </cell>
        </row>
      </sheetData>
      <sheetData sheetId="2461">
        <row r="7">
          <cell r="P7" t="str">
            <v xml:space="preserve">B U D G E T A R Y </v>
          </cell>
        </row>
      </sheetData>
      <sheetData sheetId="2462">
        <row r="7">
          <cell r="P7" t="str">
            <v xml:space="preserve">B U D G E T A R Y </v>
          </cell>
        </row>
      </sheetData>
      <sheetData sheetId="2463">
        <row r="7">
          <cell r="P7" t="str">
            <v xml:space="preserve">B U D G E T A R Y </v>
          </cell>
        </row>
      </sheetData>
      <sheetData sheetId="2464">
        <row r="7">
          <cell r="P7" t="str">
            <v xml:space="preserve">B U D G E T A R Y </v>
          </cell>
        </row>
      </sheetData>
      <sheetData sheetId="2465">
        <row r="7">
          <cell r="P7" t="str">
            <v xml:space="preserve">B U D G E T A R Y </v>
          </cell>
        </row>
      </sheetData>
      <sheetData sheetId="2466">
        <row r="7">
          <cell r="P7" t="str">
            <v xml:space="preserve">B U D G E T A R Y </v>
          </cell>
        </row>
      </sheetData>
      <sheetData sheetId="2467">
        <row r="7">
          <cell r="P7" t="str">
            <v xml:space="preserve">B U D G E T A R Y </v>
          </cell>
        </row>
      </sheetData>
      <sheetData sheetId="2468">
        <row r="7">
          <cell r="P7" t="str">
            <v xml:space="preserve">B U D G E T A R Y </v>
          </cell>
        </row>
      </sheetData>
      <sheetData sheetId="2469">
        <row r="8">
          <cell r="A8" t="str">
            <v>No.</v>
          </cell>
        </row>
      </sheetData>
      <sheetData sheetId="2470">
        <row r="8">
          <cell r="A8" t="str">
            <v>No.</v>
          </cell>
        </row>
      </sheetData>
      <sheetData sheetId="2471">
        <row r="8">
          <cell r="A8" t="str">
            <v>No.</v>
          </cell>
        </row>
      </sheetData>
      <sheetData sheetId="2472">
        <row r="8">
          <cell r="A8" t="str">
            <v>No.</v>
          </cell>
        </row>
      </sheetData>
      <sheetData sheetId="2473">
        <row r="8">
          <cell r="A8" t="str">
            <v>No.</v>
          </cell>
        </row>
      </sheetData>
      <sheetData sheetId="2474">
        <row r="8">
          <cell r="A8" t="str">
            <v>No.</v>
          </cell>
        </row>
      </sheetData>
      <sheetData sheetId="2475">
        <row r="7">
          <cell r="P7" t="str">
            <v xml:space="preserve">B U D G E T A R Y </v>
          </cell>
        </row>
      </sheetData>
      <sheetData sheetId="2476">
        <row r="8">
          <cell r="A8" t="str">
            <v>No.</v>
          </cell>
        </row>
      </sheetData>
      <sheetData sheetId="2477">
        <row r="7">
          <cell r="P7" t="str">
            <v xml:space="preserve">B U D G E T A R Y </v>
          </cell>
        </row>
      </sheetData>
      <sheetData sheetId="2478">
        <row r="8">
          <cell r="A8" t="str">
            <v>No.</v>
          </cell>
        </row>
      </sheetData>
      <sheetData sheetId="2479">
        <row r="8">
          <cell r="A8" t="str">
            <v>No.</v>
          </cell>
        </row>
      </sheetData>
      <sheetData sheetId="2480">
        <row r="7">
          <cell r="P7" t="str">
            <v xml:space="preserve">B U D G E T A R Y </v>
          </cell>
        </row>
      </sheetData>
      <sheetData sheetId="2481">
        <row r="7">
          <cell r="P7" t="str">
            <v xml:space="preserve">B U D G E T A R Y </v>
          </cell>
        </row>
      </sheetData>
      <sheetData sheetId="2482">
        <row r="8">
          <cell r="A8" t="str">
            <v>No.</v>
          </cell>
        </row>
      </sheetData>
      <sheetData sheetId="2483">
        <row r="7">
          <cell r="P7" t="str">
            <v xml:space="preserve">B U D G E T A R Y </v>
          </cell>
        </row>
      </sheetData>
      <sheetData sheetId="2484">
        <row r="8">
          <cell r="A8" t="str">
            <v>No.</v>
          </cell>
        </row>
      </sheetData>
      <sheetData sheetId="2485">
        <row r="8">
          <cell r="A8" t="str">
            <v>No.</v>
          </cell>
        </row>
      </sheetData>
      <sheetData sheetId="2486">
        <row r="8">
          <cell r="A8" t="str">
            <v>No.</v>
          </cell>
        </row>
      </sheetData>
      <sheetData sheetId="2487">
        <row r="8">
          <cell r="A8" t="str">
            <v>No.</v>
          </cell>
        </row>
      </sheetData>
      <sheetData sheetId="2488">
        <row r="7">
          <cell r="P7" t="str">
            <v xml:space="preserve">B U D G E T A R Y </v>
          </cell>
        </row>
      </sheetData>
      <sheetData sheetId="2489">
        <row r="8">
          <cell r="A8" t="str">
            <v>No.</v>
          </cell>
        </row>
      </sheetData>
      <sheetData sheetId="2490">
        <row r="7">
          <cell r="P7" t="str">
            <v xml:space="preserve">B U D G E T A R Y </v>
          </cell>
        </row>
      </sheetData>
      <sheetData sheetId="2491">
        <row r="7">
          <cell r="P7" t="str">
            <v xml:space="preserve">B U D G E T A R Y </v>
          </cell>
        </row>
      </sheetData>
      <sheetData sheetId="2492">
        <row r="7">
          <cell r="P7" t="str">
            <v xml:space="preserve">B U D G E T A R Y </v>
          </cell>
        </row>
      </sheetData>
      <sheetData sheetId="2493">
        <row r="7">
          <cell r="P7" t="str">
            <v xml:space="preserve">B U D G E T A R Y </v>
          </cell>
        </row>
      </sheetData>
      <sheetData sheetId="2494">
        <row r="7">
          <cell r="P7" t="str">
            <v xml:space="preserve">B U D G E T A R Y </v>
          </cell>
        </row>
      </sheetData>
      <sheetData sheetId="2495"/>
      <sheetData sheetId="2496">
        <row r="7">
          <cell r="P7" t="str">
            <v xml:space="preserve">B U D G E T A R Y </v>
          </cell>
        </row>
      </sheetData>
      <sheetData sheetId="2497">
        <row r="7">
          <cell r="P7" t="str">
            <v xml:space="preserve">B U D G E T A R Y </v>
          </cell>
        </row>
      </sheetData>
      <sheetData sheetId="2498"/>
      <sheetData sheetId="2499"/>
      <sheetData sheetId="2500"/>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
      <sheetName val="ANALISA"/>
      <sheetName val="REKAP"/>
      <sheetName val="BANGUNAN UTAMA"/>
      <sheetName val="INSTALASI ME "/>
      <sheetName val="KANTOR"/>
      <sheetName val="MUSHOLLA"/>
      <sheetName val="POS JAGA"/>
      <sheetName val="KM&amp;WC musolla"/>
      <sheetName val="KM&amp;WC 2bh"/>
      <sheetName val="KM&amp;WC 3 bh"/>
      <sheetName val="PAGAR DEPAN"/>
      <sheetName val="PAGAR SAMP &amp; BEL"/>
      <sheetName val="HALAMAN"/>
      <sheetName val="DEPO SAMPAH"/>
      <sheetName val="REKAP (2)"/>
      <sheetName val="LOS LESEHAN"/>
      <sheetName val="KIOS SAMPING"/>
      <sheetName val="INSTALASI ME KIOS"/>
      <sheetName val="Analisa  BOW"/>
      <sheetName val="alat"/>
      <sheetName val="HSPek"/>
      <sheetName val="HSAlat"/>
      <sheetName val="HS-SKGub"/>
      <sheetName val="HSPek 6xx-7xx"/>
      <sheetName val="A"/>
      <sheetName val="4-Basic Price"/>
      <sheetName val="HARGA"/>
      <sheetName val="upah"/>
      <sheetName val="112-885"/>
      <sheetName val="Anl.+"/>
      <sheetName val="Cover"/>
      <sheetName val="HB_"/>
      <sheetName val="BANGUNAN_UTAMA"/>
      <sheetName val="INSTALASI_ME_"/>
      <sheetName val="POS_JAGA"/>
      <sheetName val="KM&amp;WC_musolla"/>
      <sheetName val="KM&amp;WC_2bh"/>
      <sheetName val="KM&amp;WC_3_bh"/>
      <sheetName val="PAGAR_DEPAN"/>
      <sheetName val="PAGAR_SAMP_&amp;_BEL"/>
      <sheetName val="DEPO_SAMPAH"/>
      <sheetName val="REKAP_(2)"/>
      <sheetName val="LOS_LESEHAN"/>
      <sheetName val="KIOS_SAMPING"/>
      <sheetName val="INSTALASI_ME_KIOS"/>
      <sheetName val="SCH"/>
      <sheetName val="SAT"/>
      <sheetName val="BAG_2"/>
      <sheetName val="anal"/>
      <sheetName val="SEX"/>
      <sheetName val="Analis Kusen 1 ESKALASI"/>
      <sheetName val="k-300"/>
      <sheetName val="bahan"/>
      <sheetName val="Basic Price"/>
      <sheetName val="1.2"/>
      <sheetName val="Analisa Quarry"/>
      <sheetName val="3.1"/>
      <sheetName val="5.1"/>
      <sheetName val="6.1"/>
      <sheetName val="7.1(1)"/>
      <sheetName val="8.1"/>
      <sheetName val="9.1"/>
      <sheetName val="HRG BHN"/>
      <sheetName val="5-ALAT(1)"/>
      <sheetName val="H.Satuan"/>
      <sheetName val="K"/>
      <sheetName val="STR"/>
      <sheetName val="5-ALAT"/>
      <sheetName val="ANL"/>
      <sheetName val="harsat"/>
      <sheetName val="APEK"/>
      <sheetName val="ASAT"/>
      <sheetName val="AHS"/>
      <sheetName val="H. Dasar"/>
      <sheetName val="BAR SCREEN"/>
      <sheetName val="analis"/>
      <sheetName val="rab - persiapan &amp; lantai-1"/>
      <sheetName val="ANALISA A-Persiapan"/>
      <sheetName val="ANALISA C-Pek. pondasi"/>
      <sheetName val="ANALISA D-Dinding"/>
      <sheetName val="ANALISA E-Plesteran"/>
      <sheetName val="ANALISA F-Pek.Kayu"/>
      <sheetName val="ANALISA G-Pek. beton"/>
      <sheetName val="ANALISA J-Pek. Sanitasi"/>
      <sheetName val="ANALISA K-Besi n aluminium"/>
      <sheetName val="ANALISA N-Pek. pengecatan"/>
      <sheetName val="ANALISA Q-Pek. Air Bersih"/>
      <sheetName val="ANALISA S-Pek. Lain-Lain"/>
      <sheetName val="BIL"/>
      <sheetName val="Fak"/>
      <sheetName val="Rek-Tot"/>
      <sheetName val="UNIT PRICE"/>
      <sheetName val="an1"/>
      <sheetName val="ut1"/>
      <sheetName val="8LT 12"/>
      <sheetName val="ANALISA PEK.UMUM"/>
      <sheetName val="NS GD.UTAMA"/>
      <sheetName val="H-SAT"/>
      <sheetName val="COMM"/>
      <sheetName val="Sumber Daya"/>
      <sheetName val="BOQ INTERN"/>
      <sheetName val="ANALYS EXTERN"/>
      <sheetName val="WELCOME"/>
      <sheetName val="BQ RESO"/>
      <sheetName val="REKAP INDIRECT"/>
      <sheetName val="FINAL"/>
      <sheetName val="ORGANIZATION"/>
      <sheetName val="SCHEDULE"/>
      <sheetName val="PROGRAM"/>
      <sheetName val="MATRIX"/>
      <sheetName val="Analisa Alat"/>
      <sheetName val="boq"/>
      <sheetName val="3-DIV4"/>
      <sheetName val="Harga-RAB"/>
      <sheetName val="Vol Sipil &amp; Ars"/>
      <sheetName val="Grand total"/>
      <sheetName val="NEG02"/>
      <sheetName val="RAB"/>
      <sheetName val="harga satuan"/>
      <sheetName val="bacap analisa"/>
      <sheetName val="kop"/>
      <sheetName val="Sheet6"/>
      <sheetName val="Sheet7"/>
      <sheetName val="Sheet8"/>
      <sheetName val="Sheet9"/>
      <sheetName val="Sheet10"/>
      <sheetName val="Sheet11"/>
      <sheetName val="Sheet12"/>
      <sheetName val="Sheet13"/>
      <sheetName val="Sheet14"/>
      <sheetName val="Sheet15"/>
      <sheetName val="Sheet16"/>
      <sheetName val="bahan "/>
      <sheetName val="Harga Bahan &amp; Upah "/>
      <sheetName val="ANBOW-2008"/>
      <sheetName val="rekap-ans"/>
      <sheetName val="Rincian"/>
      <sheetName val="CH"/>
      <sheetName val="lab bahasa"/>
      <sheetName val="HARGA ALAT"/>
      <sheetName val="rumus"/>
      <sheetName val="Daf.Harga"/>
      <sheetName val="Sheet1"/>
      <sheetName val="ANALISA-A"/>
      <sheetName val="DAF-5"/>
      <sheetName val="bahan dan upah"/>
      <sheetName val="Bab 6 -3(5)"/>
      <sheetName val="2.3(2) Gor"/>
      <sheetName val="8.4.2 Rambu"/>
      <sheetName val="metode"/>
      <sheetName val="HB"/>
      <sheetName val="ANA-HRG"/>
      <sheetName val="DAF-1"/>
      <sheetName val="FINISHING"/>
      <sheetName val="Bill-2"/>
      <sheetName val="an. struktur"/>
      <sheetName val="Dashboard"/>
      <sheetName val="2_2"/>
      <sheetName val="satuan_pek"/>
      <sheetName val="anaUTama"/>
      <sheetName val="anaMob"/>
      <sheetName val="DIVI3"/>
      <sheetName val="Bill Of Quantity"/>
      <sheetName val="Div6"/>
      <sheetName val="Div5"/>
      <sheetName val="Besi"/>
      <sheetName val="Div7"/>
      <sheetName val="Div3"/>
      <sheetName val="Div2"/>
      <sheetName val="Div8"/>
      <sheetName val="Div1"/>
      <sheetName val="DAFTAR UPAH"/>
      <sheetName val="LIST HARGA"/>
      <sheetName val="analisa pakai"/>
      <sheetName val="IGD STR"/>
      <sheetName val="IGD ARCH"/>
      <sheetName val="CAR STR"/>
      <sheetName val="Landscape IGD"/>
      <sheetName val="Tandon AIr"/>
      <sheetName val="HASAT DASAR"/>
      <sheetName val="Har Sat"/>
      <sheetName val="appdx 3 DIV 1"/>
      <sheetName val="basic"/>
      <sheetName val="mup"/>
      <sheetName val="harga bhn"/>
      <sheetName val="Bill-1"/>
      <sheetName val="appdx 1 schedulle"/>
      <sheetName val="UPAH BAHAN ALAT"/>
      <sheetName val="daf-3(OK)"/>
      <sheetName val="daf-7(OK)"/>
      <sheetName val="Sat Upah"/>
      <sheetName val="hit RAB STR-ARS"/>
      <sheetName val="LMPIR"/>
      <sheetName val="an mek"/>
      <sheetName val="Master 1.0"/>
      <sheetName val="03"/>
      <sheetName val="bhn FINAL"/>
      <sheetName val="Rinc.Ged.A (G.Utama)"/>
      <sheetName val="Analisa SNI"/>
      <sheetName val="Rekap RAB_kl"/>
      <sheetName val="RAB_KL"/>
      <sheetName val="Rekap RAB_Amd"/>
      <sheetName val="RAB_Amd"/>
      <sheetName val="REKAP_Dftr_Kuan_Hrg_Amd"/>
      <sheetName val="Dftr_Kuan_Hrg Amd"/>
      <sheetName val="XL4Test5"/>
      <sheetName val="TIME SCHEDULE"/>
      <sheetName val="Beban"/>
      <sheetName val="BAG-2"/>
      <sheetName val="analt"/>
      <sheetName val="Currency Rate"/>
      <sheetName val="HARGA SAT"/>
      <sheetName val="AO-UMUM"/>
      <sheetName val="tul"/>
      <sheetName val="Alat R"/>
      <sheetName val=" R A B"/>
      <sheetName val="Barang"/>
      <sheetName val="Analisa Gabungan"/>
      <sheetName val="Sub"/>
      <sheetName val="Harga Dasar"/>
      <sheetName val="Mob _ demob"/>
      <sheetName val="ANALISA GRS TENGAH"/>
      <sheetName val="HARGA BAHAN"/>
      <sheetName val="Uph&amp;bhn"/>
      <sheetName val="Anals.1"/>
      <sheetName val="NS GD.UGD"/>
      <sheetName val="STD GD.UGD"/>
      <sheetName val="Studen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Data Entry"/>
      <sheetName val="2.Harga Satuan"/>
      <sheetName val="3.SAP"/>
      <sheetName val="4.VAP"/>
      <sheetName val="5.MAP"/>
      <sheetName val="6.Galian"/>
      <sheetName val="7.Urugan"/>
      <sheetName val="8.Hit Jln"/>
      <sheetName val="9.RAB-Jln"/>
      <sheetName val="10.Swadaya Jln"/>
      <sheetName val="4.Anl Talud"/>
      <sheetName val="5.RAB Talud"/>
      <sheetName val="6.Swadaya Talud"/>
      <sheetName val="17.Rekap Rab"/>
      <sheetName val="18.gbr jlan"/>
      <sheetName val="19.gbr gor"/>
      <sheetName val="20. Gbr TELASA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totap+apbd (2)"/>
      <sheetName val="Rekap APBD"/>
      <sheetName val="Rekap APBN"/>
      <sheetName val="APBN Paket 1"/>
      <sheetName val="APBN Paket 2"/>
      <sheetName val="AN PIPA (2)"/>
      <sheetName val="GENZET"/>
      <sheetName val="Acsesoris"/>
      <sheetName val="BAHAN"/>
      <sheetName val="PJ"/>
      <sheetName val="SNI FIX"/>
      <sheetName val="Intake 2"/>
      <sheetName val="Prasedimen1"/>
      <sheetName val="20L"/>
      <sheetName val="SDB"/>
      <sheetName val="RESERVOIR"/>
      <sheetName val="R.Clorinasi"/>
      <sheetName val="rumah pomp"/>
      <sheetName val="rumah jaga revisi"/>
      <sheetName val="R.GENSET"/>
      <sheetName val="P. Sub Intake"/>
      <sheetName val="P.Sub Prased"/>
      <sheetName val="Pompa Cent (2)"/>
      <sheetName val="pagar (2)"/>
      <sheetName val="JP 50"/>
      <sheetName val="JP10"/>
      <sheetName val="JP 2 7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11">
          <cell r="F211">
            <v>40000</v>
          </cell>
        </row>
      </sheetData>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sheetData sheetId="24"/>
      <sheetData sheetId="25" refreshError="1"/>
      <sheetData sheetId="2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1"/>
      <sheetName val="Cover-2"/>
      <sheetName val="DAF-1"/>
      <sheetName val="Pipe"/>
      <sheetName val="DAF_1"/>
      <sheetName val="NEG02"/>
      <sheetName val="COVER"/>
      <sheetName val="REKAP-ME"/>
      <sheetName val="DAF-2"/>
      <sheetName val="DAF-3"/>
      <sheetName val="DAF-4"/>
      <sheetName val="DAF-5"/>
      <sheetName val="DAF-6"/>
      <sheetName val="DAF-7"/>
      <sheetName val="DAF.8"/>
      <sheetName val="A"/>
      <sheetName val="3.1"/>
      <sheetName val="REKAP"/>
      <sheetName val="Fire Alarm"/>
      <sheetName val="Man_Power_Const"/>
      <sheetName val="A-11 Steel Str (2)"/>
      <sheetName val="Analisa"/>
      <sheetName val="GRAND REKAP"/>
      <sheetName val="IPL_SCHEDULE"/>
      <sheetName val="Daf 1"/>
      <sheetName val="Analisa Upah _ Bahan Plum"/>
    </sheetNames>
    <sheetDataSet>
      <sheetData sheetId="0" refreshError="1"/>
      <sheetData sheetId="1" refreshError="1"/>
      <sheetData sheetId="2"/>
      <sheetData sheetId="3" refreshError="1"/>
      <sheetData sheetId="4"/>
      <sheetData sheetId="5" refreshError="1"/>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rbilang"/>
      <sheetName val="REKAP"/>
      <sheetName val="RAB B"/>
      <sheetName val="Analisa"/>
      <sheetName val="Upah _ Harga"/>
    </sheetNames>
    <sheetDataSet>
      <sheetData sheetId="0" refreshError="1"/>
      <sheetData sheetId="1" refreshError="1"/>
      <sheetData sheetId="2" refreshError="1"/>
      <sheetData sheetId="3" refreshError="1"/>
      <sheetData sheetId="4">
        <row r="4">
          <cell r="B4" t="str">
            <v>TENAGA KERJA</v>
          </cell>
          <cell r="D4" t="str">
            <v>SAT.</v>
          </cell>
          <cell r="E4" t="str">
            <v>HARGA</v>
          </cell>
        </row>
        <row r="5">
          <cell r="E5" t="str">
            <v>(Rp.)</v>
          </cell>
        </row>
        <row r="7">
          <cell r="B7" t="str">
            <v>Mandor</v>
          </cell>
          <cell r="D7" t="str">
            <v>O.H</v>
          </cell>
          <cell r="E7">
            <v>60000</v>
          </cell>
        </row>
        <row r="8">
          <cell r="B8" t="str">
            <v>Kepala Tukang Batu</v>
          </cell>
          <cell r="D8" t="str">
            <v>O.H</v>
          </cell>
          <cell r="E8">
            <v>50000</v>
          </cell>
        </row>
        <row r="9">
          <cell r="B9" t="str">
            <v>Kepala Tukang Besi</v>
          </cell>
          <cell r="D9" t="str">
            <v>O.H</v>
          </cell>
          <cell r="E9">
            <v>50000</v>
          </cell>
        </row>
        <row r="10">
          <cell r="B10" t="str">
            <v>Kepala Tukang Cat</v>
          </cell>
          <cell r="D10" t="str">
            <v>O.H</v>
          </cell>
          <cell r="E10">
            <v>50000</v>
          </cell>
        </row>
        <row r="11">
          <cell r="B11" t="str">
            <v>Kepala Tukang Kayu</v>
          </cell>
          <cell r="D11" t="str">
            <v>O.H</v>
          </cell>
          <cell r="E11">
            <v>50000</v>
          </cell>
        </row>
        <row r="12">
          <cell r="B12" t="str">
            <v>Kepala Tukang Listrik</v>
          </cell>
          <cell r="D12" t="str">
            <v>O.H</v>
          </cell>
          <cell r="E12">
            <v>50000</v>
          </cell>
        </row>
        <row r="13">
          <cell r="B13" t="str">
            <v>Kepala Tukang Pipa</v>
          </cell>
          <cell r="D13" t="str">
            <v>O.H</v>
          </cell>
          <cell r="E13">
            <v>50000</v>
          </cell>
        </row>
        <row r="14">
          <cell r="B14" t="str">
            <v>Tukang Batu</v>
          </cell>
          <cell r="D14" t="str">
            <v>O.H</v>
          </cell>
          <cell r="E14">
            <v>40000</v>
          </cell>
        </row>
        <row r="15">
          <cell r="B15" t="str">
            <v>Tukang Besi</v>
          </cell>
          <cell r="D15" t="str">
            <v>O.H</v>
          </cell>
          <cell r="E15">
            <v>35000</v>
          </cell>
        </row>
        <row r="16">
          <cell r="B16" t="str">
            <v>Tukang Cat</v>
          </cell>
          <cell r="D16" t="str">
            <v>O.H</v>
          </cell>
          <cell r="E16">
            <v>35000</v>
          </cell>
        </row>
        <row r="17">
          <cell r="B17" t="str">
            <v>Tukang Kayu</v>
          </cell>
          <cell r="D17" t="str">
            <v>O.H</v>
          </cell>
          <cell r="E17">
            <v>40000</v>
          </cell>
        </row>
        <row r="18">
          <cell r="B18" t="str">
            <v>Tukang Listrik</v>
          </cell>
          <cell r="D18" t="str">
            <v>O.H</v>
          </cell>
          <cell r="E18">
            <v>40000</v>
          </cell>
        </row>
        <row r="19">
          <cell r="B19" t="str">
            <v>Tukang Pipa</v>
          </cell>
          <cell r="D19" t="str">
            <v>O.H</v>
          </cell>
          <cell r="E19">
            <v>35000</v>
          </cell>
        </row>
        <row r="20">
          <cell r="B20" t="str">
            <v>Pekerja / Buruh Tak Terampil</v>
          </cell>
          <cell r="D20" t="str">
            <v>O.H</v>
          </cell>
          <cell r="E20">
            <v>32000</v>
          </cell>
        </row>
        <row r="21">
          <cell r="B21" t="str">
            <v>Pekerja Terampil</v>
          </cell>
          <cell r="D21" t="str">
            <v>O.H</v>
          </cell>
          <cell r="E21">
            <v>34500</v>
          </cell>
        </row>
        <row r="23">
          <cell r="B23" t="str">
            <v>BAHAN / MATERIAL BANGUNAN</v>
          </cell>
          <cell r="D23" t="str">
            <v>SAT.</v>
          </cell>
          <cell r="E23" t="str">
            <v>HARGA</v>
          </cell>
        </row>
        <row r="24">
          <cell r="E24" t="str">
            <v>(Rp.)</v>
          </cell>
        </row>
        <row r="26">
          <cell r="B26" t="str">
            <v>Aluminium 4"</v>
          </cell>
          <cell r="D26" t="str">
            <v>m1</v>
          </cell>
          <cell r="E26">
            <v>86750</v>
          </cell>
        </row>
        <row r="27">
          <cell r="B27" t="str">
            <v>Batu Bata merah uk. 23x10,5x5,5 cm</v>
          </cell>
          <cell r="D27" t="str">
            <v>bh</v>
          </cell>
          <cell r="E27">
            <v>515</v>
          </cell>
        </row>
        <row r="28">
          <cell r="B28" t="str">
            <v>Batu Kali pecah 15/20 cm</v>
          </cell>
          <cell r="D28" t="str">
            <v>m3</v>
          </cell>
          <cell r="E28">
            <v>160000</v>
          </cell>
        </row>
        <row r="29">
          <cell r="B29" t="str">
            <v>Batu Kali Pecah 5/7 cm</v>
          </cell>
          <cell r="D29" t="str">
            <v>m3</v>
          </cell>
          <cell r="E29">
            <v>124350</v>
          </cell>
        </row>
        <row r="30">
          <cell r="B30" t="str">
            <v>Batu Kerikil</v>
          </cell>
          <cell r="D30" t="str">
            <v>m3</v>
          </cell>
          <cell r="E30">
            <v>88200</v>
          </cell>
        </row>
        <row r="31">
          <cell r="B31" t="str">
            <v>Batu Pecah 2/3 cm</v>
          </cell>
          <cell r="D31" t="str">
            <v>m3</v>
          </cell>
          <cell r="E31">
            <v>222500</v>
          </cell>
        </row>
        <row r="32">
          <cell r="B32" t="str">
            <v>Batu pecah mesin 1/2 cm</v>
          </cell>
          <cell r="D32" t="str">
            <v>m3</v>
          </cell>
          <cell r="E32">
            <v>253333</v>
          </cell>
        </row>
        <row r="33">
          <cell r="B33" t="str">
            <v>Besi Beton ulir</v>
          </cell>
          <cell r="D33" t="str">
            <v>kg</v>
          </cell>
          <cell r="E33">
            <v>12500</v>
          </cell>
        </row>
        <row r="34">
          <cell r="B34" t="str">
            <v>Besi Beton polos</v>
          </cell>
          <cell r="D34" t="str">
            <v>kg</v>
          </cell>
          <cell r="E34">
            <v>11000</v>
          </cell>
        </row>
        <row r="35">
          <cell r="B35" t="str">
            <v>Besi kotak hollow 2/3</v>
          </cell>
          <cell r="D35" t="str">
            <v>m</v>
          </cell>
          <cell r="E35">
            <v>25500</v>
          </cell>
        </row>
        <row r="36">
          <cell r="B36" t="str">
            <v>Besi kotak hollow 4/4</v>
          </cell>
          <cell r="D36" t="str">
            <v>m</v>
          </cell>
          <cell r="E36">
            <v>30500</v>
          </cell>
        </row>
        <row r="37">
          <cell r="B37" t="str">
            <v>Besi kotak hollow 3/6</v>
          </cell>
          <cell r="D37" t="str">
            <v>m</v>
          </cell>
          <cell r="E37">
            <v>27500</v>
          </cell>
        </row>
        <row r="38">
          <cell r="B38" t="str">
            <v>Besi kotak hollow 20/20 ( untuk plafond)</v>
          </cell>
          <cell r="D38" t="str">
            <v>m</v>
          </cell>
          <cell r="E38">
            <v>6000</v>
          </cell>
        </row>
        <row r="39">
          <cell r="B39" t="str">
            <v>Besi kotak hollow 40/40 ( untuk plafond)</v>
          </cell>
          <cell r="D39" t="str">
            <v>m</v>
          </cell>
          <cell r="E39">
            <v>8500</v>
          </cell>
        </row>
        <row r="40">
          <cell r="B40" t="str">
            <v>Besi profil WF &lt;= 200 mm</v>
          </cell>
          <cell r="D40" t="str">
            <v>kg</v>
          </cell>
          <cell r="E40">
            <v>13500</v>
          </cell>
        </row>
        <row r="41">
          <cell r="B41" t="str">
            <v>Cat besi</v>
          </cell>
          <cell r="D41" t="str">
            <v>kg</v>
          </cell>
          <cell r="E41">
            <v>40600</v>
          </cell>
        </row>
        <row r="42">
          <cell r="B42" t="str">
            <v>Cat meni ( besi / kayu )</v>
          </cell>
          <cell r="D42" t="str">
            <v>kg</v>
          </cell>
          <cell r="E42">
            <v>32500</v>
          </cell>
        </row>
        <row r="43">
          <cell r="B43" t="str">
            <v xml:space="preserve">Cat tembok </v>
          </cell>
          <cell r="D43" t="str">
            <v>kg</v>
          </cell>
          <cell r="E43">
            <v>11900</v>
          </cell>
        </row>
        <row r="44">
          <cell r="B44" t="str">
            <v>Dempul</v>
          </cell>
          <cell r="D44" t="str">
            <v>kg</v>
          </cell>
          <cell r="E44">
            <v>31700</v>
          </cell>
        </row>
        <row r="45">
          <cell r="B45" t="str">
            <v>Ekspanyolet</v>
          </cell>
          <cell r="D45" t="str">
            <v>bh</v>
          </cell>
          <cell r="E45">
            <v>45450</v>
          </cell>
        </row>
        <row r="46">
          <cell r="B46" t="str">
            <v>Elektroda Baja</v>
          </cell>
          <cell r="D46" t="str">
            <v>kg</v>
          </cell>
          <cell r="E46">
            <v>20000</v>
          </cell>
        </row>
        <row r="47">
          <cell r="B47" t="str">
            <v>Engsel Kuningan</v>
          </cell>
          <cell r="D47" t="str">
            <v>bh</v>
          </cell>
          <cell r="E47">
            <v>27100</v>
          </cell>
        </row>
        <row r="48">
          <cell r="B48" t="str">
            <v>Engsel Kuningan ( utk pintu )</v>
          </cell>
          <cell r="D48" t="str">
            <v>bh</v>
          </cell>
          <cell r="E48">
            <v>35200</v>
          </cell>
        </row>
        <row r="49">
          <cell r="B49" t="str">
            <v>Fitting Plafond</v>
          </cell>
          <cell r="D49" t="str">
            <v>bh</v>
          </cell>
          <cell r="E49">
            <v>11310</v>
          </cell>
        </row>
        <row r="50">
          <cell r="B50" t="str">
            <v>Grendel kuningan / croum</v>
          </cell>
          <cell r="D50" t="str">
            <v>bh</v>
          </cell>
          <cell r="E50">
            <v>12500</v>
          </cell>
        </row>
        <row r="51">
          <cell r="B51" t="str">
            <v>Grendel biasa ( kecil )</v>
          </cell>
          <cell r="D51" t="str">
            <v>bh</v>
          </cell>
          <cell r="E51">
            <v>2670</v>
          </cell>
        </row>
        <row r="52">
          <cell r="B52" t="str">
            <v>Grendel panjang</v>
          </cell>
          <cell r="D52" t="str">
            <v>bh</v>
          </cell>
          <cell r="E52">
            <v>17850</v>
          </cell>
        </row>
        <row r="53">
          <cell r="B53" t="str">
            <v>Grendel tanam</v>
          </cell>
          <cell r="D53" t="str">
            <v>bh</v>
          </cell>
          <cell r="E53">
            <v>29200</v>
          </cell>
        </row>
        <row r="54">
          <cell r="B54" t="str">
            <v>Calsyboard uk. 1,2 x 2,4 m</v>
          </cell>
          <cell r="D54" t="str">
            <v>lbr</v>
          </cell>
          <cell r="E54">
            <v>50900</v>
          </cell>
        </row>
        <row r="55">
          <cell r="B55" t="str">
            <v>Hak angin 4 mm ( lurus biasa )</v>
          </cell>
          <cell r="D55" t="str">
            <v>bh</v>
          </cell>
          <cell r="E55">
            <v>8550</v>
          </cell>
        </row>
        <row r="56">
          <cell r="B56" t="str">
            <v xml:space="preserve">Hak angin sikutan </v>
          </cell>
          <cell r="D56" t="str">
            <v>set</v>
          </cell>
          <cell r="E56">
            <v>19000</v>
          </cell>
        </row>
        <row r="57">
          <cell r="B57" t="str">
            <v>Handle Pintu Komplit</v>
          </cell>
          <cell r="D57" t="str">
            <v>set</v>
          </cell>
          <cell r="E57">
            <v>150000</v>
          </cell>
        </row>
        <row r="58">
          <cell r="B58" t="str">
            <v>Isolator</v>
          </cell>
          <cell r="D58" t="str">
            <v>bh</v>
          </cell>
          <cell r="E58">
            <v>700</v>
          </cell>
        </row>
        <row r="59">
          <cell r="B59" t="str">
            <v>Kabel NYA 500 volt 2x2,5 mm2</v>
          </cell>
          <cell r="D59" t="str">
            <v>m1</v>
          </cell>
          <cell r="E59">
            <v>5500</v>
          </cell>
        </row>
        <row r="60">
          <cell r="B60" t="str">
            <v>Kabel NYFGBY 4x6 mm</v>
          </cell>
          <cell r="D60" t="str">
            <v>m</v>
          </cell>
          <cell r="E60">
            <v>45000</v>
          </cell>
        </row>
        <row r="61">
          <cell r="B61" t="str">
            <v>Kabel NYM 3 x10 mm2 "supreme"</v>
          </cell>
          <cell r="D61" t="str">
            <v>m</v>
          </cell>
          <cell r="E61">
            <v>50000</v>
          </cell>
        </row>
        <row r="62">
          <cell r="B62" t="str">
            <v>BOX panl MCB</v>
          </cell>
          <cell r="D62" t="str">
            <v>m</v>
          </cell>
          <cell r="E62">
            <v>1250000</v>
          </cell>
        </row>
        <row r="63">
          <cell r="B63" t="str">
            <v>Kaca Polos Tebal 5 mm</v>
          </cell>
          <cell r="D63" t="str">
            <v>m2</v>
          </cell>
          <cell r="E63">
            <v>85000</v>
          </cell>
        </row>
        <row r="64">
          <cell r="B64" t="str">
            <v>Kaca rayban tebal 5 mm</v>
          </cell>
          <cell r="D64" t="str">
            <v>m2</v>
          </cell>
          <cell r="E64">
            <v>62500</v>
          </cell>
        </row>
        <row r="65">
          <cell r="B65" t="str">
            <v>Kapur Pasang</v>
          </cell>
          <cell r="D65" t="str">
            <v>m3</v>
          </cell>
          <cell r="E65">
            <v>221700</v>
          </cell>
        </row>
        <row r="66">
          <cell r="B66" t="str">
            <v>Karet</v>
          </cell>
          <cell r="D66" t="str">
            <v>m3</v>
          </cell>
          <cell r="E66">
            <v>20600</v>
          </cell>
        </row>
        <row r="67">
          <cell r="B67" t="str">
            <v>Kawat Ikat Beton</v>
          </cell>
          <cell r="D67" t="str">
            <v>kg</v>
          </cell>
          <cell r="E67">
            <v>16900</v>
          </cell>
        </row>
        <row r="68">
          <cell r="B68" t="str">
            <v>Kayu Kamper ( papan )</v>
          </cell>
          <cell r="D68" t="str">
            <v>m3</v>
          </cell>
          <cell r="E68">
            <v>7500000</v>
          </cell>
        </row>
        <row r="69">
          <cell r="B69" t="str">
            <v>Kayu kamper 1/3</v>
          </cell>
          <cell r="D69" t="str">
            <v>m3</v>
          </cell>
          <cell r="E69">
            <v>2860000</v>
          </cell>
        </row>
        <row r="70">
          <cell r="B70" t="str">
            <v>Kayu meranti ( balok 5/7 )</v>
          </cell>
          <cell r="D70" t="str">
            <v>m3</v>
          </cell>
          <cell r="E70">
            <v>3500000</v>
          </cell>
        </row>
        <row r="71">
          <cell r="B71" t="str">
            <v>Kayu meranti (papan 2/20)</v>
          </cell>
          <cell r="D71" t="str">
            <v>m3</v>
          </cell>
          <cell r="E71">
            <v>4250000</v>
          </cell>
        </row>
        <row r="72">
          <cell r="B72" t="str">
            <v>Kayu meranti (usuk 4/6)</v>
          </cell>
          <cell r="D72" t="str">
            <v>m3</v>
          </cell>
          <cell r="E72">
            <v>3500000</v>
          </cell>
        </row>
        <row r="73">
          <cell r="B73" t="str">
            <v>Kayu meranti bekisting</v>
          </cell>
          <cell r="D73" t="str">
            <v>m3</v>
          </cell>
          <cell r="E73">
            <v>2119000</v>
          </cell>
        </row>
        <row r="74">
          <cell r="B74" t="str">
            <v>Kayu meranti( balok 6/15 cm )</v>
          </cell>
          <cell r="D74" t="str">
            <v>m3</v>
          </cell>
          <cell r="E74">
            <v>5100000</v>
          </cell>
        </row>
        <row r="75">
          <cell r="B75" t="str">
            <v>Kertas gosok</v>
          </cell>
          <cell r="D75" t="str">
            <v>lbr</v>
          </cell>
          <cell r="E75">
            <v>2800</v>
          </cell>
        </row>
        <row r="76">
          <cell r="B76" t="str">
            <v>Klem PVC</v>
          </cell>
          <cell r="D76" t="str">
            <v>bh</v>
          </cell>
          <cell r="E76">
            <v>12500</v>
          </cell>
        </row>
        <row r="77">
          <cell r="B77" t="str">
            <v>GRC</v>
          </cell>
          <cell r="D77" t="str">
            <v>m1</v>
          </cell>
          <cell r="E77">
            <v>25000</v>
          </cell>
        </row>
        <row r="78">
          <cell r="B78" t="str">
            <v>Kunci tanam besar 2x putar ( kuningan )</v>
          </cell>
          <cell r="D78" t="str">
            <v>bh</v>
          </cell>
          <cell r="E78">
            <v>79500</v>
          </cell>
        </row>
        <row r="79">
          <cell r="B79" t="str">
            <v>Lass doof</v>
          </cell>
          <cell r="D79" t="str">
            <v>bh</v>
          </cell>
          <cell r="E79">
            <v>250</v>
          </cell>
        </row>
        <row r="80">
          <cell r="B80" t="str">
            <v>Lem</v>
          </cell>
          <cell r="D80" t="str">
            <v>kg</v>
          </cell>
          <cell r="E80">
            <v>26500</v>
          </cell>
        </row>
        <row r="81">
          <cell r="B81" t="str">
            <v>Lem PVC</v>
          </cell>
          <cell r="D81" t="str">
            <v>bh</v>
          </cell>
          <cell r="E81">
            <v>12100</v>
          </cell>
        </row>
        <row r="82">
          <cell r="B82" t="str">
            <v>List Gypsum 8/8</v>
          </cell>
          <cell r="D82" t="str">
            <v>m1</v>
          </cell>
          <cell r="E82">
            <v>13500</v>
          </cell>
        </row>
        <row r="83">
          <cell r="B83" t="str">
            <v xml:space="preserve">Minyak bekisting </v>
          </cell>
          <cell r="D83" t="str">
            <v xml:space="preserve">ltr </v>
          </cell>
          <cell r="E83">
            <v>8500</v>
          </cell>
        </row>
        <row r="84">
          <cell r="B84" t="str">
            <v xml:space="preserve">Minyak cat/ afduner </v>
          </cell>
          <cell r="D84" t="str">
            <v xml:space="preserve">ltr </v>
          </cell>
          <cell r="E84">
            <v>8500</v>
          </cell>
        </row>
        <row r="85">
          <cell r="B85" t="str">
            <v>Paku</v>
          </cell>
          <cell r="D85" t="str">
            <v>kg</v>
          </cell>
          <cell r="E85">
            <v>16200</v>
          </cell>
        </row>
        <row r="86">
          <cell r="B86" t="str">
            <v>Pasir Cor</v>
          </cell>
          <cell r="D86" t="str">
            <v>m3</v>
          </cell>
          <cell r="E86">
            <v>175000</v>
          </cell>
        </row>
        <row r="87">
          <cell r="B87" t="str">
            <v>Pasir Pasang</v>
          </cell>
          <cell r="D87" t="str">
            <v>m3</v>
          </cell>
          <cell r="E87">
            <v>175000</v>
          </cell>
        </row>
        <row r="88">
          <cell r="B88" t="str">
            <v>Pasir Urug</v>
          </cell>
          <cell r="D88" t="str">
            <v>m3</v>
          </cell>
          <cell r="E88">
            <v>117000</v>
          </cell>
        </row>
        <row r="89">
          <cell r="B89" t="str">
            <v>Pipa Baja (hitam) 4" medium</v>
          </cell>
          <cell r="D89" t="str">
            <v>m</v>
          </cell>
          <cell r="E89">
            <v>33250</v>
          </cell>
        </row>
        <row r="90">
          <cell r="B90" t="str">
            <v>Pipa pralon 5/8</v>
          </cell>
          <cell r="D90" t="str">
            <v>ljr</v>
          </cell>
          <cell r="E90">
            <v>4800</v>
          </cell>
        </row>
        <row r="91">
          <cell r="B91" t="str">
            <v>Pipa PVC 4" type AW</v>
          </cell>
          <cell r="D91" t="str">
            <v>m</v>
          </cell>
          <cell r="E91">
            <v>313400</v>
          </cell>
        </row>
        <row r="92">
          <cell r="B92" t="str">
            <v>Pipa / slang spiral saluran</v>
          </cell>
          <cell r="D92" t="str">
            <v>m</v>
          </cell>
          <cell r="E92">
            <v>32450</v>
          </cell>
        </row>
        <row r="93">
          <cell r="B93" t="str">
            <v>Plamur tembok</v>
          </cell>
          <cell r="D93" t="str">
            <v>kg</v>
          </cell>
          <cell r="E93">
            <v>31000</v>
          </cell>
        </row>
        <row r="94">
          <cell r="B94" t="str">
            <v>Rol TBA</v>
          </cell>
          <cell r="D94" t="str">
            <v>roll</v>
          </cell>
          <cell r="E94">
            <v>2500</v>
          </cell>
        </row>
        <row r="95">
          <cell r="B95" t="str">
            <v>Saklar ganda Broco</v>
          </cell>
          <cell r="D95" t="str">
            <v>bh</v>
          </cell>
          <cell r="E95">
            <v>32300</v>
          </cell>
        </row>
        <row r="96">
          <cell r="B96" t="str">
            <v>Saklar tunggal Broco</v>
          </cell>
          <cell r="D96" t="str">
            <v>bh</v>
          </cell>
          <cell r="E96">
            <v>16100</v>
          </cell>
        </row>
        <row r="97">
          <cell r="B97" t="str">
            <v>Sekrup</v>
          </cell>
          <cell r="D97" t="str">
            <v>bh</v>
          </cell>
          <cell r="E97">
            <v>850</v>
          </cell>
        </row>
        <row r="98">
          <cell r="B98" t="str">
            <v>Semen berwarna Yiyitan</v>
          </cell>
          <cell r="D98" t="str">
            <v>kg</v>
          </cell>
          <cell r="E98">
            <v>13650</v>
          </cell>
        </row>
        <row r="99">
          <cell r="B99" t="str">
            <v>Semen PC ( Portland Cement ) 50 Kg</v>
          </cell>
          <cell r="D99" t="str">
            <v>zak</v>
          </cell>
          <cell r="E99">
            <v>55000</v>
          </cell>
        </row>
        <row r="100">
          <cell r="B100" t="str">
            <v>Slimar Aluminium 3/8</v>
          </cell>
          <cell r="D100" t="str">
            <v>m1</v>
          </cell>
          <cell r="E100">
            <v>47500</v>
          </cell>
        </row>
        <row r="101">
          <cell r="B101" t="str">
            <v>Stop kontak ( broco )</v>
          </cell>
          <cell r="D101" t="str">
            <v>bh</v>
          </cell>
          <cell r="E101">
            <v>21000</v>
          </cell>
        </row>
        <row r="102">
          <cell r="B102" t="str">
            <v>T Doos PVC</v>
          </cell>
          <cell r="D102" t="str">
            <v>bh</v>
          </cell>
          <cell r="E102">
            <v>1700</v>
          </cell>
        </row>
        <row r="103">
          <cell r="B103" t="str">
            <v>Tegel Keramik 40 x 40 ( motif / warna )</v>
          </cell>
          <cell r="D103" t="str">
            <v>m2</v>
          </cell>
          <cell r="E103">
            <v>51800</v>
          </cell>
        </row>
        <row r="104">
          <cell r="B104" t="str">
            <v>Panel Box</v>
          </cell>
          <cell r="D104" t="str">
            <v>bh</v>
          </cell>
          <cell r="E104">
            <v>100000</v>
          </cell>
        </row>
        <row r="105">
          <cell r="B105" t="str">
            <v>MCB</v>
          </cell>
          <cell r="D105" t="str">
            <v>bh</v>
          </cell>
          <cell r="E105">
            <v>250000</v>
          </cell>
        </row>
        <row r="106">
          <cell r="B106" t="str">
            <v>Roff drain</v>
          </cell>
          <cell r="D106" t="str">
            <v>bh</v>
          </cell>
          <cell r="E106">
            <v>25000</v>
          </cell>
        </row>
        <row r="107">
          <cell r="B107" t="str">
            <v>Lampu SL 18 Watt, ex Philips</v>
          </cell>
          <cell r="D107" t="str">
            <v>bh</v>
          </cell>
          <cell r="E107">
            <v>85000</v>
          </cell>
        </row>
        <row r="108">
          <cell r="B108" t="str">
            <v>Baut angker</v>
          </cell>
          <cell r="D108" t="str">
            <v>bh</v>
          </cell>
          <cell r="E108">
            <v>5500</v>
          </cell>
        </row>
        <row r="109">
          <cell r="B109" t="str">
            <v>Plat Plendes</v>
          </cell>
          <cell r="D109" t="str">
            <v>kg</v>
          </cell>
          <cell r="E109">
            <v>9000</v>
          </cell>
        </row>
        <row r="110">
          <cell r="B110" t="str">
            <v>Besi baja C 100 - 150 mm</v>
          </cell>
          <cell r="D110" t="str">
            <v>kg</v>
          </cell>
          <cell r="E110">
            <v>12950</v>
          </cell>
        </row>
        <row r="111">
          <cell r="B111" t="str">
            <v>Genteng karang pilang/ wisma</v>
          </cell>
          <cell r="D111" t="str">
            <v>bh</v>
          </cell>
          <cell r="E111">
            <v>2500</v>
          </cell>
        </row>
        <row r="112">
          <cell r="B112" t="str">
            <v>bubungan karang pilang/ wisma</v>
          </cell>
          <cell r="D112" t="str">
            <v>bh</v>
          </cell>
          <cell r="E112">
            <v>7500</v>
          </cell>
        </row>
        <row r="113">
          <cell r="B113" t="str">
            <v>papan reuter 2/20 kamper</v>
          </cell>
          <cell r="D113" t="str">
            <v>m</v>
          </cell>
          <cell r="E113">
            <v>20000</v>
          </cell>
        </row>
        <row r="114">
          <cell r="B114" t="str">
            <v>list plafond</v>
          </cell>
          <cell r="D114" t="str">
            <v>m1</v>
          </cell>
          <cell r="E114">
            <v>15000</v>
          </cell>
        </row>
        <row r="115">
          <cell r="B115" t="str">
            <v>Mini Pile Dimensi 20x20 cm</v>
          </cell>
          <cell r="D115" t="str">
            <v>m</v>
          </cell>
          <cell r="E115">
            <v>135000</v>
          </cell>
        </row>
        <row r="116">
          <cell r="B116" t="str">
            <v>Unimax klem</v>
          </cell>
          <cell r="D116" t="str">
            <v>bh</v>
          </cell>
          <cell r="E116">
            <v>5500</v>
          </cell>
        </row>
        <row r="117">
          <cell r="B117" t="str">
            <v>Pipa 3/4</v>
          </cell>
          <cell r="D117" t="str">
            <v>bh</v>
          </cell>
          <cell r="E117">
            <v>20000</v>
          </cell>
        </row>
        <row r="118">
          <cell r="B118" t="str">
            <v>Ground pipa galvnis 1.5" 6m</v>
          </cell>
          <cell r="D118" t="str">
            <v>lnjr</v>
          </cell>
          <cell r="E118">
            <v>175000</v>
          </cell>
        </row>
        <row r="119">
          <cell r="B119" t="str">
            <v>BC 50 mm2</v>
          </cell>
          <cell r="D119" t="str">
            <v>m1</v>
          </cell>
          <cell r="E119">
            <v>29500</v>
          </cell>
        </row>
        <row r="120">
          <cell r="B120" t="str">
            <v>Wastafel besar warna</v>
          </cell>
          <cell r="D120" t="str">
            <v>bh</v>
          </cell>
          <cell r="E120">
            <v>589000</v>
          </cell>
        </row>
        <row r="121">
          <cell r="B121" t="str">
            <v>Besi Plat</v>
          </cell>
          <cell r="D121" t="str">
            <v>kg</v>
          </cell>
          <cell r="E121">
            <v>11765</v>
          </cell>
        </row>
        <row r="122">
          <cell r="B122" t="str">
            <v>Besi Baut</v>
          </cell>
          <cell r="D122" t="str">
            <v>kg</v>
          </cell>
          <cell r="E122">
            <v>7500</v>
          </cell>
        </row>
        <row r="123">
          <cell r="B123" t="str">
            <v>Besi galvalum C</v>
          </cell>
          <cell r="D123" t="str">
            <v>m</v>
          </cell>
          <cell r="E123">
            <v>10000</v>
          </cell>
        </row>
        <row r="124">
          <cell r="B124" t="str">
            <v>Besi galvalum U</v>
          </cell>
          <cell r="D124" t="str">
            <v>m</v>
          </cell>
          <cell r="E124">
            <v>8500</v>
          </cell>
        </row>
        <row r="125">
          <cell r="B125" t="str">
            <v>Jarum keras</v>
          </cell>
          <cell r="D125" t="str">
            <v>pcs</v>
          </cell>
          <cell r="E125">
            <v>25000</v>
          </cell>
        </row>
        <row r="126">
          <cell r="B126" t="str">
            <v>WaterProofing</v>
          </cell>
          <cell r="D126" t="str">
            <v>kg</v>
          </cell>
          <cell r="E126">
            <v>40000</v>
          </cell>
        </row>
        <row r="127">
          <cell r="B127" t="str">
            <v>Cat Coating</v>
          </cell>
          <cell r="D127" t="str">
            <v>kg</v>
          </cell>
          <cell r="E127">
            <v>30000</v>
          </cell>
        </row>
        <row r="130">
          <cell r="B130" t="str">
            <v>JENIS PERALATAN</v>
          </cell>
          <cell r="D130" t="str">
            <v>SAT.</v>
          </cell>
          <cell r="E130" t="str">
            <v>HARGA</v>
          </cell>
        </row>
        <row r="131">
          <cell r="E131" t="str">
            <v>(Rp.)</v>
          </cell>
        </row>
        <row r="133">
          <cell r="B133" t="str">
            <v>Sewa Alat Bantu ( 1 set @ 3 alat )</v>
          </cell>
          <cell r="D133" t="str">
            <v>jam</v>
          </cell>
          <cell r="E133">
            <v>1000</v>
          </cell>
        </row>
        <row r="134">
          <cell r="B134" t="str">
            <v>Sewa Alat trowel ( min 5jam )</v>
          </cell>
          <cell r="D134" t="str">
            <v>jam</v>
          </cell>
          <cell r="E134">
            <v>20000</v>
          </cell>
        </row>
        <row r="135">
          <cell r="B135" t="str">
            <v>Sewa Alat Bantu Strous Pile</v>
          </cell>
          <cell r="D135" t="str">
            <v>jam</v>
          </cell>
          <cell r="E135">
            <v>10000</v>
          </cell>
        </row>
        <row r="136">
          <cell r="B136" t="str">
            <v>Sewa Concrete Mixer 0,5 m3 ( min 3 jam )</v>
          </cell>
          <cell r="D136" t="str">
            <v>jam</v>
          </cell>
          <cell r="E136">
            <v>50000</v>
          </cell>
        </row>
        <row r="137">
          <cell r="B137" t="str">
            <v>Sewa Vibrator ( min 5 jam )</v>
          </cell>
          <cell r="D137" t="str">
            <v>jam</v>
          </cell>
          <cell r="E137">
            <v>135000</v>
          </cell>
        </row>
        <row r="138">
          <cell r="B138" t="str">
            <v>Sewa Welding Set ( min 5 jam )</v>
          </cell>
          <cell r="D138" t="str">
            <v>hari</v>
          </cell>
          <cell r="E138">
            <v>30000</v>
          </cell>
        </row>
        <row r="139">
          <cell r="B139" t="str">
            <v>Sewa mesin trowell ( min 5 jam )</v>
          </cell>
          <cell r="D139" t="str">
            <v>hari</v>
          </cell>
          <cell r="E139">
            <v>20000</v>
          </cell>
        </row>
        <row r="140">
          <cell r="B140" t="str">
            <v>Sewa Crane  min. 8 jam (termasuk mob/demob, operator, BBM)</v>
          </cell>
          <cell r="D140" t="str">
            <v>jam</v>
          </cell>
          <cell r="E140">
            <v>225000</v>
          </cell>
        </row>
        <row r="141">
          <cell r="B141" t="str">
            <v>Sewa Jack Hidrolis - min. 8 jam(termasuk mob/demob, operator, BBM)</v>
          </cell>
          <cell r="D141" t="str">
            <v>jam</v>
          </cell>
          <cell r="E141">
            <v>185000</v>
          </cell>
        </row>
      </sheetData>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
      <sheetName val="100000"/>
      <sheetName val="200000"/>
      <sheetName val="300000"/>
      <sheetName val="SCHEDULE  (2)"/>
      <sheetName val="SCHEDULE "/>
      <sheetName val="RPD"/>
      <sheetName val="RPD 50%"/>
      <sheetName val="Mc (2)"/>
      <sheetName val="Rekapitulasi"/>
      <sheetName val="Rencana RAB"/>
      <sheetName val="analisa"/>
      <sheetName val="analisa infra"/>
      <sheetName val="Analisa Pompa Air"/>
      <sheetName val="Analisa Furniture Listrik"/>
      <sheetName val="Harga bahan &amp; upah"/>
      <sheetName val="Analisa (2)"/>
      <sheetName val="AREA COORDINATOR 1"/>
      <sheetName val="AREA COORDINATOR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ow r="9">
          <cell r="C9" t="str">
            <v>A. Bahan Agregat Kasar, Bahan Pelekat dan Bahan Jadi</v>
          </cell>
        </row>
        <row r="10">
          <cell r="B10" t="str">
            <v>01.001</v>
          </cell>
          <cell r="C10" t="str">
            <v>Pasir Urug</v>
          </cell>
          <cell r="D10">
            <v>45000</v>
          </cell>
          <cell r="E10" t="str">
            <v>M3</v>
          </cell>
        </row>
        <row r="11">
          <cell r="B11" t="str">
            <v>01.002</v>
          </cell>
          <cell r="C11" t="str">
            <v>Pasir Pasang</v>
          </cell>
          <cell r="D11">
            <v>65000</v>
          </cell>
          <cell r="E11" t="str">
            <v>M3</v>
          </cell>
        </row>
        <row r="12">
          <cell r="B12" t="str">
            <v>01.003</v>
          </cell>
          <cell r="C12" t="str">
            <v>Pasir Beton</v>
          </cell>
          <cell r="D12">
            <v>65000</v>
          </cell>
          <cell r="E12" t="str">
            <v>M3</v>
          </cell>
        </row>
        <row r="13">
          <cell r="B13" t="str">
            <v>01.004</v>
          </cell>
          <cell r="C13" t="str">
            <v>Batu Koral / Kerikil</v>
          </cell>
          <cell r="D13">
            <v>75000</v>
          </cell>
          <cell r="E13" t="str">
            <v>M3</v>
          </cell>
        </row>
        <row r="14">
          <cell r="B14" t="str">
            <v>01.005</v>
          </cell>
          <cell r="C14" t="str">
            <v>Batu Kali Belah</v>
          </cell>
          <cell r="D14">
            <v>65000</v>
          </cell>
          <cell r="E14" t="str">
            <v>M3</v>
          </cell>
        </row>
        <row r="15">
          <cell r="B15" t="str">
            <v>01.006</v>
          </cell>
          <cell r="C15" t="str">
            <v>Batu Split 2/3 cm</v>
          </cell>
          <cell r="D15">
            <v>100000</v>
          </cell>
          <cell r="E15" t="str">
            <v>M3</v>
          </cell>
        </row>
        <row r="16">
          <cell r="B16" t="str">
            <v>01.007</v>
          </cell>
          <cell r="C16" t="str">
            <v>Batu Merah Bakar Kelas I</v>
          </cell>
          <cell r="D16">
            <v>410</v>
          </cell>
          <cell r="E16" t="str">
            <v>Bh</v>
          </cell>
        </row>
        <row r="17">
          <cell r="B17" t="str">
            <v>01.008</v>
          </cell>
          <cell r="C17" t="str">
            <v>Paving Blok Natural 6 Cm</v>
          </cell>
          <cell r="D17">
            <v>1500</v>
          </cell>
          <cell r="E17" t="str">
            <v>M2</v>
          </cell>
        </row>
        <row r="18">
          <cell r="B18" t="str">
            <v>01.009</v>
          </cell>
          <cell r="C18" t="str">
            <v>Semen PC (50 kg)</v>
          </cell>
          <cell r="D18">
            <v>48300</v>
          </cell>
          <cell r="E18" t="str">
            <v>Zak</v>
          </cell>
        </row>
        <row r="19">
          <cell r="B19" t="str">
            <v>01.010</v>
          </cell>
          <cell r="C19" t="str">
            <v>Semen Warna</v>
          </cell>
          <cell r="D19">
            <v>8500</v>
          </cell>
          <cell r="E19" t="str">
            <v>Kg</v>
          </cell>
        </row>
        <row r="20">
          <cell r="B20" t="str">
            <v>01.011</v>
          </cell>
          <cell r="C20" t="str">
            <v>Tanah urug</v>
          </cell>
          <cell r="D20">
            <v>50000</v>
          </cell>
          <cell r="E20" t="str">
            <v>m2</v>
          </cell>
        </row>
        <row r="22">
          <cell r="C22" t="str">
            <v>B. Bahan Finishing Laburan Pengisi dan Alatnya</v>
          </cell>
        </row>
        <row r="23">
          <cell r="B23" t="str">
            <v>02.001</v>
          </cell>
          <cell r="C23" t="str">
            <v xml:space="preserve">Plamir Tembok </v>
          </cell>
          <cell r="D23">
            <v>7500</v>
          </cell>
          <cell r="E23" t="str">
            <v>Kg</v>
          </cell>
        </row>
        <row r="24">
          <cell r="B24" t="str">
            <v>02.002</v>
          </cell>
          <cell r="C24" t="str">
            <v>Plamir Kayu</v>
          </cell>
          <cell r="D24">
            <v>4500</v>
          </cell>
          <cell r="E24" t="str">
            <v>Kg</v>
          </cell>
        </row>
        <row r="25">
          <cell r="B25" t="str">
            <v>02.003</v>
          </cell>
          <cell r="C25" t="str">
            <v>Cat Tembok (dinding)</v>
          </cell>
          <cell r="D25">
            <v>5000</v>
          </cell>
          <cell r="E25" t="str">
            <v>Kg</v>
          </cell>
        </row>
        <row r="26">
          <cell r="B26" t="str">
            <v>02.004</v>
          </cell>
          <cell r="C26" t="str">
            <v>Rool Cat Tembok</v>
          </cell>
          <cell r="D26">
            <v>7500</v>
          </cell>
          <cell r="E26" t="str">
            <v>Bh</v>
          </cell>
        </row>
        <row r="27">
          <cell r="B27" t="str">
            <v>02.005</v>
          </cell>
          <cell r="C27" t="str">
            <v>Cypergard (anti rayap)</v>
          </cell>
          <cell r="D27">
            <v>0</v>
          </cell>
          <cell r="E27" t="str">
            <v xml:space="preserve"> Ltr</v>
          </cell>
        </row>
        <row r="28">
          <cell r="B28" t="str">
            <v>02.006</v>
          </cell>
          <cell r="C28" t="str">
            <v>Kuwas 3"</v>
          </cell>
          <cell r="D28">
            <v>1500</v>
          </cell>
          <cell r="E28" t="str">
            <v>Bh</v>
          </cell>
        </row>
        <row r="29">
          <cell r="B29" t="str">
            <v>02.007</v>
          </cell>
          <cell r="C29" t="str">
            <v>Tiner B</v>
          </cell>
          <cell r="D29">
            <v>5000</v>
          </cell>
          <cell r="E29" t="str">
            <v>Ltr</v>
          </cell>
        </row>
        <row r="30">
          <cell r="B30" t="str">
            <v>02.008</v>
          </cell>
          <cell r="C30" t="str">
            <v>Amplas</v>
          </cell>
          <cell r="D30">
            <v>2500</v>
          </cell>
          <cell r="E30" t="str">
            <v>Lbr</v>
          </cell>
        </row>
        <row r="31">
          <cell r="B31" t="str">
            <v>02.009</v>
          </cell>
          <cell r="C31" t="str">
            <v>Meni Kayu</v>
          </cell>
          <cell r="D31">
            <v>7500</v>
          </cell>
          <cell r="E31" t="str">
            <v>Kg</v>
          </cell>
        </row>
        <row r="32">
          <cell r="B32" t="str">
            <v>02.010</v>
          </cell>
          <cell r="C32" t="str">
            <v>Meni Besi</v>
          </cell>
          <cell r="D32">
            <v>7500</v>
          </cell>
          <cell r="E32" t="str">
            <v>Kg</v>
          </cell>
        </row>
        <row r="33">
          <cell r="B33" t="str">
            <v>02.011</v>
          </cell>
          <cell r="C33" t="str">
            <v xml:space="preserve">Cat Kayu </v>
          </cell>
          <cell r="D33">
            <v>7500</v>
          </cell>
          <cell r="E33" t="str">
            <v>Kg</v>
          </cell>
        </row>
        <row r="34">
          <cell r="B34" t="str">
            <v>02.012</v>
          </cell>
          <cell r="C34" t="str">
            <v>Residu</v>
          </cell>
          <cell r="D34">
            <v>16500</v>
          </cell>
          <cell r="E34" t="str">
            <v>kg</v>
          </cell>
        </row>
        <row r="36">
          <cell r="C36" t="str">
            <v>C. Bahan Kayu Berikut Bahan Jadinya</v>
          </cell>
        </row>
        <row r="37">
          <cell r="B37" t="str">
            <v>03.001</v>
          </cell>
          <cell r="C37" t="str">
            <v>Kayu Kelas Kelas III Lokal (untuk bouwplank)</v>
          </cell>
          <cell r="D37">
            <v>1000000</v>
          </cell>
          <cell r="E37" t="str">
            <v>M3</v>
          </cell>
        </row>
        <row r="38">
          <cell r="B38" t="str">
            <v>03.002</v>
          </cell>
          <cell r="C38" t="str">
            <v>Kayu Balok  Lokal Kelas II Mutu A</v>
          </cell>
          <cell r="D38">
            <v>2150000</v>
          </cell>
          <cell r="E38" t="str">
            <v>M3</v>
          </cell>
        </row>
        <row r="39">
          <cell r="B39" t="str">
            <v>03.003</v>
          </cell>
          <cell r="C39" t="str">
            <v>Kayu Papan  Lokal Kelas II Mutu A</v>
          </cell>
          <cell r="D39">
            <v>2150000</v>
          </cell>
          <cell r="E39" t="str">
            <v>M3</v>
          </cell>
        </row>
        <row r="40">
          <cell r="B40" t="str">
            <v>03.004</v>
          </cell>
          <cell r="C40" t="str">
            <v>Kayu, Kaso, Reng Kelas II Mutu A</v>
          </cell>
          <cell r="D40">
            <v>2150000</v>
          </cell>
          <cell r="E40" t="str">
            <v>M3</v>
          </cell>
        </row>
        <row r="41">
          <cell r="B41" t="str">
            <v>03.005</v>
          </cell>
          <cell r="C41" t="str">
            <v>Kayu Balok Lokal Kelas II (untuk kusen) Mutu A</v>
          </cell>
          <cell r="D41">
            <v>2150000</v>
          </cell>
          <cell r="E41" t="str">
            <v>M3</v>
          </cell>
        </row>
        <row r="42">
          <cell r="B42" t="str">
            <v>03.006</v>
          </cell>
          <cell r="C42" t="str">
            <v>Kayu Papan  Lokal Kelas II (untuk kusen) Mutu A</v>
          </cell>
          <cell r="D42">
            <v>2150000</v>
          </cell>
          <cell r="E42" t="str">
            <v>M3</v>
          </cell>
        </row>
        <row r="43">
          <cell r="B43" t="str">
            <v>03.007</v>
          </cell>
          <cell r="C43" t="str">
            <v>Lis Profil Kamper 3 Cm</v>
          </cell>
          <cell r="D43">
            <v>3750</v>
          </cell>
          <cell r="E43" t="str">
            <v>M</v>
          </cell>
        </row>
        <row r="44">
          <cell r="B44" t="str">
            <v>03.008</v>
          </cell>
          <cell r="C44" t="str">
            <v>Kayu Kelas II Mutu A untuk Furniture</v>
          </cell>
          <cell r="D44">
            <v>2150000</v>
          </cell>
          <cell r="E44" t="str">
            <v>M3</v>
          </cell>
        </row>
        <row r="45">
          <cell r="B45" t="str">
            <v>03.009</v>
          </cell>
          <cell r="C45" t="str">
            <v>Lem Kayu Putih Rachol</v>
          </cell>
          <cell r="D45">
            <v>15000</v>
          </cell>
          <cell r="E45" t="str">
            <v>Kg</v>
          </cell>
        </row>
        <row r="47">
          <cell r="C47" t="str">
            <v>D.  Bahan Penutup Rangka Plafond</v>
          </cell>
        </row>
        <row r="48">
          <cell r="B48" t="str">
            <v>04.001</v>
          </cell>
          <cell r="C48" t="str">
            <v>Triplek 4mm 120 x 240</v>
          </cell>
          <cell r="D48">
            <v>51500</v>
          </cell>
          <cell r="E48" t="str">
            <v>Lbr</v>
          </cell>
        </row>
        <row r="50">
          <cell r="C50" t="str">
            <v>E. Bahan Kayu Lapis</v>
          </cell>
        </row>
        <row r="51">
          <cell r="B51" t="str">
            <v>05.001</v>
          </cell>
          <cell r="C51" t="str">
            <v>Multipleks 12mm 120 x 240</v>
          </cell>
          <cell r="D51">
            <v>120000</v>
          </cell>
          <cell r="E51" t="str">
            <v>Lbr</v>
          </cell>
        </row>
        <row r="52">
          <cell r="B52" t="str">
            <v>05.002</v>
          </cell>
          <cell r="C52" t="str">
            <v>Multipleks 18 mm 120 x 240</v>
          </cell>
          <cell r="D52">
            <v>80000</v>
          </cell>
          <cell r="E52" t="str">
            <v>Lbr</v>
          </cell>
        </row>
        <row r="54">
          <cell r="C54" t="str">
            <v>F. Bahan Lantai dan Pelapis Dinding</v>
          </cell>
        </row>
        <row r="55">
          <cell r="B55" t="str">
            <v>06.001</v>
          </cell>
          <cell r="C55" t="str">
            <v>Keramik Dinding 20 x 25</v>
          </cell>
          <cell r="D55">
            <v>29000</v>
          </cell>
          <cell r="E55" t="str">
            <v>M²</v>
          </cell>
        </row>
        <row r="56">
          <cell r="B56" t="str">
            <v>06.002</v>
          </cell>
          <cell r="C56" t="str">
            <v>Keramik 20 x 20 Tekstur Sekelas Mulia</v>
          </cell>
          <cell r="D56">
            <v>30000</v>
          </cell>
          <cell r="E56" t="str">
            <v>M²</v>
          </cell>
        </row>
        <row r="57">
          <cell r="B57" t="str">
            <v>06.003</v>
          </cell>
          <cell r="C57" t="str">
            <v>Keramik 30 x 30 Sekelas Mulia</v>
          </cell>
          <cell r="D57">
            <v>29000</v>
          </cell>
          <cell r="E57" t="str">
            <v>M²</v>
          </cell>
        </row>
        <row r="59">
          <cell r="C59" t="str">
            <v>G. Bahan Saluran Air Kotor (Riolering)</v>
          </cell>
        </row>
        <row r="60">
          <cell r="B60" t="str">
            <v>07.001</v>
          </cell>
          <cell r="C60" t="str">
            <v>Buis belah dia 20 cm</v>
          </cell>
          <cell r="D60">
            <v>65000</v>
          </cell>
          <cell r="E60" t="str">
            <v>Bh</v>
          </cell>
        </row>
        <row r="62">
          <cell r="C62" t="str">
            <v>H. Bahan Logam dan Bahan Jadinya</v>
          </cell>
        </row>
        <row r="63">
          <cell r="B63" t="str">
            <v>08.001</v>
          </cell>
          <cell r="C63" t="str">
            <v>Besi Beton U. 24 Rata-rata</v>
          </cell>
          <cell r="D63">
            <v>6086.4556881933731</v>
          </cell>
          <cell r="E63" t="str">
            <v>Kg</v>
          </cell>
        </row>
        <row r="64">
          <cell r="B64" t="str">
            <v>08.002</v>
          </cell>
          <cell r="C64" t="str">
            <v>Besi Siku 50.50.5 panjang 6 m</v>
          </cell>
          <cell r="D64">
            <v>15000</v>
          </cell>
          <cell r="E64" t="str">
            <v>Kg</v>
          </cell>
        </row>
        <row r="65">
          <cell r="B65" t="str">
            <v>08.003</v>
          </cell>
          <cell r="C65" t="str">
            <v>Kawat Beton</v>
          </cell>
          <cell r="D65">
            <v>12500</v>
          </cell>
          <cell r="E65" t="str">
            <v>Kg</v>
          </cell>
        </row>
        <row r="66">
          <cell r="B66" t="str">
            <v>08.004</v>
          </cell>
          <cell r="C66" t="str">
            <v>Besi begel</v>
          </cell>
          <cell r="D66">
            <v>12000</v>
          </cell>
          <cell r="E66" t="str">
            <v>Kg</v>
          </cell>
        </row>
        <row r="67">
          <cell r="B67" t="str">
            <v>08.005</v>
          </cell>
          <cell r="C67" t="str">
            <v>Kawat berduri</v>
          </cell>
          <cell r="D67">
            <v>2000</v>
          </cell>
          <cell r="E67" t="str">
            <v>M</v>
          </cell>
        </row>
        <row r="68">
          <cell r="B68" t="str">
            <v>08.006</v>
          </cell>
          <cell r="C68" t="str">
            <v>Pipa Galva Medium 2"</v>
          </cell>
          <cell r="D68">
            <v>260000</v>
          </cell>
          <cell r="E68" t="str">
            <v>btg</v>
          </cell>
        </row>
        <row r="70">
          <cell r="C70" t="str">
            <v>I. Bahan Kaca</v>
          </cell>
        </row>
        <row r="71">
          <cell r="B71" t="str">
            <v>09.001</v>
          </cell>
          <cell r="C71" t="str">
            <v>Kaca Polos 5 mm</v>
          </cell>
          <cell r="D71">
            <v>79350</v>
          </cell>
          <cell r="E71" t="str">
            <v>M²</v>
          </cell>
        </row>
        <row r="73">
          <cell r="C73" t="str">
            <v>J. Bahan Paku dan Mur Baud</v>
          </cell>
        </row>
        <row r="74">
          <cell r="B74" t="str">
            <v>10.001</v>
          </cell>
          <cell r="C74" t="str">
            <v xml:space="preserve">Paku </v>
          </cell>
          <cell r="D74">
            <v>15000</v>
          </cell>
          <cell r="E74" t="str">
            <v>Kg</v>
          </cell>
        </row>
        <row r="75">
          <cell r="B75" t="str">
            <v>10.002</v>
          </cell>
          <cell r="C75" t="str">
            <v>Paku Seng</v>
          </cell>
          <cell r="D75">
            <v>22000</v>
          </cell>
          <cell r="E75" t="str">
            <v>Kg</v>
          </cell>
        </row>
        <row r="76">
          <cell r="B76" t="str">
            <v>10.003</v>
          </cell>
          <cell r="C76" t="str">
            <v>Mur - Baut dia 12 mm panjang 24 cm</v>
          </cell>
          <cell r="D76">
            <v>7500</v>
          </cell>
          <cell r="E76" t="str">
            <v>bh</v>
          </cell>
        </row>
        <row r="78">
          <cell r="C78" t="str">
            <v>K. Bahan Perpipaan (Riolering dan Asineering)</v>
          </cell>
        </row>
        <row r="79">
          <cell r="B79" t="str">
            <v>11.001</v>
          </cell>
          <cell r="C79" t="str">
            <v>PVC dia 1/2"</v>
          </cell>
          <cell r="D79">
            <v>20000</v>
          </cell>
          <cell r="E79" t="str">
            <v>btg</v>
          </cell>
        </row>
        <row r="80">
          <cell r="B80" t="str">
            <v>11.002</v>
          </cell>
          <cell r="C80" t="str">
            <v>PVC dia 4" D</v>
          </cell>
          <cell r="D80">
            <v>75000</v>
          </cell>
          <cell r="E80" t="str">
            <v>btg</v>
          </cell>
        </row>
        <row r="82">
          <cell r="C82" t="str">
            <v>L. Bahan Sanitair dan Perpipaan</v>
          </cell>
        </row>
        <row r="83">
          <cell r="B83" t="str">
            <v>12.001</v>
          </cell>
          <cell r="C83" t="str">
            <v>Kran Dinding 1/2 "</v>
          </cell>
          <cell r="D83">
            <v>15000</v>
          </cell>
          <cell r="E83" t="str">
            <v>bh</v>
          </cell>
        </row>
        <row r="84">
          <cell r="B84" t="str">
            <v>12.002</v>
          </cell>
          <cell r="C84" t="str">
            <v>Floor Drain</v>
          </cell>
          <cell r="D84">
            <v>12500</v>
          </cell>
          <cell r="E84" t="str">
            <v>bh</v>
          </cell>
        </row>
        <row r="85">
          <cell r="B85" t="str">
            <v>12.003</v>
          </cell>
          <cell r="C85" t="str">
            <v xml:space="preserve">Closet Jongkok Standar </v>
          </cell>
          <cell r="D85">
            <v>75000</v>
          </cell>
          <cell r="E85" t="str">
            <v>bh</v>
          </cell>
        </row>
        <row r="86">
          <cell r="B86" t="str">
            <v>12.004</v>
          </cell>
          <cell r="C86" t="str">
            <v>Closet duduk</v>
          </cell>
          <cell r="D86">
            <v>750000</v>
          </cell>
          <cell r="E86" t="str">
            <v>bh</v>
          </cell>
        </row>
        <row r="87">
          <cell r="B87" t="str">
            <v>12.005</v>
          </cell>
          <cell r="C87" t="str">
            <v>Bak Air Mandi</v>
          </cell>
          <cell r="D87">
            <v>950000</v>
          </cell>
          <cell r="E87" t="str">
            <v>bh</v>
          </cell>
        </row>
        <row r="88">
          <cell r="B88" t="str">
            <v>12.006</v>
          </cell>
          <cell r="C88" t="str">
            <v>Kitchen Zink Pantry</v>
          </cell>
          <cell r="D88">
            <v>500000</v>
          </cell>
          <cell r="E88" t="str">
            <v>bh</v>
          </cell>
        </row>
        <row r="89">
          <cell r="B89" t="str">
            <v>12.007</v>
          </cell>
          <cell r="C89" t="str">
            <v>Laboratorium Zink</v>
          </cell>
          <cell r="D89">
            <v>750000</v>
          </cell>
          <cell r="E89" t="str">
            <v>bh</v>
          </cell>
        </row>
        <row r="90">
          <cell r="B90" t="str">
            <v>12.008</v>
          </cell>
          <cell r="C90" t="str">
            <v>Washtafel</v>
          </cell>
          <cell r="D90">
            <v>120000</v>
          </cell>
          <cell r="E90" t="str">
            <v>bh</v>
          </cell>
        </row>
        <row r="91">
          <cell r="B91" t="str">
            <v>12.009</v>
          </cell>
          <cell r="C91" t="str">
            <v>Urinoir</v>
          </cell>
          <cell r="D91">
            <v>500000</v>
          </cell>
          <cell r="E91" t="str">
            <v>bh</v>
          </cell>
        </row>
        <row r="93">
          <cell r="C93" t="str">
            <v>M. Bahan Penutup Atap</v>
          </cell>
        </row>
        <row r="94">
          <cell r="B94" t="str">
            <v>13.001</v>
          </cell>
          <cell r="C94" t="str">
            <v>Genteng Metal  tipe  2 X 4 tebal 0,25 mm</v>
          </cell>
          <cell r="D94">
            <v>18181.818181818184</v>
          </cell>
          <cell r="E94" t="str">
            <v>Bh</v>
          </cell>
        </row>
        <row r="95">
          <cell r="B95" t="str">
            <v>13.002</v>
          </cell>
          <cell r="C95" t="str">
            <v xml:space="preserve">Genteng bubung </v>
          </cell>
          <cell r="D95">
            <v>4600</v>
          </cell>
          <cell r="E95" t="str">
            <v>Bh</v>
          </cell>
        </row>
        <row r="96">
          <cell r="B96" t="str">
            <v>13.003</v>
          </cell>
          <cell r="C96" t="str">
            <v>Seng Plat BJLS 30 lebar 90 cm</v>
          </cell>
          <cell r="D96">
            <v>0</v>
          </cell>
          <cell r="E96" t="str">
            <v>M1</v>
          </cell>
        </row>
        <row r="98">
          <cell r="C98" t="str">
            <v>N. Bahan Alat Penggantung dan Kunci</v>
          </cell>
        </row>
        <row r="99">
          <cell r="B99" t="str">
            <v>14.001</v>
          </cell>
          <cell r="C99" t="str">
            <v>Kunci Pintu</v>
          </cell>
          <cell r="D99">
            <v>70000</v>
          </cell>
          <cell r="E99" t="str">
            <v>Set</v>
          </cell>
        </row>
        <row r="100">
          <cell r="B100" t="str">
            <v>14.002</v>
          </cell>
          <cell r="C100" t="str">
            <v>Grendel Tanam</v>
          </cell>
          <cell r="D100">
            <v>3000</v>
          </cell>
          <cell r="E100" t="str">
            <v>Set</v>
          </cell>
        </row>
        <row r="101">
          <cell r="B101" t="str">
            <v>14.003</v>
          </cell>
          <cell r="C101" t="str">
            <v>Grendel Jendela</v>
          </cell>
          <cell r="D101">
            <v>4500</v>
          </cell>
          <cell r="E101" t="str">
            <v>Set</v>
          </cell>
        </row>
        <row r="102">
          <cell r="B102" t="str">
            <v>14.004</v>
          </cell>
          <cell r="C102" t="str">
            <v>Kait Angin Jendela</v>
          </cell>
          <cell r="D102">
            <v>8000</v>
          </cell>
          <cell r="E102" t="str">
            <v>Set</v>
          </cell>
        </row>
        <row r="103">
          <cell r="B103" t="str">
            <v>14.005</v>
          </cell>
          <cell r="C103" t="str">
            <v>Engsel Pintu</v>
          </cell>
          <cell r="D103">
            <v>7000</v>
          </cell>
          <cell r="E103" t="str">
            <v>ps</v>
          </cell>
        </row>
        <row r="104">
          <cell r="B104" t="str">
            <v>14.006</v>
          </cell>
          <cell r="C104" t="str">
            <v>Engsel Jendela</v>
          </cell>
          <cell r="D104">
            <v>6000</v>
          </cell>
          <cell r="E104" t="str">
            <v>ps</v>
          </cell>
        </row>
        <row r="105">
          <cell r="B105" t="str">
            <v>14.007</v>
          </cell>
          <cell r="C105" t="str">
            <v>Kunci laci</v>
          </cell>
          <cell r="D105">
            <v>5000</v>
          </cell>
          <cell r="E105" t="str">
            <v>set</v>
          </cell>
        </row>
        <row r="107">
          <cell r="C107" t="str">
            <v>O. Bahan Jadi Penampung Tinja</v>
          </cell>
        </row>
        <row r="108">
          <cell r="B108" t="str">
            <v>15.001</v>
          </cell>
          <cell r="C108" t="str">
            <v>Ijuk</v>
          </cell>
          <cell r="D108">
            <v>5000</v>
          </cell>
          <cell r="E108" t="str">
            <v>Kg</v>
          </cell>
        </row>
        <row r="110">
          <cell r="C110" t="str">
            <v>P. Bahan Bakar dan Pelumas</v>
          </cell>
        </row>
        <row r="111">
          <cell r="B111" t="str">
            <v>16.001</v>
          </cell>
          <cell r="C111" t="str">
            <v>Minyak Solar</v>
          </cell>
          <cell r="D111">
            <v>4500</v>
          </cell>
          <cell r="E111" t="str">
            <v>Ltr</v>
          </cell>
        </row>
        <row r="112">
          <cell r="B112" t="str">
            <v>16.002</v>
          </cell>
          <cell r="C112" t="str">
            <v>Oli Mesran 40 SAE</v>
          </cell>
          <cell r="D112">
            <v>20000</v>
          </cell>
          <cell r="E112" t="str">
            <v>Ltr</v>
          </cell>
        </row>
        <row r="114">
          <cell r="C114" t="str">
            <v>Q. Alat-alat Listrik</v>
          </cell>
        </row>
        <row r="115">
          <cell r="B115" t="str">
            <v>17.001</v>
          </cell>
          <cell r="C115" t="str">
            <v xml:space="preserve">Kabel 1 1/2 mm </v>
          </cell>
          <cell r="D115">
            <v>4000</v>
          </cell>
          <cell r="E115" t="str">
            <v>M1</v>
          </cell>
        </row>
        <row r="116">
          <cell r="B116" t="str">
            <v>17.002</v>
          </cell>
          <cell r="C116" t="str">
            <v xml:space="preserve">Kabel 2 1/2 mm </v>
          </cell>
          <cell r="D116">
            <v>5000</v>
          </cell>
          <cell r="E116" t="str">
            <v>M1</v>
          </cell>
        </row>
        <row r="117">
          <cell r="B117" t="str">
            <v>17.003</v>
          </cell>
          <cell r="C117" t="str">
            <v>Saklar Tunggal setara Broco</v>
          </cell>
          <cell r="D117">
            <v>5000</v>
          </cell>
          <cell r="E117" t="str">
            <v>Bh</v>
          </cell>
        </row>
        <row r="118">
          <cell r="B118" t="str">
            <v>17.004</v>
          </cell>
          <cell r="C118" t="str">
            <v>Saklar Ganda setara Broco</v>
          </cell>
          <cell r="D118">
            <v>5000</v>
          </cell>
          <cell r="E118" t="str">
            <v>Bh</v>
          </cell>
        </row>
        <row r="119">
          <cell r="B119" t="str">
            <v>17.005</v>
          </cell>
          <cell r="C119" t="str">
            <v>Stop Kontak setara Broco</v>
          </cell>
          <cell r="D119">
            <v>5000</v>
          </cell>
          <cell r="E119" t="str">
            <v>Bh</v>
          </cell>
        </row>
        <row r="120">
          <cell r="B120" t="str">
            <v>17.006</v>
          </cell>
          <cell r="C120" t="str">
            <v>Lampu TL 20 watt setara Phillips</v>
          </cell>
          <cell r="D120">
            <v>55000</v>
          </cell>
          <cell r="E120" t="str">
            <v>Bh</v>
          </cell>
        </row>
        <row r="121">
          <cell r="B121" t="str">
            <v>17.007</v>
          </cell>
          <cell r="C121" t="str">
            <v>Lampu Pijar 25 watt setara Phillips</v>
          </cell>
          <cell r="D121">
            <v>7500</v>
          </cell>
          <cell r="E121" t="str">
            <v>Bh</v>
          </cell>
        </row>
        <row r="123">
          <cell r="B123" t="str">
            <v>18.001</v>
          </cell>
          <cell r="C123" t="str">
            <v>Air</v>
          </cell>
          <cell r="D123">
            <v>15000</v>
          </cell>
          <cell r="E123" t="str">
            <v>m3</v>
          </cell>
        </row>
        <row r="125">
          <cell r="C125" t="str">
            <v xml:space="preserve"> Upah</v>
          </cell>
        </row>
        <row r="126">
          <cell r="B126" t="str">
            <v>19.001</v>
          </cell>
          <cell r="C126" t="str">
            <v xml:space="preserve">Mandor  </v>
          </cell>
          <cell r="D126">
            <v>5625</v>
          </cell>
          <cell r="E126" t="str">
            <v>jam</v>
          </cell>
        </row>
        <row r="127">
          <cell r="B127" t="str">
            <v>19.002</v>
          </cell>
          <cell r="C127" t="str">
            <v xml:space="preserve">Tukang </v>
          </cell>
          <cell r="D127">
            <v>6250</v>
          </cell>
          <cell r="E127" t="str">
            <v>jam</v>
          </cell>
        </row>
        <row r="128">
          <cell r="B128" t="str">
            <v>19.003</v>
          </cell>
          <cell r="C128" t="str">
            <v xml:space="preserve">Pekerja </v>
          </cell>
          <cell r="D128">
            <v>4375</v>
          </cell>
          <cell r="E128" t="str">
            <v>jam</v>
          </cell>
        </row>
        <row r="130">
          <cell r="C130" t="str">
            <v>Alat</v>
          </cell>
        </row>
        <row r="131">
          <cell r="B131" t="str">
            <v>20.001</v>
          </cell>
          <cell r="C131" t="str">
            <v>Stemper</v>
          </cell>
          <cell r="D131">
            <v>10000</v>
          </cell>
          <cell r="E131" t="str">
            <v>jam</v>
          </cell>
        </row>
        <row r="132">
          <cell r="B132" t="str">
            <v>20.002</v>
          </cell>
          <cell r="C132" t="str">
            <v>Concrete Mixer</v>
          </cell>
          <cell r="D132">
            <v>7500</v>
          </cell>
          <cell r="E132" t="str">
            <v>jam</v>
          </cell>
        </row>
        <row r="133">
          <cell r="B133" t="str">
            <v>20.003</v>
          </cell>
          <cell r="C133" t="str">
            <v>Concrete Vibrator</v>
          </cell>
          <cell r="D133">
            <v>7500</v>
          </cell>
          <cell r="E133" t="str">
            <v>jam</v>
          </cell>
        </row>
        <row r="134">
          <cell r="B134" t="str">
            <v>20.004</v>
          </cell>
          <cell r="C134" t="str">
            <v>Manual Tool</v>
          </cell>
          <cell r="D134">
            <v>8000</v>
          </cell>
          <cell r="E134" t="str">
            <v>ls</v>
          </cell>
        </row>
      </sheetData>
      <sheetData sheetId="16" refreshError="1"/>
      <sheetData sheetId="17" refreshError="1"/>
      <sheetData sheetId="18"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INAT"/>
      <sheetName val="SURAT"/>
      <sheetName val="HARGA"/>
      <sheetName val="REKAP"/>
      <sheetName val="RAB"/>
      <sheetName val="METODE"/>
      <sheetName val="ASUMSI"/>
      <sheetName val="HAR-JADI"/>
      <sheetName val="SKEMA"/>
      <sheetName val="JADWAL"/>
      <sheetName val="ADM"/>
      <sheetName val="ANALISA"/>
    </sheetNames>
    <sheetDataSet>
      <sheetData sheetId="0"/>
      <sheetData sheetId="1"/>
      <sheetData sheetId="2">
        <row r="62">
          <cell r="B62" t="str">
            <v>IBRAHIM GANI</v>
          </cell>
        </row>
      </sheetData>
      <sheetData sheetId="3"/>
      <sheetData sheetId="4"/>
      <sheetData sheetId="5"/>
      <sheetData sheetId="6"/>
      <sheetData sheetId="7"/>
      <sheetData sheetId="8"/>
      <sheetData sheetId="9"/>
      <sheetData sheetId="10"/>
      <sheetData sheetId="1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REKAP"/>
      <sheetName val="volum"/>
      <sheetName val="RAB RIIL kayu"/>
      <sheetName val="analisa1"/>
      <sheetName val="bahan"/>
      <sheetName val="BOQ"/>
      <sheetName val="REKAP (2)"/>
      <sheetName val="analisa BOQ"/>
      <sheetName val="bahan BOQ"/>
      <sheetName val="Elektrikal"/>
      <sheetName val="harsat"/>
      <sheetName val="analisa ARS"/>
      <sheetName val="Upah"/>
      <sheetName val="H-SATUAN"/>
      <sheetName val="H_Satuan"/>
      <sheetName val="HS"/>
      <sheetName val="SAT"/>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NI"/>
      <sheetName val="COVER"/>
      <sheetName val="RKP1"/>
      <sheetName val="RAB1"/>
      <sheetName val="ANL1"/>
      <sheetName val="BHN1"/>
      <sheetName val="RKPUS"/>
      <sheetName val="RABUS"/>
      <sheetName val="RKP5M"/>
      <sheetName val="RAB5M"/>
      <sheetName val="RKP2"/>
      <sheetName val="RAB2"/>
      <sheetName val="ANL2"/>
      <sheetName val="BHN2"/>
      <sheetName val="vol"/>
      <sheetName val="bhn "/>
      <sheetName val="Elektrikal"/>
      <sheetName val="HB "/>
    </sheetNames>
    <sheetDataSet>
      <sheetData sheetId="0" refreshError="1"/>
      <sheetData sheetId="1" refreshError="1"/>
      <sheetData sheetId="2" refreshError="1"/>
      <sheetData sheetId="3" refreshError="1"/>
      <sheetData sheetId="4" refreshError="1"/>
      <sheetData sheetId="5" refreshError="1">
        <row r="165">
          <cell r="F165">
            <v>50000</v>
          </cell>
        </row>
        <row r="166">
          <cell r="F166">
            <v>45000</v>
          </cell>
        </row>
        <row r="171">
          <cell r="F171">
            <v>25000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ILL"/>
      <sheetName val="REKAP 1 SECTION"/>
      <sheetName val="DIREC COST"/>
      <sheetName val="BEKISTING"/>
      <sheetName val="form besi"/>
      <sheetName val="REKAP STRUCTURE"/>
      <sheetName val="BESI"/>
      <sheetName val="H_Satuan"/>
      <sheetName val="Rp"/>
      <sheetName val="Potongan"/>
      <sheetName val="BPM"/>
      <sheetName val="Master 1.0"/>
      <sheetName val="H_Satuan1"/>
      <sheetName val="REKAP_1_SECTION"/>
      <sheetName val="DIREC_COST"/>
      <sheetName val="form_besi"/>
      <sheetName val="REKAP_STRUCTURE"/>
      <sheetName val="lamp. 12"/>
      <sheetName val="GRAND REKAP"/>
      <sheetName val="ANALISA GRS TENGAH"/>
      <sheetName val="A-11 Steel Str (2)"/>
      <sheetName val="HARGA ME"/>
      <sheetName val="J"/>
      <sheetName val="4"/>
      <sheetName val="Pipe"/>
      <sheetName val="I-KAMAR"/>
      <sheetName val="ANAL2"/>
      <sheetName val="Analisa Upah &amp; Bahan Plum"/>
      <sheetName val="IPL_SCHEDULE"/>
      <sheetName val="Cover"/>
      <sheetName val="Bill of Qty MEP"/>
      <sheetName val="D-1"/>
      <sheetName val="D4"/>
      <sheetName val="D6"/>
      <sheetName val="D7"/>
      <sheetName val="D8"/>
      <sheetName val="AHS"/>
      <sheetName val="BAHAN &amp; UPAH"/>
      <sheetName val="Basement Estimate"/>
      <sheetName val="bhn "/>
      <sheetName val="ANALISA"/>
      <sheetName val="Analisa Prov'07"/>
      <sheetName val="SEX"/>
      <sheetName val="Material"/>
      <sheetName val="HSTANAH.XLS"/>
      <sheetName val="351BQMCN"/>
      <sheetName val="BQ ARS"/>
      <sheetName val="Harsat"/>
      <sheetName val="FORM X COST"/>
      <sheetName val="Mobilisasi"/>
      <sheetName val="EK"/>
      <sheetName val="Analisa &amp; Upah"/>
      <sheetName val="Koefisien"/>
      <sheetName val="BID_PRC"/>
      <sheetName val="PRC_COMP"/>
      <sheetName val="Instalasi"/>
      <sheetName val="ch"/>
      <sheetName val="Summary"/>
      <sheetName val="REQDELTA"/>
      <sheetName val="H-BHN"/>
      <sheetName val="unit rate-b3"/>
      <sheetName val="rekap.c"/>
      <sheetName val="an el"/>
      <sheetName val="PLUMBING 2"/>
      <sheetName val="Bahan"/>
      <sheetName val="Hrg"/>
      <sheetName val="upah"/>
      <sheetName val="crewlist S"/>
      <sheetName val="daftar Upah"/>
      <sheetName val="Pos 4-1"/>
      <sheetName val="Harga "/>
      <sheetName val="vol. ARS"/>
      <sheetName val="anl"/>
      <sheetName val="kusen"/>
      <sheetName val="TOTAL SPK"/>
      <sheetName val="villa"/>
      <sheetName val="rek det 1-3"/>
      <sheetName val="prog-mgu"/>
      <sheetName val="As"/>
      <sheetName val="Estimate"/>
      <sheetName val="01A- RAB"/>
      <sheetName val="rab me (by owner) "/>
      <sheetName val="BQ (by owner)"/>
      <sheetName val="rab me (fisik)"/>
      <sheetName val="JUDUL"/>
      <sheetName val="ELEVATED SLAB"/>
      <sheetName val="Analisa 2"/>
      <sheetName val="induk1"/>
      <sheetName val="rab"/>
      <sheetName val="HARGA MATERIAL"/>
      <sheetName val="HS"/>
      <sheetName val="coeff"/>
      <sheetName val="Cash2"/>
      <sheetName val="Memb Schd"/>
      <sheetName val="BQ"/>
      <sheetName val="JABATAN"/>
      <sheetName val="DATA"/>
      <sheetName val="Elektrikal"/>
      <sheetName val="Analisa Upah _ Bahan Plum"/>
      <sheetName val="HB "/>
      <sheetName val="Hrg_Sat"/>
      <sheetName val="Hargamat"/>
      <sheetName val="Analisa Harga Satuan"/>
      <sheetName val="INDEKS"/>
      <sheetName val="tknk"/>
      <sheetName val="basic_price"/>
      <sheetName val="HSTANAH"/>
      <sheetName val="HSBETON"/>
      <sheetName val="CV"/>
      <sheetName val="Harga Bahan"/>
      <sheetName val="ISBL-CIV"/>
      <sheetName val="REF.ONLY"/>
      <sheetName val="Du_lieu"/>
      <sheetName val="satuan_pek_ars"/>
      <sheetName val="tb"/>
      <sheetName val="H_Satuan2"/>
      <sheetName val="REKAP_1_SECTION1"/>
      <sheetName val="DIREC_COST1"/>
      <sheetName val="form_besi1"/>
      <sheetName val="REKAP_STRUCTURE1"/>
      <sheetName val="Master_1_0"/>
      <sheetName val="lamp__12"/>
      <sheetName val="GRAND_REKAP"/>
      <sheetName val="A-11_Steel_Str_(2)"/>
      <sheetName val="Analisa_Upah_&amp;_Bahan_Plum"/>
      <sheetName val="ANALISA_GRS_TENGAH"/>
      <sheetName val="BAHAN_&amp;_UPAH"/>
      <sheetName val="Analisa_&amp;_Upah"/>
      <sheetName val="LO"/>
      <sheetName val="REKAP"/>
      <sheetName val="Upah Bahan"/>
      <sheetName val="A"/>
      <sheetName val="MAP"/>
      <sheetName val="POS-4.1"/>
      <sheetName val="Rekap Dc"/>
      <sheetName val="PHU 05"/>
      <sheetName val="MAP-2"/>
      <sheetName val="NM"/>
      <sheetName val="LIFT DOM"/>
      <sheetName val="daftar harga"/>
      <sheetName val="struktur"/>
      <sheetName val="ESCON"/>
      <sheetName val="dboard( asli)"/>
      <sheetName val="RAB STR JETTY &amp; F.PENUNJANG"/>
      <sheetName val="Sheet6"/>
      <sheetName val="RAB_HREZ"/>
      <sheetName val="ANAL_HREZ"/>
      <sheetName val="NAME"/>
      <sheetName val="Supply Agrmnt"/>
      <sheetName val="Bengkel_str"/>
      <sheetName val="Bengkel_fin"/>
      <sheetName val="Pagar_hal"/>
      <sheetName val="Fasilitas"/>
      <sheetName val="AC_C"/>
      <sheetName val="Harga satuan"/>
      <sheetName val="HB0703"/>
      <sheetName val="APP-9"/>
      <sheetName val="Informasi"/>
      <sheetName val="koef"/>
      <sheetName val="Progres"/>
      <sheetName val="Currency Rate"/>
      <sheetName val="DAF-1"/>
      <sheetName val="Testing"/>
      <sheetName val="BM"/>
      <sheetName val="Pt"/>
      <sheetName val="Analisa RAB"/>
      <sheetName val="metode"/>
      <sheetName val="Daf 1"/>
      <sheetName val="gaji"/>
      <sheetName val="Sheet1"/>
      <sheetName val="FORM 3A"/>
      <sheetName val="Perhitungan RAB"/>
      <sheetName val="Tabel_Bantu"/>
      <sheetName val="Scedule"/>
      <sheetName val="harga2014"/>
      <sheetName val="RAB RIIL kayu"/>
      <sheetName val="HPP"/>
      <sheetName val="HSD"/>
      <sheetName val="Indirect Cost"/>
      <sheetName val="SERVICES FEE"/>
      <sheetName val="Foundation"/>
      <sheetName val="Pancang"/>
      <sheetName val="BD Cvl"/>
      <sheetName val="Diskon"/>
      <sheetName val="Conveyor"/>
      <sheetName val="Erection SS"/>
      <sheetName val="Civil-Structure"/>
      <sheetName val="UAHS"/>
      <sheetName val="Eng"/>
      <sheetName val="단중표"/>
      <sheetName val="Harga ME "/>
      <sheetName val="B-P"/>
      <sheetName val="HARSAT-lhn"/>
      <sheetName val="Peralatan"/>
      <sheetName val="Unit Rate Indirect"/>
      <sheetName val="dia-in"/>
      <sheetName val="견적기준"/>
      <sheetName val="Anls"/>
      <sheetName val="Hrg-Das"/>
      <sheetName val="Anal-1"/>
      <sheetName val="BAHAN-2"/>
      <sheetName val="17.ALS-saluran+BC"/>
      <sheetName val="HARGA UPAH"/>
      <sheetName val="Sewa Alat-1"/>
      <sheetName val="pricing"/>
      <sheetName val="Rkp"/>
      <sheetName val="I_KAMAR"/>
      <sheetName val="Sit1"/>
      <sheetName val="DivX"/>
      <sheetName val="PENAWARAN"/>
      <sheetName val="i-j. Pengalaman"/>
      <sheetName val="R"/>
      <sheetName val="2-AHSP"/>
      <sheetName val="bhn-upah"/>
      <sheetName val="Ur_Pil"/>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rbhn"/>
      <sheetName val="HARDAS"/>
      <sheetName val="waktu"/>
      <sheetName val="Sub"/>
      <sheetName val="UMUM"/>
      <sheetName val="ANGGARAN"/>
      <sheetName val="grafik"/>
      <sheetName val="Rekap-SD"/>
      <sheetName val="pemasaran2013"/>
      <sheetName val="3. KONTRAK(stu)"/>
      <sheetName val="hsat-SD"/>
      <sheetName val="an-satuan"/>
      <sheetName val="COST"/>
      <sheetName val="D2.4"/>
      <sheetName val="D3-3"/>
      <sheetName val="D4.3 (TE)"/>
      <sheetName val="D5.3 (TF) "/>
      <sheetName val="D8.3 (TJ)"/>
      <sheetName val="AC"/>
      <sheetName val="HIDRO"/>
      <sheetName val="HRG BHN"/>
      <sheetName val="DAF-2"/>
      <sheetName val="Fill this out first___"/>
      <sheetName val="KP1590_E"/>
      <sheetName val="PAKET 1"/>
      <sheetName val="Progress"/>
      <sheetName val="WRItten(2)"/>
      <sheetName val="AnalisaSIPIL RIIL RAP"/>
      <sheetName val="Time Schedule"/>
      <sheetName val="Bill of Qty"/>
      <sheetName val="SITE-E"/>
      <sheetName val="Sum"/>
      <sheetName val="Bill rekap"/>
      <sheetName val="ahas-ins"/>
      <sheetName val="dasar"/>
      <sheetName val="A Paint Jotun Penguard"/>
      <sheetName val="BOQ ori"/>
      <sheetName val="SUB TOTAL___"/>
      <sheetName val="DKH"/>
      <sheetName val="3-DIV5"/>
      <sheetName val="HSA &amp; PAB"/>
      <sheetName val="Harga Upah "/>
      <sheetName val="Mon Upah"/>
      <sheetName val="bukan PNS"/>
      <sheetName val="TOTAL"/>
      <sheetName val="JUML-SDM"/>
      <sheetName val="Harga"/>
      <sheetName val="Harsat Bahan"/>
      <sheetName val="H Satuan Dasar"/>
      <sheetName val="Analisa Tekhnis"/>
      <sheetName val="SD (1)"/>
      <sheetName val="OP. PERJAM"/>
      <sheetName val="K.Lokal"/>
      <sheetName val="B. PERSONIL"/>
      <sheetName val="HASAT DASAR"/>
      <sheetName val="SBDY Jemb Tayan"/>
      <sheetName val="anal pipa"/>
      <sheetName val="Harsat Upah"/>
      <sheetName val="Hrg Upah Bhn"/>
      <sheetName val="DAFTAR HARGA BAHAN "/>
      <sheetName val="GFA-20-N"/>
      <sheetName val="FORM 7"/>
      <sheetName val="AHS (ci,str,ars)"/>
      <sheetName val="Evaporator"/>
      <sheetName val="Harga Sat Das"/>
      <sheetName val="NP"/>
      <sheetName val="Brdw"/>
      <sheetName val="KEUANGAN"/>
      <sheetName val="RENCANA KERJA"/>
      <sheetName val="Rumus"/>
      <sheetName val="5-Peralatan"/>
      <sheetName val="Anal "/>
      <sheetName val="TOEVOER"/>
      <sheetName val="BE-02"/>
      <sheetName val="Sheet3"/>
      <sheetName val="rekapan"/>
      <sheetName val="Scenario"/>
      <sheetName val="TS"/>
      <sheetName val="FORM_X_COST"/>
      <sheetName val="Analisa_Upah___Bahan_Plum"/>
      <sheetName val="rekap_c"/>
      <sheetName val="HSTANAH_XLS"/>
      <sheetName val="PLUMBING_2"/>
      <sheetName val="BQ_ARS"/>
      <sheetName val="bhn_"/>
      <sheetName val="Supply_Agrmnt"/>
      <sheetName val="an_el"/>
      <sheetName val="Memb_Schd"/>
      <sheetName val="daftar_Upah"/>
      <sheetName val="Pos_4-1"/>
      <sheetName val="Harga_"/>
      <sheetName val="vol__ARS"/>
      <sheetName val="TOTAL_SPK"/>
      <sheetName val="POS-4_1"/>
      <sheetName val="Rekap_Dc"/>
      <sheetName val="PHU_05"/>
      <sheetName val="Bill_of_Qty_MEP"/>
      <sheetName val="Basement_Estimate"/>
      <sheetName val="HARGA_ME"/>
      <sheetName val="Analisa_2"/>
      <sheetName val="HARGA_MATERIAL"/>
      <sheetName val="ELEVATED_SLAB"/>
      <sheetName val="unit_rate-b3"/>
      <sheetName val="rab_me_(by_owner)_"/>
      <sheetName val="BQ_(by_owner)"/>
      <sheetName val="rab_me_(fisik)"/>
      <sheetName val="01A-_RAB"/>
      <sheetName val="Analisa_Harga_Satuan"/>
      <sheetName val="Harga_Bahan"/>
      <sheetName val="Daf_1"/>
      <sheetName val="HB_"/>
      <sheetName val="rek_det_1-3"/>
      <sheetName val="daftar_harga"/>
      <sheetName val="REF_ONLY"/>
      <sheetName val="Agregat Halus &amp; Kasar"/>
      <sheetName val="Pricing-2"/>
      <sheetName val="Harga Bahan &amp; Upah"/>
      <sheetName val="TABLE"/>
      <sheetName val="h-013211-2"/>
      <sheetName val="610.04"/>
      <sheetName val="???"/>
      <sheetName val="struktur tdk dipakai"/>
      <sheetName val="Evaluasi"/>
      <sheetName val="Terbilang"/>
      <sheetName val="2. Informasi"/>
      <sheetName val="Uraian Teknis"/>
      <sheetName val="Surat Pernyataan"/>
      <sheetName val="Perm. Test"/>
      <sheetName val="Unit Cost"/>
      <sheetName val="Sec I ML"/>
      <sheetName val="Analisa RAP"/>
      <sheetName val="Bahan B"/>
      <sheetName val="RAP"/>
      <sheetName val="Telusur"/>
      <sheetName val="Upah B"/>
      <sheetName val="ANALISA GR"/>
      <sheetName val="ANALISA GR_x0000__x0000__x0000__x0000__x0000_GAH"/>
      <sheetName val="ANALISA GR?????GAH"/>
      <sheetName val="G_SUMMARY"/>
      <sheetName val="BQ PABX"/>
      <sheetName val="BAHAN "/>
      <sheetName val="Rekap Direct Cost"/>
      <sheetName val="H.SAT"/>
      <sheetName val="PileCap"/>
      <sheetName val="Ana-ALAT"/>
      <sheetName val="10 yr val"/>
      <sheetName val="Input"/>
      <sheetName val="Financials"/>
      <sheetName val="Isolasi Luar Dalam"/>
      <sheetName val="Isolasi Luar"/>
      <sheetName val="Jabar"/>
      <sheetName val="Jateng"/>
      <sheetName val="Jatim"/>
      <sheetName val="Pusat"/>
      <sheetName val="Sulawesi"/>
      <sheetName val="Sumbagsel"/>
      <sheetName val="fill in first"/>
      <sheetName val="Harsat Pekerjaan"/>
      <sheetName val="faktor"/>
      <sheetName val="DF-7 (2)"/>
      <sheetName val="DF-7"/>
      <sheetName val="Door &amp; Window Podium"/>
      <sheetName val="San PD"/>
      <sheetName val="Mall"/>
      <sheetName val="Kuantitas &amp; Harga"/>
      <sheetName val="Str A"/>
      <sheetName val="Analisa Tend"/>
      <sheetName val="Harga bahan-1"/>
      <sheetName val="rekap1"/>
      <sheetName val="DETAIL POS 123"/>
      <sheetName val="___"/>
      <sheetName val="COST SUMM"/>
      <sheetName val="Quantity"/>
      <sheetName val="SP"/>
      <sheetName val="Structure"/>
      <sheetName val="ahs1"/>
      <sheetName val="ahs3"/>
      <sheetName val="HPP TOTAL"/>
      <sheetName val="HPP 3 Tower"/>
      <sheetName val="ANALISA GR_____GAH"/>
      <sheetName val="NEX24 DB"/>
      <sheetName val="Har Sat"/>
      <sheetName val="RAB REVISI"/>
      <sheetName val="Lamp_V"/>
      <sheetName val="Indirect_Const"/>
      <sheetName val="DFT_ HRG BHN _ UPAH"/>
      <sheetName val="ANALISA STR _ ARS"/>
      <sheetName val="ANALISA GR_x005f_x0000__x005f_x0000__x005f_x0000_"/>
      <sheetName val="hafele"/>
      <sheetName val="An-Alat"/>
      <sheetName val="JALAN"/>
      <sheetName val="FAK"/>
      <sheetName val="DRUP (ASLI)"/>
      <sheetName val="bayar_04_fak"/>
      <sheetName val="analisa el"/>
      <sheetName val="SAT-DAS"/>
      <sheetName val="RANGE BAHAN"/>
      <sheetName val="Pengujian"/>
      <sheetName val="HSatuan"/>
      <sheetName val="Daftar Staff"/>
      <sheetName val="dasboard"/>
      <sheetName val="boq"/>
      <sheetName val="HRG BAHAN &amp; UPAH okk"/>
      <sheetName val="Analis Kusen okk"/>
      <sheetName val="Ana. PU"/>
      <sheetName val="Anls Hrg Sat"/>
      <sheetName val="bilangan"/>
      <sheetName val="JobSheet"/>
      <sheetName val="Analisa-Harga"/>
      <sheetName val="Personil"/>
      <sheetName val="H_Satuan3"/>
      <sheetName val="REKAP_1_SECTION2"/>
      <sheetName val="DIREC_COST2"/>
      <sheetName val="form_besi2"/>
      <sheetName val="REKAP_STRUCTURE2"/>
      <sheetName val="lamp__121"/>
      <sheetName val="Master_1_01"/>
      <sheetName val="GRAND_REKAP1"/>
      <sheetName val="A-11_Steel_Str_(2)1"/>
      <sheetName val="Analisa_&amp;_Upah1"/>
      <sheetName val="ANALISA_GRS_TENGAH1"/>
      <sheetName val="BAHAN_&amp;_UPAH1"/>
      <sheetName val="Analisa_Upah_&amp;_Bahan_Plum1"/>
      <sheetName val="17_ALS-saluran+BC"/>
      <sheetName val="HARGA_UPAH"/>
      <sheetName val="Sewa_Alat-1"/>
      <sheetName val="Harga_Sat_Das"/>
      <sheetName val="Harga_satuan"/>
      <sheetName val="crewlist_S"/>
      <sheetName val="Harga_ME_"/>
      <sheetName val="Upah_Bahan"/>
      <sheetName val="LIFT_DOM"/>
      <sheetName val="dboard(_asli)"/>
      <sheetName val="RAB_STR_JETTY_&amp;_F_PENUNJANG"/>
      <sheetName val="Currency_Rate"/>
      <sheetName val="Analisa_RAB"/>
      <sheetName val="FORM_3A"/>
      <sheetName val="Perhitungan_RAB"/>
      <sheetName val="RAB_RIIL_kayu"/>
      <sheetName val="Indirect_Cost"/>
      <sheetName val="SERVICES_FEE"/>
      <sheetName val="BD_Cvl"/>
      <sheetName val="Erection_SS"/>
      <sheetName val="Unit_Rate_Indirect"/>
      <sheetName val="Master"/>
      <sheetName val="Analisa (ok punya)"/>
      <sheetName val="ANALISA GR_x005f_x005f_x005f_x0000__x005f_x005f_x"/>
      <sheetName val="B-PRICE"/>
      <sheetName val="DIVI6"/>
      <sheetName val="Bill 4.1"/>
      <sheetName val="61004"/>
      <sheetName val="tifico"/>
      <sheetName val="Div2"/>
      <sheetName val="HarDas-Ops."/>
      <sheetName val="6-AGREGAT"/>
      <sheetName val="Sheet2"/>
      <sheetName val="3"/>
      <sheetName val="Batal"/>
      <sheetName val="Basic"/>
      <sheetName val="B.1"/>
      <sheetName val="B.10"/>
      <sheetName val="B.11"/>
      <sheetName val="B.12"/>
      <sheetName val="B.13"/>
      <sheetName val="B.14"/>
      <sheetName val="B.15"/>
      <sheetName val="B.16"/>
      <sheetName val="B.17"/>
      <sheetName val="B.18"/>
      <sheetName val="B.2"/>
      <sheetName val="B.20"/>
      <sheetName val="B.21"/>
      <sheetName val="B.22"/>
      <sheetName val="B.23"/>
      <sheetName val="B.24"/>
      <sheetName val="B.25"/>
      <sheetName val="B.26"/>
      <sheetName val="B.28"/>
      <sheetName val="B.29"/>
      <sheetName val="B.3"/>
      <sheetName val="B.30"/>
      <sheetName val="B.4"/>
      <sheetName val="B.5"/>
      <sheetName val="B.6"/>
      <sheetName val="B.7"/>
      <sheetName val="B.8"/>
      <sheetName val="HARGA DASAR"/>
      <sheetName val="Analisa Harga"/>
      <sheetName val="Pgr Jl.I.Bale"/>
      <sheetName val="Rekap Bill"/>
      <sheetName val="Menu"/>
      <sheetName val="4-Basic Price"/>
      <sheetName val="5-ALAT(1)"/>
      <sheetName val="ANALIS"/>
      <sheetName val="Amount"/>
      <sheetName val="Sumber Daya"/>
      <sheetName val="SAT EL"/>
      <sheetName val="anal_pipa"/>
      <sheetName val="Harsat_Upah"/>
      <sheetName val="PAKET_1"/>
      <sheetName val="Agregat_Halus_&amp;_Kasar"/>
      <sheetName val="bukan_PNS"/>
      <sheetName val="Mon_Upah"/>
      <sheetName val="Time_Schedule"/>
      <sheetName val="i-j__Pengalaman"/>
      <sheetName val="Analisa_Tekhnis"/>
      <sheetName val="3__KONTRAK(stu)"/>
      <sheetName val="HRG_BHN"/>
      <sheetName val="A_Paint_Jotun_Penguard"/>
      <sheetName val="BOQ_ori"/>
      <sheetName val="Fill_this_out_first___"/>
      <sheetName val="AnalisaSIPIL_RIIL_RAP"/>
      <sheetName val="SUB_TOTAL___"/>
      <sheetName val="ANALISA_GRGAH"/>
      <sheetName val="Analisa_RAP"/>
      <sheetName val="Bahan_B"/>
      <sheetName val="Upah_B"/>
      <sheetName val="HSA_&amp;_PAB"/>
      <sheetName val="Harga_Upah_"/>
      <sheetName val="2__Informasi"/>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SAT_DASAR"/>
      <sheetName val="SBDY_Jemb_Tayan"/>
      <sheetName val="Uraian_Teknis"/>
      <sheetName val="1.B"/>
      <sheetName val="概総括1"/>
      <sheetName val="電気設備表"/>
      <sheetName val="112-885"/>
      <sheetName val="UMUM-PU"/>
      <sheetName val="bau"/>
      <sheetName val="7.1(3)"/>
      <sheetName val="Faktor Konversi"/>
      <sheetName val="DATABASE"/>
      <sheetName val="H Sat Jembatan"/>
      <sheetName val="IPA1"/>
      <sheetName val="AHS - Riel"/>
      <sheetName val="H-SATUAN"/>
      <sheetName val="analisa panel"/>
      <sheetName val="Har-mat"/>
      <sheetName val="Har_mat"/>
      <sheetName val="ANALISA GR_x0000__x0000__x0000_"/>
      <sheetName val="ANALISA GR_x005f_x0000__x"/>
      <sheetName val="ANALISA GR_x005f_x005f_x0"/>
      <sheetName val="HRPar"/>
      <sheetName val="PRY 03-1 (Amd1)"/>
      <sheetName val="DHS"/>
      <sheetName val="Konfirm"/>
      <sheetName val="BOQ SNJ 1"/>
      <sheetName val="DKH CCO 1A"/>
      <sheetName val="DKH CCO 1B R-1"/>
      <sheetName val="Invoice"/>
      <sheetName val="Daftar Upah, Hrg Bhn &amp; Pralatan"/>
      <sheetName val="7_16"/>
      <sheetName val="BILL OF QUAN"/>
      <sheetName val="REGION"/>
      <sheetName val="OFFGRID"/>
      <sheetName val="data-pendukung"/>
      <sheetName val="MAPDC"/>
      <sheetName val="DIV1"/>
      <sheetName val="prelim"/>
      <sheetName val="Rupiah"/>
      <sheetName val="Sales"/>
      <sheetName val="Material&amp;Alat"/>
      <sheetName val="MT_an"/>
      <sheetName val="Uba"/>
      <sheetName val="Urai _ Guide Post"/>
      <sheetName val="Urai_Galian Tanah"/>
      <sheetName val="Anal. Alat"/>
      <sheetName val="antek12a-13"/>
      <sheetName val="BHN-ALAT"/>
      <sheetName val="ANAL_P4"/>
      <sheetName val="ANTEK"/>
      <sheetName val="PRD 01-6(I-II)"/>
      <sheetName val="PRD 01-7 alat"/>
      <sheetName val="5-Alat"/>
      <sheetName val="4-Price"/>
      <sheetName val="4-Quarry"/>
      <sheetName val="an.el"/>
      <sheetName val="An.AC &amp; Plb"/>
      <sheetName val="bau-6"/>
      <sheetName val="prd01-5"/>
      <sheetName val="DIV.2"/>
      <sheetName val="anls space frame"/>
      <sheetName val="hrg.bhn"/>
      <sheetName val="ISIAN"/>
      <sheetName val="Basic Price"/>
      <sheetName val="Unit Price"/>
      <sheetName val="2703.1"/>
      <sheetName val="LISTRIK"/>
      <sheetName val="BQ-E20-02(Rp)"/>
      <sheetName val="ARITMATIK"/>
      <sheetName val="ARL"/>
      <sheetName val="CB"/>
      <sheetName val="KBL"/>
      <sheetName val="TRY"/>
      <sheetName val="PV"/>
      <sheetName val="BHN1"/>
      <sheetName val="ANALISA-HST"/>
      <sheetName val="00000"/>
      <sheetName val="10000"/>
      <sheetName val="FINAL"/>
      <sheetName val="JDWL"/>
      <sheetName val="Analisa Harga Sat"/>
      <sheetName val="Lamp -3"/>
      <sheetName val="Lamp -6"/>
      <sheetName val="PV Harga Sat"/>
      <sheetName val="PV-Alat"/>
      <sheetName val="PV-Mat"/>
      <sheetName val="PV-Tenaga"/>
      <sheetName val="Analisa Alat"/>
      <sheetName val="Analisa Alat Dredger"/>
      <sheetName val="SUBKON"/>
      <sheetName val="Analisa Tehnik 1"/>
      <sheetName val="Analisa Tehnik"/>
      <sheetName val="Pendukung"/>
      <sheetName val="Pendukung 1"/>
      <sheetName val="Sheet4"/>
      <sheetName val="Pek Tanah"/>
      <sheetName val="AT.B&amp;B"/>
      <sheetName val="Pep-Persiapan"/>
      <sheetName val="Bahan&amp;Upah"/>
      <sheetName val="PREAM"/>
      <sheetName val="Sat~Bahu"/>
      <sheetName val="index"/>
      <sheetName val="4  PEK. LUAR"/>
      <sheetName val="RABP"/>
      <sheetName val="RATE&amp;FCTR"/>
      <sheetName val="analisa asumsi Me"/>
      <sheetName val="Bhn"/>
      <sheetName val="Prod 02"/>
      <sheetName val="Stock Material"/>
      <sheetName val="EP-PROD-01"/>
      <sheetName val="metod"/>
      <sheetName val="W-NAD"/>
      <sheetName val="PriceList"/>
      <sheetName val="AnaSch2"/>
      <sheetName val="FORM BQ TL PRATU 4cct"/>
      <sheetName val="VAC BDWN"/>
      <sheetName val="General Intem"/>
      <sheetName val="STR - 2B"/>
      <sheetName val="asumsi"/>
      <sheetName val="TATA UDARA"/>
      <sheetName val="EurotoolsXRates"/>
      <sheetName val="Resume"/>
      <sheetName val="Mat"/>
      <sheetName val="Harga Sat."/>
      <sheetName val="Kuantitas &amp; Harga Seg.1"/>
      <sheetName val="BAG-2"/>
      <sheetName val="Price"/>
      <sheetName val="BOM BMS"/>
      <sheetName val="TC"/>
      <sheetName val="1.General "/>
      <sheetName val="REKAP  (1)"/>
      <sheetName val="AWAL"/>
      <sheetName val="Biaya"/>
      <sheetName val="Pemindahan Penduduk "/>
      <sheetName val="ESC"/>
      <sheetName val="HSU"/>
      <sheetName val="12CGOU"/>
      <sheetName val="Pek.persiapan"/>
      <sheetName val="Daf-3.1.2 Pintu, Jendela, TWA"/>
      <sheetName val="Daf-3.1.4 Plafond TWA"/>
      <sheetName val="komponen"/>
      <sheetName val="Upah&amp;bahan"/>
      <sheetName val="Master Edit"/>
      <sheetName val="UPH,BHN,ALT"/>
      <sheetName val="Analis harga"/>
      <sheetName val="B"/>
      <sheetName val="anal_hs"/>
      <sheetName val="대비표"/>
      <sheetName val="2.2"/>
      <sheetName val="Jamuan"/>
      <sheetName val="Keanggotaan"/>
      <sheetName val="Majalah"/>
      <sheetName val="Pjk.Kend &amp; Parkir&amp;Tanah"/>
      <sheetName val="Pak Din(510)"/>
      <sheetName val="PBB"/>
      <sheetName val="P.Didik&amp;BinaPeg "/>
      <sheetName val="SPPD"/>
      <sheetName val="Daftar Harga Satuan Gaji"/>
      <sheetName val="Daftar Harga Satuan Bahan"/>
      <sheetName val="Assumption &amp; Dashboard."/>
      <sheetName val="Lumpsum"/>
      <sheetName val="Fixset"/>
      <sheetName val="ANALYS EXTERN"/>
      <sheetName val="Man Power"/>
      <sheetName val="ana"/>
      <sheetName val="BQ EXTERN"/>
      <sheetName val="HSLAIN-LAIN"/>
      <sheetName val="Alat"/>
      <sheetName val="Analisa Gabungan"/>
      <sheetName val="NPV"/>
      <sheetName val="u_rates"/>
      <sheetName val="Bill_of_Qty_MEP1"/>
      <sheetName val="Basement_Estimate1"/>
      <sheetName val="PLUMBING_21"/>
      <sheetName val="HSTANAH_XLS1"/>
      <sheetName val="FORM_X_COST1"/>
      <sheetName val="HARGA_ME1"/>
      <sheetName val="rab_me_(by_owner)_1"/>
      <sheetName val="BQ_(by_owner)1"/>
      <sheetName val="rab_me_(fisik)1"/>
      <sheetName val="rekap_c1"/>
      <sheetName val="an_el1"/>
      <sheetName val="01A-_RAB1"/>
      <sheetName val="ELEVATED_SLAB1"/>
      <sheetName val="HARGA_MATERIAL1"/>
      <sheetName val="BQ_ARS1"/>
      <sheetName val="bhn_1"/>
      <sheetName val="Analisa_21"/>
      <sheetName val="unit_rate-b31"/>
      <sheetName val="Pos_4-11"/>
      <sheetName val="Harga_1"/>
      <sheetName val="vol__ARS1"/>
      <sheetName val="TOTAL_SPK1"/>
      <sheetName val="Memb_Schd1"/>
      <sheetName val="daftar_Upah1"/>
      <sheetName val="Analisa_Harga_Satuan1"/>
      <sheetName val="Analisa_Upah___Bahan_Plum1"/>
      <sheetName val="HB_1"/>
      <sheetName val="rek_det_1-31"/>
      <sheetName val="Daf_11"/>
      <sheetName val="Supply_Agrmnt1"/>
      <sheetName val="Harga_Bahan1"/>
      <sheetName val="REF_ONLY1"/>
      <sheetName val="PHU_051"/>
      <sheetName val="POS-4_11"/>
      <sheetName val="Rekap_Dc1"/>
      <sheetName val="daftar_harga1"/>
      <sheetName val="FORM_7"/>
      <sheetName val="AHS_(ci,str,ars)"/>
      <sheetName val="RENCANA_KERJA"/>
      <sheetName val="Bill_of_Qty"/>
      <sheetName val="D2_4"/>
      <sheetName val="D4_3_(TE)"/>
      <sheetName val="D5_3_(TF)_"/>
      <sheetName val="D8_3_(TJ)"/>
      <sheetName val="SD_(1)"/>
      <sheetName val="struktur_tdk_dipakai"/>
      <sheetName val="BID(RI01)"/>
      <sheetName val="ANALISA-SNI"/>
      <sheetName val="Rekap Total"/>
      <sheetName val="Reference"/>
      <sheetName val="BAP"/>
      <sheetName val="JADUAL"/>
      <sheetName val="KODE"/>
      <sheetName val="TJ1Q47"/>
      <sheetName val="Bilang"/>
      <sheetName val="RANGKUMAN"/>
      <sheetName val="REK"/>
      <sheetName val="MPU"/>
      <sheetName val="MAJ"/>
      <sheetName val="MET-utama"/>
      <sheetName val="MET"/>
      <sheetName val="MOB"/>
      <sheetName val="URAI"/>
      <sheetName val="PLANT"/>
      <sheetName val="BATU"/>
      <sheetName val="DLAT"/>
      <sheetName val="DLAT (2)"/>
      <sheetName val="SCHED"/>
      <sheetName val="STAF"/>
      <sheetName val="MET-RUT"/>
      <sheetName val="DLAMP"/>
      <sheetName val="RUT"/>
      <sheetName val="div4"/>
      <sheetName val="div71"/>
      <sheetName val="div7"/>
      <sheetName val="div31"/>
      <sheetName val="div3"/>
      <sheetName val=" REKAP B GEDUNG PRAMUKA"/>
      <sheetName val="A PENDOPO"/>
      <sheetName val="pond"/>
      <sheetName val="dind"/>
      <sheetName val="kayu"/>
      <sheetName val="langit"/>
      <sheetName val="B. GEDUNG PRAMUKA"/>
      <sheetName val="SURAT PENAWARAN"/>
      <sheetName val=" REKAP A PENDOPO"/>
      <sheetName val=" SAT PL"/>
      <sheetName val="RAB.SEKRETARIAT (1)"/>
      <sheetName val="AHS_-_Riel"/>
      <sheetName val="ANALISA_GR?????GAH"/>
      <sheetName val="Surat_Pernyataan"/>
      <sheetName val="610_04"/>
      <sheetName val="H_Satuan4"/>
      <sheetName val="REKAP_1_SECTION3"/>
      <sheetName val="DIREC_COST3"/>
      <sheetName val="form_besi3"/>
      <sheetName val="REKAP_STRUCTURE3"/>
      <sheetName val="Master_1_02"/>
      <sheetName val="lamp__122"/>
      <sheetName val="A-11_Steel_Str_(2)2"/>
      <sheetName val="ANALISA_GRS_TENGAH2"/>
      <sheetName val="GRAND_REKAP2"/>
      <sheetName val="Analisa_&amp;_Upah2"/>
      <sheetName val="Analisa_Upah_&amp;_Bahan_Plum2"/>
      <sheetName val="BAHAN_&amp;_UPAH2"/>
      <sheetName val="Bill_of_Qty_MEP2"/>
      <sheetName val="Basement_Estimate2"/>
      <sheetName val="PLUMBING_22"/>
      <sheetName val="HSTANAH_XLS2"/>
      <sheetName val="FORM_X_COST2"/>
      <sheetName val="HARGA_ME2"/>
      <sheetName val="rab_me_(by_owner)_2"/>
      <sheetName val="BQ_(by_owner)2"/>
      <sheetName val="rab_me_(fisik)2"/>
      <sheetName val="rekap_c2"/>
      <sheetName val="an_el2"/>
      <sheetName val="01A-_RAB2"/>
      <sheetName val="ELEVATED_SLAB2"/>
      <sheetName val="HARGA_MATERIAL2"/>
      <sheetName val="BQ_ARS2"/>
      <sheetName val="bhn_2"/>
      <sheetName val="Analisa_22"/>
      <sheetName val="unit_rate-b32"/>
      <sheetName val="Pos_4-12"/>
      <sheetName val="Harga_2"/>
      <sheetName val="vol__ARS2"/>
      <sheetName val="TOTAL_SPK2"/>
      <sheetName val="Memb_Schd2"/>
      <sheetName val="daftar_Upah2"/>
      <sheetName val="Analisa_Harga_Satuan2"/>
      <sheetName val="Analisa_Upah___Bahan_Plum2"/>
      <sheetName val="HB_2"/>
      <sheetName val="rek_det_1-32"/>
      <sheetName val="FORM_3A1"/>
      <sheetName val="Perhitungan_RAB1"/>
      <sheetName val="Harga_satuan1"/>
      <sheetName val="Indirect_Cost1"/>
      <sheetName val="SERVICES_FEE1"/>
      <sheetName val="BD_Cvl1"/>
      <sheetName val="Erection_SS1"/>
      <sheetName val="3__KONTRAK(stu)1"/>
      <sheetName val="Daf_12"/>
      <sheetName val="Supply_Agrmnt2"/>
      <sheetName val="Harga_Bahan2"/>
      <sheetName val="REF_ONLY2"/>
      <sheetName val="Upah_Bahan1"/>
      <sheetName val="HRG_BHN1"/>
      <sheetName val="Harga_ME_1"/>
      <sheetName val="Analisa_RAB1"/>
      <sheetName val="crewlist_S1"/>
      <sheetName val="PHU_052"/>
      <sheetName val="POS-4_12"/>
      <sheetName val="Rekap_Dc2"/>
      <sheetName val="daftar_harga2"/>
      <sheetName val="i-j__Pengalaman1"/>
      <sheetName val="LIFT_DOM1"/>
      <sheetName val="Currency_Rate1"/>
      <sheetName val="AnalisaSIPIL_RIIL_RAP1"/>
      <sheetName val="RAB_RIIL_kayu1"/>
      <sheetName val="bukan_PNS1"/>
      <sheetName val="Fill_this_out_first___1"/>
      <sheetName val="SUB_TOTAL___1"/>
      <sheetName val="dboard(_asli)1"/>
      <sheetName val="RAB_STR_JETTY_&amp;_F_PENUNJANG1"/>
      <sheetName val="HSA_&amp;_PAB1"/>
      <sheetName val="Harga_Upah_1"/>
      <sheetName val="Analisa_Tekhnis1"/>
      <sheetName val="17_ALS-saluran+BC1"/>
      <sheetName val="HARGA_UPAH1"/>
      <sheetName val="Sewa_Alat-11"/>
      <sheetName val="FORM_71"/>
      <sheetName val="SBDY_Jemb_Tayan1"/>
      <sheetName val="Unit_Rate_Indirect1"/>
      <sheetName val="AHS_(ci,str,ars)1"/>
      <sheetName val="Time_Schedule1"/>
      <sheetName val="PAKET_11"/>
      <sheetName val="Harga Kabel"/>
      <sheetName val="DAF_2"/>
      <sheetName val="anal"/>
      <sheetName val="Notes"/>
      <sheetName val="Valve PL"/>
      <sheetName val="Peralatan PL"/>
      <sheetName val="TM"/>
      <sheetName val="Fill this out first..."/>
      <sheetName val="an. 1"/>
      <sheetName val="BASEMENT"/>
      <sheetName val="Harga_Sat_Das1"/>
      <sheetName val="RENCANA_KERJA1"/>
      <sheetName val="Bill_of_Qty1"/>
      <sheetName val="Mon_Upah1"/>
      <sheetName val="A_Paint_Jotun_Penguard1"/>
      <sheetName val="BOQ_ori1"/>
      <sheetName val="D2_41"/>
      <sheetName val="D4_3_(TE)1"/>
      <sheetName val="D5_3_(TF)_1"/>
      <sheetName val="D8_3_(TJ)1"/>
      <sheetName val="SD_(1)1"/>
      <sheetName val="struktur_tdk_dipakai1"/>
      <sheetName val="anal_pipa1"/>
      <sheetName val="Harsat_Upah1"/>
      <sheetName val="Agregat_Halus_&amp;_Kasar1"/>
      <sheetName val="AHS_-_Riel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Analisa_RAP1"/>
      <sheetName val="Bahan_B1"/>
      <sheetName val="Upah_B1"/>
      <sheetName val="ANALISA_GR?????GAH1"/>
      <sheetName val="Surat_Pernyataan1"/>
      <sheetName val="610_041"/>
      <sheetName val="ANALISA railing"/>
      <sheetName val="RAB AR&amp;STR"/>
      <sheetName val="Rate"/>
      <sheetName val="PNT"/>
      <sheetName val="kalibrasi-Tank"/>
      <sheetName val="HrgUpahBahan"/>
      <sheetName val="Analis Kusen 1 ESKALASI"/>
      <sheetName val="FittingPVC"/>
      <sheetName val="tl"/>
      <sheetName val="Tie Beam GN"/>
      <sheetName val="Tangga GN"/>
      <sheetName val="ANALISA GR???"/>
      <sheetName val="Analisa ME"/>
      <sheetName val="SAP"/>
      <sheetName val="FL-Cl"/>
      <sheetName val="Brick+Finish"/>
      <sheetName val="EE-PROP"/>
      <sheetName val="CASH"/>
      <sheetName val="gi"/>
      <sheetName val="DIVI3"/>
      <sheetName val="SPREAD SHEET"/>
      <sheetName val="D &amp; W sizes"/>
      <sheetName val="ANALISA GR_x005f_x0000__x005f_x005f_x"/>
      <sheetName val="3.ALS-STR-PDS"/>
      <sheetName val="KET"/>
      <sheetName val="Rekap Prelim"/>
      <sheetName val="Worksheet"/>
      <sheetName val="TBL_BANTU"/>
      <sheetName val="H_Satuan5"/>
      <sheetName val="REKAP_1_SECTION4"/>
      <sheetName val="DIREC_COST4"/>
      <sheetName val="form_besi4"/>
      <sheetName val="REKAP_STRUCTURE4"/>
      <sheetName val="lamp__123"/>
      <sheetName val="Master_1_03"/>
      <sheetName val="GRAND_REKAP3"/>
      <sheetName val="ANALISA_GRS_TENGAH3"/>
      <sheetName val="A-11_Steel_Str_(2)3"/>
      <sheetName val="HARGA_ME3"/>
      <sheetName val="Analisa_Upah_&amp;_Bahan_Plum3"/>
      <sheetName val="Bill_of_Qty_MEP3"/>
      <sheetName val="BAHAN_&amp;_UPAH3"/>
      <sheetName val="Basement_Estimate3"/>
      <sheetName val="bhn_3"/>
      <sheetName val="Analisa_&amp;_Upah3"/>
      <sheetName val="PLUMBING_23"/>
      <sheetName val="rab_me_(by_owner)_3"/>
      <sheetName val="BQ_(by_owner)3"/>
      <sheetName val="rab_me_(fisik)3"/>
      <sheetName val="HSTANAH_XLS3"/>
      <sheetName val="ELEVATED_SLAB3"/>
      <sheetName val="01A-_RAB3"/>
      <sheetName val="rekap_c3"/>
      <sheetName val="an_el3"/>
      <sheetName val="BQ_ARS3"/>
      <sheetName val="Analisa_23"/>
      <sheetName val="FORM_X_COST3"/>
      <sheetName val="unit_rate-b33"/>
      <sheetName val="HARGA_MATERIAL3"/>
      <sheetName val="Pos_4-13"/>
      <sheetName val="Harga_3"/>
      <sheetName val="vol__ARS3"/>
      <sheetName val="TOTAL_SPK3"/>
      <sheetName val="Memb_Schd3"/>
      <sheetName val="Analisa_Harga_Satuan3"/>
      <sheetName val="Analisa_Upah___Bahan_Plum3"/>
      <sheetName val="daftar_Upah3"/>
      <sheetName val="HB_3"/>
      <sheetName val="rek_det_1-33"/>
      <sheetName val="Daf_13"/>
      <sheetName val="FORM_3A2"/>
      <sheetName val="Perhitungan_RAB2"/>
      <sheetName val="Harga_satuan2"/>
      <sheetName val="Indirect_Cost2"/>
      <sheetName val="SERVICES_FEE2"/>
      <sheetName val="BD_Cvl2"/>
      <sheetName val="Erection_SS2"/>
      <sheetName val="3__KONTRAK(stu)2"/>
      <sheetName val="Supply_Agrmnt3"/>
      <sheetName val="LIFT_DOM2"/>
      <sheetName val="daftar_harga3"/>
      <sheetName val="POS-4_13"/>
      <sheetName val="Rekap_Dc3"/>
      <sheetName val="PHU_053"/>
      <sheetName val="REF_ONLY3"/>
      <sheetName val="Harga_Bahan3"/>
      <sheetName val="RAB_RIIL_kayu2"/>
      <sheetName val="bukan_PNS2"/>
      <sheetName val="Currency_Rate2"/>
      <sheetName val="Upah_Bahan2"/>
      <sheetName val="Harga_ME_2"/>
      <sheetName val="HRG_BHN2"/>
      <sheetName val="Analisa_RAB2"/>
      <sheetName val="crewlist_S2"/>
      <sheetName val="i-j__Pengalaman2"/>
      <sheetName val="AnalisaSIPIL_RIIL_RAP2"/>
      <sheetName val="Fill_this_out_first___2"/>
      <sheetName val="SUB_TOTAL___2"/>
      <sheetName val="dboard(_asli)2"/>
      <sheetName val="RAB_STR_JETTY_&amp;_F_PENUNJANG2"/>
      <sheetName val="HSA_&amp;_PAB2"/>
      <sheetName val="Harga_Upah_2"/>
      <sheetName val="Analisa_Tekhnis2"/>
      <sheetName val="17_ALS-saluran+BC2"/>
      <sheetName val="HARGA_UPAH2"/>
      <sheetName val="Sewa_Alat-12"/>
      <sheetName val="FORM_72"/>
      <sheetName val="SBDY_Jemb_Tayan2"/>
      <sheetName val="Unit_Rate_Indirect2"/>
      <sheetName val="AHS_(ci,str,ars)2"/>
      <sheetName val="Time_Schedule2"/>
      <sheetName val="PAKET_12"/>
      <sheetName val="Harga_Sat_Das2"/>
      <sheetName val="RENCANA_KERJA2"/>
      <sheetName val="struktur_tdk_dipakai2"/>
      <sheetName val="Bill_of_Qty2"/>
      <sheetName val="Mon_Upah2"/>
      <sheetName val="A_Paint_Jotun_Penguard2"/>
      <sheetName val="BOQ_ori2"/>
      <sheetName val="D2_42"/>
      <sheetName val="D4_3_(TE)2"/>
      <sheetName val="D5_3_(TF)_2"/>
      <sheetName val="D8_3_(TJ)2"/>
      <sheetName val="SD_(1)2"/>
      <sheetName val="anal_pipa2"/>
      <sheetName val="Harsat_Upah2"/>
      <sheetName val="Agregat_Halus_&amp;_Kasar2"/>
      <sheetName val="AHS_-_Riel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Analisa_RAP2"/>
      <sheetName val="Bahan_B2"/>
      <sheetName val="Upah_B2"/>
      <sheetName val="ANALISA_GR?????GAH2"/>
      <sheetName val="Surat_Pernyataan2"/>
      <sheetName val="610_042"/>
      <sheetName val="Analisa_(ok_punya)"/>
      <sheetName val="BQ_PABX"/>
      <sheetName val="RAB_REVISI"/>
      <sheetName val="Door_&amp;_Window_Podium"/>
      <sheetName val="San_PD"/>
      <sheetName val="Analisa_Prov'07"/>
      <sheetName val="Anal_"/>
      <sheetName val="NEX24_DB"/>
      <sheetName val="BAHAN_"/>
      <sheetName val="Rekap_Direct_Cost"/>
      <sheetName val="2__Informasi1"/>
      <sheetName val="HASAT_DASAR1"/>
      <sheetName val="Uraian_Teknis1"/>
      <sheetName val="HRG_BAHAN_&amp;_UPAH_okk"/>
      <sheetName val="Analis_Kusen_okk"/>
      <sheetName val="Ana__PU"/>
      <sheetName val="Hrg_Upah_Bhn"/>
      <sheetName val="DAFTAR_HARGA_BAHAN_"/>
      <sheetName val="Bill_rekap"/>
      <sheetName val="Pjk_Kend_&amp;_Parkir&amp;Tanah"/>
      <sheetName val="Pak_Din(510)"/>
      <sheetName val="P_Didik&amp;BinaPeg_"/>
      <sheetName val="Harga_Bahan_&amp;_Upah"/>
      <sheetName val="1_B"/>
      <sheetName val="Perm__Test"/>
      <sheetName val="Kuantitas_&amp;_Harga"/>
      <sheetName val="Str_A"/>
      <sheetName val="Analisa_Tend"/>
      <sheetName val="fill_in_first"/>
      <sheetName val="Unit_Cost"/>
      <sheetName val="ANALISA_GR"/>
      <sheetName val="DFT__HRG_BHN___UPAH"/>
      <sheetName val="ANALISA_STR___ARS"/>
      <sheetName val="DF-7_(2)"/>
      <sheetName val="ANALISA_GR_____GAH"/>
      <sheetName val="Harga_bahan-1"/>
      <sheetName val="DETAIL_POS_123"/>
      <sheetName val="Harsat_Bahan"/>
      <sheetName val="Bill_4_1"/>
      <sheetName val="Daftar_Staff"/>
      <sheetName val="H_Satuan_Dasar"/>
      <sheetName val="Isolasi_Luar_Dalam"/>
      <sheetName val="Isolasi_Luar"/>
      <sheetName val="H_SAT"/>
      <sheetName val="10_yr_val"/>
      <sheetName val="Harsat_Pekerjaan"/>
      <sheetName val="HPP_TOTAL"/>
      <sheetName val="HPP_3_Tower"/>
      <sheetName val="Sumber_Daya"/>
      <sheetName val="Anls_Hrg_Sat"/>
      <sheetName val="OP__PERJAM"/>
      <sheetName val="K_Lokal"/>
      <sheetName val="B__PERSONIL"/>
      <sheetName val="Daftar_Upah,_Hrg_Bhn_&amp;_Pralatan"/>
      <sheetName val="DRUP_(ASLI)"/>
      <sheetName val="SAT_EL"/>
      <sheetName val="Analisa_Harga_Sat"/>
      <sheetName val="Lamp_-3"/>
      <sheetName val="Lamp_-6"/>
      <sheetName val="PV_Harga_Sat"/>
      <sheetName val="Analisa_Alat"/>
      <sheetName val="Analisa_Alat_Dredger"/>
      <sheetName val="Analisa_Tehnik_1"/>
      <sheetName val="Analisa_Tehnik"/>
      <sheetName val="Pendukung_1"/>
      <sheetName val="Pek_Tanah"/>
      <sheetName val="AT_B&amp;B"/>
      <sheetName val="COST_SUMM"/>
      <sheetName val="Sec_I_ML"/>
      <sheetName val="Har_Sat"/>
      <sheetName val="TATA_UDARA"/>
      <sheetName val="ANALISA_GR_x005f_x0000__x005f_x0000__x005f_x0000_"/>
      <sheetName val="Rekap_Prelim"/>
      <sheetName val="Unit_Price"/>
      <sheetName val="analisa_panel"/>
      <sheetName val="Man_Power"/>
      <sheetName val="bhn FINAL"/>
      <sheetName val="ITB COST"/>
      <sheetName val="Schedulle "/>
      <sheetName val="Tataudara"/>
      <sheetName val="Analisa SNI STANDART "/>
      <sheetName val="BoQ C4"/>
      <sheetName val="Meth"/>
      <sheetName val="AN-E"/>
      <sheetName val="ANALISA GR_x0000__x"/>
      <sheetName val="ANALISA GR_x0"/>
      <sheetName val="KWNTY&amp;HARGA"/>
      <sheetName val="Variabel"/>
      <sheetName val="Rekap Biaya"/>
      <sheetName val="NP7"/>
      <sheetName val="Gorong Aramco"/>
      <sheetName val="BQ All_2"/>
      <sheetName val="AT"/>
      <sheetName val="No Item"/>
      <sheetName val="SK"/>
      <sheetName val="Tunduk Panitia"/>
      <sheetName val="rab - persiapan &amp; lantai-1"/>
      <sheetName val="NET表"/>
      <sheetName val="BQ表"/>
      <sheetName val="SAT"/>
      <sheetName val="LD calc"/>
      <sheetName val="Formula"/>
      <sheetName val="COSTING Option 1"/>
      <sheetName val="BQ Pivot utk Analisa &amp; SDBP "/>
      <sheetName val="M+U Pivot"/>
      <sheetName val="Fin Sum"/>
      <sheetName val="Unit Rate"/>
      <sheetName val="(ANALISA-lain)"/>
      <sheetName val="Harsat-Isal"/>
      <sheetName val="time"/>
      <sheetName val="analisa BM"/>
      <sheetName val="rap rinci"/>
      <sheetName val="DIVISI 3"/>
      <sheetName val="4+000"/>
      <sheetName val="own"/>
      <sheetName val="FP"/>
      <sheetName val="PLB"/>
      <sheetName val="sch-KONS"/>
      <sheetName val="DB_Simplex"/>
      <sheetName val="B - Norelec"/>
      <sheetName val="Jadwal"/>
      <sheetName val="Eng_Hrs"/>
      <sheetName val="Form I"/>
      <sheetName val="sph"/>
      <sheetName val="SP Kapasitas TD"/>
      <sheetName val="camp"/>
      <sheetName val="adukan "/>
      <sheetName val="bhan"/>
      <sheetName val="itempek"/>
      <sheetName val="Cdg"/>
      <sheetName val="Item1"/>
      <sheetName val="Item2"/>
      <sheetName val="tanah"/>
      <sheetName val="kapalat"/>
      <sheetName val="Proses"/>
      <sheetName val="Item3"/>
      <sheetName val="Item5"/>
      <sheetName val="Item6"/>
      <sheetName val="Item7"/>
      <sheetName val="Item8"/>
      <sheetName val="Pareto"/>
      <sheetName val="Item10"/>
      <sheetName val="Gorong-2"/>
      <sheetName val="H-quarry"/>
      <sheetName val="Pas-batu"/>
      <sheetName val="Resiko"/>
      <sheetName val="Vol K.225"/>
      <sheetName val="Titip"/>
      <sheetName val="Pengalaman"/>
    </sheetNames>
    <sheetDataSet>
      <sheetData sheetId="0"/>
      <sheetData sheetId="1"/>
      <sheetData sheetId="2"/>
      <sheetData sheetId="3"/>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refreshError="1"/>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refreshError="1"/>
      <sheetData sheetId="975" refreshError="1"/>
      <sheetData sheetId="976"/>
      <sheetData sheetId="977"/>
      <sheetData sheetId="978"/>
      <sheetData sheetId="979" refreshError="1"/>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3"/>
      <sheetName val="SUPER"/>
      <sheetName val="RKAP "/>
      <sheetName val="KUANTITAS"/>
      <sheetName val="SATJADI"/>
      <sheetName val="ANALISA"/>
      <sheetName val="U.A.1"/>
      <sheetName val="URAIAN"/>
      <sheetName val="HARGA"/>
      <sheetName val="WAJAR.1"/>
      <sheetName val="WAJAR2"/>
      <sheetName val="MTD1"/>
      <sheetName val="ANT"/>
      <sheetName val="SCED"/>
      <sheetName val="SKEMA"/>
      <sheetName val="METODE"/>
      <sheetName val="ANTEK"/>
      <sheetName val="PERSON"/>
      <sheetName val="ALAT"/>
    </sheetNames>
    <sheetDataSet>
      <sheetData sheetId="0" refreshError="1"/>
      <sheetData sheetId="1" refreshError="1"/>
      <sheetData sheetId="2"/>
      <sheetData sheetId="3"/>
      <sheetData sheetId="4" refreshError="1"/>
      <sheetData sheetId="5"/>
      <sheetData sheetId="6" refreshError="1"/>
      <sheetData sheetId="7">
        <row r="2">
          <cell r="M2">
            <v>4</v>
          </cell>
        </row>
      </sheetData>
      <sheetData sheetId="8"/>
      <sheetData sheetId="9" refreshError="1"/>
      <sheetData sheetId="10" refreshError="1"/>
      <sheetData sheetId="11" refreshError="1"/>
      <sheetData sheetId="12" refreshError="1"/>
      <sheetData sheetId="13"/>
      <sheetData sheetId="14"/>
      <sheetData sheetId="15"/>
      <sheetData sheetId="16" refreshError="1"/>
      <sheetData sheetId="17"/>
      <sheetData sheetId="1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BOW 07"/>
      <sheetName val="LT I"/>
      <sheetName val="LT II"/>
      <sheetName val="pETAKURSD SMRP KNGIN"/>
      <sheetName val="H.Satuan"/>
      <sheetName val="ANALISA  (BARU)"/>
    </sheetNames>
    <sheetDataSet>
      <sheetData sheetId="0" refreshError="1">
        <row r="541">
          <cell r="G541">
            <v>1883462.5</v>
          </cell>
        </row>
      </sheetData>
      <sheetData sheetId="1" refreshError="1"/>
      <sheetData sheetId="2" refreshError="1"/>
      <sheetData sheetId="3" refreshError="1"/>
      <sheetData sheetId="4" refreshError="1"/>
      <sheetData sheetId="5"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BHN"/>
      <sheetName val="SAT"/>
      <sheetName val="Anal"/>
      <sheetName val="DAF-1"/>
    </sheetNames>
    <sheetDataSet>
      <sheetData sheetId="0" refreshError="1"/>
      <sheetData sheetId="1" refreshError="1"/>
      <sheetData sheetId="2" refreshError="1"/>
      <sheetData sheetId="3"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 Norelec"/>
      <sheetName val="HRG BHN"/>
    </sheetNames>
    <sheetDataSet>
      <sheetData sheetId="0" refreshError="1"/>
      <sheetData sheetId="1"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HAN"/>
      <sheetName val="SNI FIX"/>
      <sheetName val="PIPA dg alat berat"/>
      <sheetName val="AN PIPA"/>
      <sheetName val="PJ"/>
      <sheetName val="PS"/>
      <sheetName val="R.JAGA"/>
      <sheetName val="R.GENSET"/>
      <sheetName val="R.PANEL"/>
      <sheetName val="R.KIMIA66"/>
      <sheetName val="RESERVOIR"/>
      <sheetName val="mnr 50m3"/>
    </sheetNames>
    <sheetDataSet>
      <sheetData sheetId="0">
        <row r="57">
          <cell r="F57">
            <v>0</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
      <sheetName val="ALAT-2007"/>
      <sheetName val="SNI-2007"/>
      <sheetName val="K-2007"/>
      <sheetName val="BASIC-2007"/>
      <sheetName val="RAB-2007"/>
      <sheetName val="REKAP2007"/>
      <sheetName val="ALAT-2008"/>
      <sheetName val="BASIC-2008"/>
      <sheetName val="SNI-2008"/>
      <sheetName val="K-2008"/>
      <sheetName val="RAB-2008"/>
      <sheetName val="REKAP2008"/>
      <sheetName val="RAB-2008 -1"/>
      <sheetName val="REKAP2008 -1"/>
      <sheetName val="VOL-2007"/>
      <sheetName val="VOL-2008"/>
      <sheetName val="RAB-2008 (2)"/>
      <sheetName val="REKAP2008 (2)"/>
      <sheetName val="Cover"/>
    </sheetNames>
    <sheetDataSet>
      <sheetData sheetId="0" refreshError="1"/>
      <sheetData sheetId="1"/>
      <sheetData sheetId="2"/>
      <sheetData sheetId="3" refreshError="1">
        <row r="659">
          <cell r="V659">
            <v>138862.82280000002</v>
          </cell>
        </row>
        <row r="1134">
          <cell r="V1134">
            <v>479181.82458570861</v>
          </cell>
        </row>
        <row r="1191">
          <cell r="V1191">
            <v>136323.52944000001</v>
          </cell>
        </row>
        <row r="1252">
          <cell r="V1252">
            <v>18861.058338000003</v>
          </cell>
        </row>
        <row r="1314">
          <cell r="V1314">
            <v>704824.5210777116</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REKAP"/>
      <sheetName val="RAB"/>
      <sheetName val="UNIT PRICE"/>
      <sheetName val="BASIC PRICE"/>
      <sheetName val="VOLUME"/>
      <sheetName val="back up VOLUME"/>
      <sheetName val="bahan"/>
      <sheetName val="analisa"/>
      <sheetName val="VOLUME "/>
      <sheetName val="DAF-1"/>
      <sheetName val="harsat"/>
      <sheetName val="UNIT_PRICE2"/>
      <sheetName val="BASIC_PRICE2"/>
      <sheetName val="back_up_VOLUME2"/>
      <sheetName val="VOLUME_2"/>
      <sheetName val="UNIT_PRICE"/>
      <sheetName val="BASIC_PRICE"/>
      <sheetName val="back_up_VOLUME"/>
      <sheetName val="VOLUME_"/>
      <sheetName val="UNIT_PRICE1"/>
      <sheetName val="BASIC_PRICE1"/>
      <sheetName val="back_up_VOLUME1"/>
      <sheetName val="VOLUME_1"/>
      <sheetName val="UNIT_PRICE3"/>
      <sheetName val="BASIC_PRICE3"/>
      <sheetName val="back_up_VOLUME3"/>
      <sheetName val="VOLUME_3"/>
      <sheetName val="UNIT_PRICE13"/>
      <sheetName val="BASIC_PRICE13"/>
      <sheetName val="back_up_VOLUME13"/>
      <sheetName val="VOLUME_13"/>
      <sheetName val="UNIT_PRICE4"/>
      <sheetName val="BASIC_PRICE4"/>
      <sheetName val="back_up_VOLUME4"/>
      <sheetName val="VOLUME_4"/>
      <sheetName val="UNIT_PRICE5"/>
      <sheetName val="BASIC_PRICE5"/>
      <sheetName val="back_up_VOLUME5"/>
      <sheetName val="VOLUME_5"/>
      <sheetName val="UNIT_PRICE12"/>
      <sheetName val="BASIC_PRICE12"/>
      <sheetName val="back_up_VOLUME12"/>
      <sheetName val="VOLUME_12"/>
      <sheetName val="UNIT_PRICE11"/>
      <sheetName val="BASIC_PRICE11"/>
      <sheetName val="back_up_VOLUME11"/>
      <sheetName val="VOLUME_11"/>
      <sheetName val="UNIT_PRICE10"/>
      <sheetName val="BASIC_PRICE10"/>
      <sheetName val="back_up_VOLUME10"/>
      <sheetName val="VOLUME_10"/>
      <sheetName val="UNIT_PRICE9"/>
      <sheetName val="BASIC_PRICE9"/>
      <sheetName val="back_up_VOLUME9"/>
      <sheetName val="VOLUME_9"/>
      <sheetName val="UNIT_PRICE6"/>
      <sheetName val="BASIC_PRICE6"/>
      <sheetName val="back_up_VOLUME6"/>
      <sheetName val="VOLUME_6"/>
      <sheetName val="UNIT_PRICE7"/>
      <sheetName val="BASIC_PRICE7"/>
      <sheetName val="back_up_VOLUME7"/>
      <sheetName val="VOLUME_7"/>
      <sheetName val="UNIT_PRICE8"/>
      <sheetName val="BASIC_PRICE8"/>
      <sheetName val="back_up_VOLUME8"/>
      <sheetName val="VOLUME_8"/>
      <sheetName val="HRG BHN"/>
      <sheetName val="Cover"/>
      <sheetName val="H.Satuan"/>
    </sheetNames>
    <sheetDataSet>
      <sheetData sheetId="0" refreshError="1"/>
      <sheetData sheetId="1"/>
      <sheetData sheetId="2"/>
      <sheetData sheetId="3" refreshError="1">
        <row r="138">
          <cell r="D138" t="str">
            <v>m3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bahan"/>
      <sheetName val="VOLUME "/>
      <sheetName val="RAB"/>
      <sheetName val="VOLUME"/>
      <sheetName val="HB"/>
      <sheetName val="Bahan &amp; Upah"/>
      <sheetName val="harsat"/>
      <sheetName val="VOLUME_2"/>
      <sheetName val="VOLUME_"/>
      <sheetName val="VOLUME_1"/>
      <sheetName val="VOLUME_3"/>
      <sheetName val="VOLUME_13"/>
      <sheetName val="VOLUME_4"/>
      <sheetName val="VOLUME_5"/>
      <sheetName val="VOLUME_12"/>
      <sheetName val="VOLUME_11"/>
      <sheetName val="VOLUME_10"/>
      <sheetName val="VOLUME_9"/>
      <sheetName val="VOLUME_6"/>
      <sheetName val="VOLUME_7"/>
      <sheetName val="VOLUME_8"/>
      <sheetName val="FORM X COST"/>
      <sheetName val="UNIT PRICE"/>
    </sheetNames>
    <sheetDataSet>
      <sheetData sheetId="0"/>
      <sheetData sheetId="1" refreshError="1">
        <row r="19">
          <cell r="D19">
            <v>7200</v>
          </cell>
        </row>
        <row r="23">
          <cell r="D23">
            <v>2972500</v>
          </cell>
        </row>
        <row r="101">
          <cell r="D101">
            <v>51250</v>
          </cell>
        </row>
      </sheetData>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f-Har-Pening"/>
      <sheetName val="DaftarHargaPemel"/>
      <sheetName val="An-Mansur"/>
      <sheetName val="Analisa"/>
      <sheetName val="Kb-jepun"/>
      <sheetName val="Rekap"/>
      <sheetName val="Rincian"/>
      <sheetName val="Umum"/>
      <sheetName val="Sosial"/>
      <sheetName val="U M"/>
    </sheetNames>
    <sheetDataSet>
      <sheetData sheetId="0" refreshError="1">
        <row r="17">
          <cell r="H17">
            <v>30000</v>
          </cell>
        </row>
        <row r="58">
          <cell r="H58">
            <v>4650</v>
          </cell>
        </row>
      </sheetData>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arga"/>
      <sheetName val="analisa"/>
      <sheetName val="anls.beton"/>
      <sheetName val="upah"/>
      <sheetName val="tul"/>
    </sheetNames>
    <sheetDataSet>
      <sheetData sheetId="0" refreshError="1"/>
      <sheetData sheetId="1" refreshError="1"/>
      <sheetData sheetId="2" refreshError="1"/>
      <sheetData sheetId="3" refreshError="1"/>
      <sheetData sheetId="4"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INAT"/>
      <sheetName val="SURAT"/>
      <sheetName val="HARGA"/>
      <sheetName val="REKAP"/>
      <sheetName val="RAB"/>
      <sheetName val="METODE"/>
      <sheetName val="ASUMSI"/>
      <sheetName val="HAR-JADI"/>
      <sheetName val="SKEMA"/>
      <sheetName val="JADWAL"/>
      <sheetName val="ADM"/>
      <sheetName val="ANALISA"/>
    </sheetNames>
    <sheetDataSet>
      <sheetData sheetId="0" refreshError="1"/>
      <sheetData sheetId="1" refreshError="1"/>
      <sheetData sheetId="2" refreshError="1">
        <row r="56">
          <cell r="B56" t="str">
            <v>Mengetahui ;</v>
          </cell>
        </row>
        <row r="62">
          <cell r="G62" t="str">
            <v>KARNAIN HARIYONO</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HAN"/>
      <sheetName val="SNI FIX"/>
      <sheetName val="PIPA dg alat berat"/>
      <sheetName val="AN PIPA"/>
      <sheetName val="PJ"/>
      <sheetName val="PS"/>
      <sheetName val="R.JAGA"/>
      <sheetName val="R.GENSET"/>
      <sheetName val="R.PANEL"/>
      <sheetName val="R.KIMIA66"/>
      <sheetName val="RESERVOIR"/>
      <sheetName val="mnr 50m3"/>
      <sheetName val="sebrangan"/>
    </sheetNames>
    <sheetDataSet>
      <sheetData sheetId="0">
        <row r="197">
          <cell r="F197">
            <v>0</v>
          </cell>
        </row>
      </sheetData>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l"/>
      <sheetName val="Schedule"/>
      <sheetName val="LT&amp;Plafond"/>
      <sheetName val="Dinding"/>
      <sheetName val="Sanitair"/>
      <sheetName val="Kusen"/>
      <sheetName val="ANKusen"/>
      <sheetName val="Sch-Kusen"/>
      <sheetName val="QTY-Kusen"/>
      <sheetName val="Struktur"/>
      <sheetName val="Pilecaps"/>
      <sheetName val="Tie Beam"/>
      <sheetName val="Balok"/>
      <sheetName val="Cover"/>
      <sheetName val="Kolom"/>
      <sheetName val="Plat"/>
      <sheetName val="Tangga"/>
      <sheetName val="ANPrelim"/>
      <sheetName val="Lain-2"/>
      <sheetName val="M&amp;E"/>
      <sheetName val="AN-M&amp;E"/>
      <sheetName val="Analisa"/>
      <sheetName val="Rekap"/>
      <sheetName val="BOQ KJ-D &amp; KJ-E"/>
      <sheetName val="B - Norelec"/>
      <sheetName val="304-06"/>
      <sheetName val="B _ Norelec"/>
      <sheetName val="HRG BHN"/>
      <sheetName val="DAF_2"/>
      <sheetName val="TOWN"/>
      <sheetName val="name"/>
      <sheetName val="Isolasi Luar Dalam"/>
      <sheetName val="Isolasi Luar"/>
      <sheetName val="kode rekening"/>
      <sheetName val="harga "/>
      <sheetName val="Rekap Direct Cost"/>
      <sheetName val="FR"/>
      <sheetName val="Mall"/>
      <sheetName val="SAT-BHN"/>
      <sheetName val="Upah"/>
      <sheetName val="Daf 1"/>
      <sheetName val="DAF-9"/>
      <sheetName val="Material"/>
      <sheetName val="DAF-2"/>
      <sheetName val="DAF-1"/>
      <sheetName val="SAT_BHN"/>
      <sheetName val="bhn"/>
      <sheetName val="DATA"/>
      <sheetName val="Bahan"/>
      <sheetName val="ANLS_ BETON R. KELAS"/>
      <sheetName val="SCH5"/>
      <sheetName val="STR"/>
      <sheetName val="HB"/>
      <sheetName val="UNITPRICE"/>
      <sheetName val="INDIRECT COST-PART l"/>
      <sheetName val="H_Satuan"/>
      <sheetName val="H.Satuan"/>
      <sheetName val="I-KAMAR"/>
      <sheetName val="I_KAMAR"/>
      <sheetName val="DATA1"/>
      <sheetName val="Daftar Upah"/>
      <sheetName val="OFFICE 2 LT"/>
      <sheetName val="harsat"/>
      <sheetName val="BAHAN &amp; UPAH BAJA"/>
      <sheetName val="AN.BTNCOT (2)"/>
      <sheetName val="COST"/>
      <sheetName val="DAF-7"/>
      <sheetName val="CH"/>
      <sheetName val="DAF_7"/>
      <sheetName val="A LIS"/>
      <sheetName val="A REKAP"/>
      <sheetName val="Analisa Upah &amp; Bahan Plum"/>
      <sheetName val="MAIN EQUIP AC"/>
      <sheetName val="Meth "/>
      <sheetName val="Analisa Harga Satuan"/>
      <sheetName val="RKP PLUMBING"/>
      <sheetName val="BUDGET"/>
      <sheetName val="index"/>
      <sheetName val="ANALISA SOFT"/>
      <sheetName val="divI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sheetName val="ANALISA"/>
      <sheetName val="G O R"/>
      <sheetName val="MASTER BAHAN ME"/>
      <sheetName val="B - Norelec"/>
      <sheetName val="SITE-UTL"/>
      <sheetName val="Mall"/>
      <sheetName val="PEMBESIAN BALOK INDUK!"/>
      <sheetName val="Analisa Harga Satuan"/>
      <sheetName val="Material"/>
      <sheetName val="HRG BHN"/>
      <sheetName val="SAT-BHN"/>
      <sheetName val="B _ Norelec"/>
      <sheetName val="A-ars"/>
      <sheetName val="DAF-7"/>
      <sheetName val="harsat"/>
      <sheetName val="UNIT PRICE"/>
      <sheetName val="Bahan"/>
      <sheetName val="Harga Bahan &amp; Upah"/>
      <sheetName val="daftar harga dan upah"/>
      <sheetName val="bahan+upah"/>
      <sheetName val="7"/>
      <sheetName val="A+Supl."/>
      <sheetName val="HB "/>
      <sheetName val="Meth "/>
      <sheetName val="Basic P"/>
      <sheetName val="D2.2"/>
      <sheetName val="GOR"/>
      <sheetName val="huruf"/>
      <sheetName val="NLsimpro"/>
      <sheetName val="Rekap"/>
      <sheetName val="F-PC"/>
      <sheetName val="Daftar Harga"/>
      <sheetName val="Pers"/>
      <sheetName val="RAB ME"/>
      <sheetName val="rab-SAPHIR"/>
      <sheetName val="CH"/>
      <sheetName val="metod"/>
      <sheetName val="DB"/>
      <sheetName val="bahan "/>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B Global"/>
      <sheetName val="Sheet4"/>
      <sheetName val="Sheet3"/>
      <sheetName val="Rek. RAP Total"/>
      <sheetName val="RAP Total"/>
      <sheetName val="harga bahan"/>
      <sheetName val="Analisa"/>
      <sheetName val="Rek. Thp I + Thp II"/>
      <sheetName val="Rek. Thp I"/>
      <sheetName val="RAP Thp I"/>
      <sheetName val="Rek. Thp II"/>
      <sheetName val="RAP Thp II"/>
      <sheetName val="Landscape"/>
      <sheetName val="Telp"/>
      <sheetName val="TV"/>
      <sheetName val="Elektrikal"/>
      <sheetName val="fire alarm dipakai"/>
      <sheetName val="fire alarm"/>
      <sheetName val="Gas Medis"/>
      <sheetName val="CCTV dipakai"/>
      <sheetName val="CCTV"/>
      <sheetName val="Sound"/>
      <sheetName val="petir"/>
      <sheetName val="Gensetdipakai"/>
      <sheetName val="Genset"/>
      <sheetName val="IPALdipakai"/>
      <sheetName val="Rek.IPAL"/>
      <sheetName val="Rinc.IPAL"/>
      <sheetName val="Hit"/>
      <sheetName val="anal btn"/>
      <sheetName val="Tandon"/>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sheetName val="ANALISA"/>
      <sheetName val="Bahan"/>
      <sheetName val="Analisa K"/>
      <sheetName val="ANALISA "/>
      <sheetName val="ANALISA  KUSEN KELAS"/>
      <sheetName val="ANALISA  KUSEN ASRAMA"/>
      <sheetName val="ANALISA  KUSEN GOR"/>
      <sheetName val="ANALISA  KUSEN MASJID"/>
      <sheetName val="Penunjang- masjid"/>
      <sheetName val="MASJID"/>
      <sheetName val="SARANA &amp; P"/>
      <sheetName val="LAP OUT DOOR"/>
      <sheetName val="GOR"/>
      <sheetName val="UNIT GOR"/>
      <sheetName val="Asrama"/>
      <sheetName val="UNIT ASRAMA"/>
      <sheetName val="Pendidikan"/>
      <sheetName val="UNIT KELAS"/>
      <sheetName val="REKAPITULASI"/>
      <sheetName val="Gama I"/>
      <sheetName val="Nakayasu"/>
      <sheetName val="Chi&amp;Smirnov"/>
      <sheetName val="ChUlang"/>
      <sheetName val="Gumbel"/>
      <sheetName val="Snyder"/>
      <sheetName val="Thiesen"/>
      <sheetName val="Nisbah"/>
      <sheetName val="CHrata"/>
      <sheetName val="Iway"/>
      <sheetName val="LogNorm"/>
      <sheetName val="Pearson"/>
    </sheetNames>
    <sheetDataSet>
      <sheetData sheetId="0">
        <row r="5">
          <cell r="H5">
            <v>0.98</v>
          </cell>
        </row>
      </sheetData>
      <sheetData sheetId="1"/>
      <sheetData sheetId="2">
        <row r="7">
          <cell r="K7">
            <v>0.96332098457657989</v>
          </cell>
        </row>
      </sheetData>
      <sheetData sheetId="3" refreshError="1"/>
      <sheetData sheetId="4"/>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REKAP"/>
      <sheetName val="RAB"/>
      <sheetName val="UNIT PRICE"/>
      <sheetName val="BASIC PRICE"/>
      <sheetName val="VOLUME"/>
      <sheetName val="back up VOLUME"/>
      <sheetName val="Bahan"/>
      <sheetName val="HB"/>
      <sheetName val="Analisa"/>
      <sheetName val="Koefisien"/>
    </sheetNames>
    <sheetDataSet>
      <sheetData sheetId="0" refreshError="1"/>
      <sheetData sheetId="1" refreshError="1"/>
      <sheetData sheetId="2"/>
      <sheetData sheetId="3"/>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B. ME"/>
      <sheetName val="RAB SIPIL"/>
      <sheetName val="RAB ME"/>
      <sheetName val="PEK ME with Tandon"/>
      <sheetName val="PEK ME Tanpa tandon"/>
      <sheetName val="Uraian Teknis"/>
      <sheetName val="urain teknis"/>
      <sheetName val="Analisa"/>
      <sheetName val="Bahan"/>
      <sheetName val="HB"/>
      <sheetName val="TS"/>
      <sheetName val="Anal"/>
      <sheetName val="RAB-PLB OFFICE"/>
      <sheetName val="REKAP TOTAL MEKANIKALPLUMBING"/>
      <sheetName val="PERB__ME"/>
      <sheetName val="RAB_SIPIL"/>
      <sheetName val="RAB_ME"/>
      <sheetName val="PEK_ME_with_Tandon"/>
      <sheetName val="PEK_ME_Tanpa_tandon"/>
      <sheetName val="harga bahan"/>
      <sheetName val="UNIT PRICE"/>
      <sheetName val="Daf-Har-Pening"/>
      <sheetName val="HARGA SAT KAMAL OE"/>
      <sheetName val="bhn "/>
      <sheetName val="BTL-Bau"/>
      <sheetName val="B - Norelec"/>
      <sheetName val="HARGA SAT"/>
      <sheetName val="Bill rekap"/>
      <sheetName val="KOEFISIEN TEKNIS"/>
      <sheetName val="rekap-ans"/>
      <sheetName val="Kuantitas &amp; Harga"/>
      <sheetName val="ANALISA  KUSEN ASRAMA"/>
      <sheetName val="REKAP PER BUILDING"/>
      <sheetName val="DATA"/>
      <sheetName val="KOEF"/>
      <sheetName val="RAB fisik"/>
      <sheetName val="harga bahan k"/>
      <sheetName val="K.224Top"/>
      <sheetName val="Analis"/>
      <sheetName val="KURVA_100%"/>
    </sheetNames>
    <sheetDataSet>
      <sheetData sheetId="0"/>
      <sheetData sheetId="1"/>
      <sheetData sheetId="2" refreshError="1">
        <row r="13">
          <cell r="L13">
            <v>1.1634900249056788</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dt"/>
      <sheetName val="Minat"/>
      <sheetName val="Super"/>
      <sheetName val="Rab"/>
      <sheetName val="Analisa"/>
      <sheetName val="Upah Bahan"/>
      <sheetName val="Sat.Jadi"/>
      <sheetName val="Jad"/>
      <sheetName val="Skema"/>
      <sheetName val="Person"/>
    </sheetNames>
    <sheetDataSet>
      <sheetData sheetId="0"/>
      <sheetData sheetId="1"/>
      <sheetData sheetId="2"/>
      <sheetData sheetId="3"/>
      <sheetData sheetId="4"/>
      <sheetData sheetId="5" refreshError="1">
        <row r="12">
          <cell r="G12">
            <v>27000</v>
          </cell>
        </row>
      </sheetData>
      <sheetData sheetId="6"/>
      <sheetData sheetId="7"/>
      <sheetData sheetId="8"/>
      <sheetData sheetId="9"/>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OQ"/>
      <sheetName val="Vol R.GB"/>
      <sheetName val="RAB GAB BOQ"/>
      <sheetName val="analisa"/>
      <sheetName val="analisa kusen"/>
      <sheetName val="Resume analisa"/>
      <sheetName val="REKAP "/>
      <sheetName val="RAB GAB"/>
      <sheetName val="analisa (2)"/>
      <sheetName val="bahan"/>
      <sheetName val="MAIN SC "/>
      <sheetName val="SC PK"/>
      <sheetName val="Sheet1"/>
      <sheetName val="SC BHN"/>
      <sheetName val="Break Down"/>
      <sheetName val="Needed Steel"/>
      <sheetName val="RAB FIX"/>
      <sheetName val="harsat"/>
      <sheetName val="Sheet2"/>
      <sheetName val="Sheet3"/>
      <sheetName val="RAB ME"/>
      <sheetName val="REKAP_BOQ2"/>
      <sheetName val="Vol_R_GB2"/>
      <sheetName val="RAB_GAB_BOQ2"/>
      <sheetName val="analisa_kusen2"/>
      <sheetName val="Resume_analisa2"/>
      <sheetName val="REKAP_2"/>
      <sheetName val="RAB_GAB2"/>
      <sheetName val="analisa_(2)2"/>
      <sheetName val="MAIN_SC_2"/>
      <sheetName val="SC_PK2"/>
      <sheetName val="SC_BHN2"/>
      <sheetName val="Break_Down2"/>
      <sheetName val="Needed_Steel2"/>
      <sheetName val="RAB_FIX2"/>
      <sheetName val="REKAP_BOQ"/>
      <sheetName val="Vol_R_GB"/>
      <sheetName val="RAB_GAB_BOQ"/>
      <sheetName val="analisa_kusen"/>
      <sheetName val="Resume_analisa"/>
      <sheetName val="REKAP_"/>
      <sheetName val="RAB_GAB"/>
      <sheetName val="analisa_(2)"/>
      <sheetName val="MAIN_SC_"/>
      <sheetName val="SC_PK"/>
      <sheetName val="SC_BHN"/>
      <sheetName val="Break_Down"/>
      <sheetName val="Needed_Steel"/>
      <sheetName val="RAB_FIX"/>
      <sheetName val="REKAP_BOQ1"/>
      <sheetName val="Vol_R_GB1"/>
      <sheetName val="RAB_GAB_BOQ1"/>
      <sheetName val="analisa_kusen1"/>
      <sheetName val="Resume_analisa1"/>
      <sheetName val="REKAP_1"/>
      <sheetName val="RAB_GAB1"/>
      <sheetName val="analisa_(2)1"/>
      <sheetName val="MAIN_SC_1"/>
      <sheetName val="SC_PK1"/>
      <sheetName val="SC_BHN1"/>
      <sheetName val="Break_Down1"/>
      <sheetName val="Needed_Steel1"/>
      <sheetName val="RAB_FIX1"/>
      <sheetName val="REKAP_BOQ3"/>
      <sheetName val="Vol_R_GB3"/>
      <sheetName val="RAB_GAB_BOQ3"/>
      <sheetName val="analisa_kusen3"/>
      <sheetName val="Resume_analisa3"/>
      <sheetName val="REKAP_3"/>
      <sheetName val="RAB_GAB3"/>
      <sheetName val="analisa_(2)3"/>
      <sheetName val="MAIN_SC_3"/>
      <sheetName val="SC_PK3"/>
      <sheetName val="SC_BHN3"/>
      <sheetName val="Break_Down3"/>
      <sheetName val="Needed_Steel3"/>
      <sheetName val="RAB_FIX3"/>
      <sheetName val="REKAP_BOQ13"/>
      <sheetName val="Vol_R_GB13"/>
      <sheetName val="RAB_GAB_BOQ13"/>
      <sheetName val="analisa_kusen13"/>
      <sheetName val="Resume_analisa13"/>
      <sheetName val="REKAP_13"/>
      <sheetName val="RAB_GAB13"/>
      <sheetName val="analisa_(2)13"/>
      <sheetName val="MAIN_SC_13"/>
      <sheetName val="SC_PK13"/>
      <sheetName val="SC_BHN13"/>
      <sheetName val="Break_Down13"/>
      <sheetName val="Needed_Steel13"/>
      <sheetName val="RAB_FIX13"/>
      <sheetName val="REKAP_BOQ4"/>
      <sheetName val="Vol_R_GB4"/>
      <sheetName val="RAB_GAB_BOQ4"/>
      <sheetName val="analisa_kusen4"/>
      <sheetName val="Resume_analisa4"/>
      <sheetName val="REKAP_4"/>
      <sheetName val="RAB_GAB4"/>
      <sheetName val="analisa_(2)4"/>
      <sheetName val="MAIN_SC_4"/>
      <sheetName val="SC_PK4"/>
      <sheetName val="SC_BHN4"/>
      <sheetName val="Break_Down4"/>
      <sheetName val="Needed_Steel4"/>
      <sheetName val="RAB_FIX4"/>
      <sheetName val="REKAP_BOQ5"/>
      <sheetName val="Vol_R_GB5"/>
      <sheetName val="RAB_GAB_BOQ5"/>
      <sheetName val="analisa_kusen5"/>
      <sheetName val="Resume_analisa5"/>
      <sheetName val="REKAP_5"/>
      <sheetName val="RAB_GAB5"/>
      <sheetName val="analisa_(2)5"/>
      <sheetName val="MAIN_SC_5"/>
      <sheetName val="SC_PK5"/>
      <sheetName val="SC_BHN5"/>
      <sheetName val="Break_Down5"/>
      <sheetName val="Needed_Steel5"/>
      <sheetName val="RAB_FIX5"/>
      <sheetName val="REKAP_BOQ12"/>
      <sheetName val="Vol_R_GB12"/>
      <sheetName val="RAB_GAB_BOQ12"/>
      <sheetName val="analisa_kusen12"/>
      <sheetName val="Resume_analisa12"/>
      <sheetName val="REKAP_12"/>
      <sheetName val="RAB_GAB12"/>
      <sheetName val="analisa_(2)12"/>
      <sheetName val="MAIN_SC_12"/>
      <sheetName val="SC_PK12"/>
      <sheetName val="SC_BHN12"/>
      <sheetName val="Break_Down12"/>
      <sheetName val="Needed_Steel12"/>
      <sheetName val="RAB_FIX12"/>
      <sheetName val="REKAP_BOQ11"/>
      <sheetName val="Vol_R_GB11"/>
      <sheetName val="RAB_GAB_BOQ11"/>
      <sheetName val="analisa_kusen11"/>
      <sheetName val="Resume_analisa11"/>
      <sheetName val="REKAP_11"/>
      <sheetName val="RAB_GAB11"/>
      <sheetName val="analisa_(2)11"/>
      <sheetName val="MAIN_SC_11"/>
      <sheetName val="SC_PK11"/>
      <sheetName val="SC_BHN11"/>
      <sheetName val="Break_Down11"/>
      <sheetName val="Needed_Steel11"/>
      <sheetName val="RAB_FIX11"/>
      <sheetName val="REKAP_BOQ10"/>
      <sheetName val="Vol_R_GB10"/>
      <sheetName val="RAB_GAB_BOQ10"/>
      <sheetName val="analisa_kusen10"/>
      <sheetName val="Resume_analisa10"/>
      <sheetName val="REKAP_10"/>
      <sheetName val="RAB_GAB10"/>
      <sheetName val="analisa_(2)10"/>
      <sheetName val="MAIN_SC_10"/>
      <sheetName val="SC_PK10"/>
      <sheetName val="SC_BHN10"/>
      <sheetName val="Break_Down10"/>
      <sheetName val="Needed_Steel10"/>
      <sheetName val="RAB_FIX10"/>
      <sheetName val="REKAP_BOQ9"/>
      <sheetName val="Vol_R_GB9"/>
      <sheetName val="RAB_GAB_BOQ9"/>
      <sheetName val="analisa_kusen9"/>
      <sheetName val="Resume_analisa9"/>
      <sheetName val="REKAP_9"/>
      <sheetName val="RAB_GAB9"/>
      <sheetName val="analisa_(2)9"/>
      <sheetName val="MAIN_SC_9"/>
      <sheetName val="SC_PK9"/>
      <sheetName val="SC_BHN9"/>
      <sheetName val="Break_Down9"/>
      <sheetName val="Needed_Steel9"/>
      <sheetName val="RAB_FIX9"/>
      <sheetName val="REKAP_BOQ6"/>
      <sheetName val="Vol_R_GB6"/>
      <sheetName val="RAB_GAB_BOQ6"/>
      <sheetName val="analisa_kusen6"/>
      <sheetName val="Resume_analisa6"/>
      <sheetName val="REKAP_6"/>
      <sheetName val="RAB_GAB6"/>
      <sheetName val="analisa_(2)6"/>
      <sheetName val="MAIN_SC_6"/>
      <sheetName val="SC_PK6"/>
      <sheetName val="SC_BHN6"/>
      <sheetName val="Break_Down6"/>
      <sheetName val="Needed_Steel6"/>
      <sheetName val="RAB_FIX6"/>
      <sheetName val="REKAP_BOQ7"/>
      <sheetName val="Vol_R_GB7"/>
      <sheetName val="RAB_GAB_BOQ7"/>
      <sheetName val="analisa_kusen7"/>
      <sheetName val="Resume_analisa7"/>
      <sheetName val="REKAP_7"/>
      <sheetName val="RAB_GAB7"/>
      <sheetName val="analisa_(2)7"/>
      <sheetName val="MAIN_SC_7"/>
      <sheetName val="SC_PK7"/>
      <sheetName val="SC_BHN7"/>
      <sheetName val="Break_Down7"/>
      <sheetName val="Needed_Steel7"/>
      <sheetName val="RAB_FIX7"/>
      <sheetName val="REKAP_BOQ8"/>
      <sheetName val="Vol_R_GB8"/>
      <sheetName val="RAB_GAB_BOQ8"/>
      <sheetName val="analisa_kusen8"/>
      <sheetName val="Resume_analisa8"/>
      <sheetName val="REKAP_8"/>
      <sheetName val="RAB_GAB8"/>
      <sheetName val="analisa_(2)8"/>
      <sheetName val="MAIN_SC_8"/>
      <sheetName val="SC_PK8"/>
      <sheetName val="SC_BHN8"/>
      <sheetName val="Break_Down8"/>
      <sheetName val="Needed_Steel8"/>
      <sheetName val="RAB_FIX8"/>
      <sheetName val="UNIT PRICE"/>
      <sheetName val="Bill rek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70">
          <cell r="D170">
            <v>35000</v>
          </cell>
        </row>
      </sheetData>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analisa"/>
      <sheetName val="bahan"/>
      <sheetName val="VOLUME"/>
      <sheetName val="RAB"/>
      <sheetName val="Upah+bahan"/>
      <sheetName val="formminat"/>
    </sheetNames>
    <sheetDataSet>
      <sheetData sheetId="0"/>
      <sheetData sheetId="1"/>
      <sheetData sheetId="2" refreshError="1">
        <row r="128">
          <cell r="D128">
            <v>35000</v>
          </cell>
        </row>
      </sheetData>
      <sheetData sheetId="3"/>
      <sheetData sheetId="4"/>
      <sheetData sheetId="5" refreshError="1"/>
      <sheetData sheetId="6"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n sche"/>
      <sheetName val="Bahan&amp; upah"/>
      <sheetName val="Analisa"/>
      <sheetName val="Rab"/>
      <sheetName val="Sub. Rekap"/>
      <sheetName val="Rekap"/>
    </sheetNames>
    <sheetDataSet>
      <sheetData sheetId="0" refreshError="1"/>
      <sheetData sheetId="1" refreshError="1">
        <row r="167">
          <cell r="F167">
            <v>46200</v>
          </cell>
        </row>
        <row r="168">
          <cell r="F168">
            <v>40000</v>
          </cell>
        </row>
        <row r="170">
          <cell r="F170">
            <v>38500</v>
          </cell>
        </row>
      </sheetData>
      <sheetData sheetId="2" refreshError="1"/>
      <sheetData sheetId="3" refreshError="1"/>
      <sheetData sheetId="4" refreshError="1"/>
      <sheetData sheetId="5"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ta Quarry"/>
      <sheetName val="L_1"/>
      <sheetName val="L_9"/>
      <sheetName val="plant"/>
      <sheetName val="L_13"/>
      <sheetName val="LAMP-7"/>
      <sheetName val="L_10"/>
      <sheetName val="LAMP-5"/>
      <sheetName val="L_11"/>
      <sheetName val="MOS"/>
    </sheetNames>
    <sheetDataSet>
      <sheetData sheetId="0" refreshError="1"/>
      <sheetData sheetId="1" refreshError="1"/>
      <sheetData sheetId="2" refreshError="1">
        <row r="1">
          <cell r="A1" t="str">
            <v>Lampiran  Penawaran</v>
          </cell>
        </row>
        <row r="2">
          <cell r="A2" t="str">
            <v>DAFTAR USULAN PERALATAN</v>
          </cell>
        </row>
        <row r="4">
          <cell r="A4" t="str">
            <v>Nama Pekerjaan</v>
          </cell>
          <cell r="C4" t="str">
            <v>:  Peningkatan Jalan Paringin - Halong</v>
          </cell>
        </row>
        <row r="5">
          <cell r="A5" t="str">
            <v>Paket / Kontrak No.</v>
          </cell>
          <cell r="C5" t="str">
            <v>:</v>
          </cell>
        </row>
        <row r="6">
          <cell r="A6" t="str">
            <v>Nama Peserta Lelang</v>
          </cell>
          <cell r="C6" t="str">
            <v>:  CV. MARGA KARYA</v>
          </cell>
        </row>
        <row r="8">
          <cell r="D8" t="str">
            <v>MEREK</v>
          </cell>
          <cell r="E8" t="str">
            <v>TAHUN</v>
          </cell>
          <cell r="F8" t="str">
            <v>UKURAN</v>
          </cell>
          <cell r="G8" t="str">
            <v>MILIK SENDIRI,</v>
          </cell>
          <cell r="H8" t="str">
            <v>KONDISI</v>
          </cell>
          <cell r="I8" t="str">
            <v xml:space="preserve">LOKASI SAAT </v>
          </cell>
        </row>
        <row r="9">
          <cell r="A9" t="str">
            <v>KUANTITAS</v>
          </cell>
          <cell r="B9" t="str">
            <v>URAIAN</v>
          </cell>
          <cell r="D9" t="str">
            <v>DAN</v>
          </cell>
          <cell r="E9" t="str">
            <v>PEMBU-</v>
          </cell>
          <cell r="F9" t="str">
            <v>KAPASITAS</v>
          </cell>
          <cell r="G9" t="str">
            <v>AKAN BELI ATAU</v>
          </cell>
          <cell r="I9" t="str">
            <v>INI</v>
          </cell>
        </row>
        <row r="10">
          <cell r="D10" t="str">
            <v>MODEL</v>
          </cell>
          <cell r="E10" t="str">
            <v>ATAN</v>
          </cell>
          <cell r="F10" t="str">
            <v>ATAU DAYA</v>
          </cell>
          <cell r="G10" t="str">
            <v>AKAN SEWA</v>
          </cell>
        </row>
        <row r="12">
          <cell r="A12" t="str">
            <v>1 Unit</v>
          </cell>
          <cell r="B12" t="str">
            <v>AMP</v>
          </cell>
          <cell r="D12" t="str">
            <v>Bukaka BAMP30</v>
          </cell>
          <cell r="E12">
            <v>1995</v>
          </cell>
          <cell r="F12" t="str">
            <v>125 HP / 50 T</v>
          </cell>
          <cell r="G12" t="str">
            <v>Sewa</v>
          </cell>
          <cell r="H12" t="str">
            <v>Baik</v>
          </cell>
          <cell r="I12" t="str">
            <v>Paringin Km Bjm 194</v>
          </cell>
        </row>
        <row r="13">
          <cell r="A13" t="str">
            <v>1 Unit</v>
          </cell>
          <cell r="B13" t="str">
            <v>Asphalt Finisher</v>
          </cell>
          <cell r="D13" t="str">
            <v>Nigata 6MP</v>
          </cell>
          <cell r="E13">
            <v>1995</v>
          </cell>
          <cell r="F13" t="str">
            <v>47 HP / 60 T</v>
          </cell>
          <cell r="G13" t="str">
            <v>Sewa</v>
          </cell>
          <cell r="H13" t="str">
            <v>Baik</v>
          </cell>
          <cell r="I13" t="str">
            <v>Paringin Km Bjm 194</v>
          </cell>
        </row>
        <row r="14">
          <cell r="A14" t="str">
            <v>1 Unit</v>
          </cell>
          <cell r="B14" t="str">
            <v>Asphalt Sprayer</v>
          </cell>
          <cell r="D14" t="str">
            <v>Bukaka</v>
          </cell>
          <cell r="E14">
            <v>1995</v>
          </cell>
          <cell r="F14" t="str">
            <v>1000 ltr/25 HP</v>
          </cell>
          <cell r="G14" t="str">
            <v>Sewa</v>
          </cell>
          <cell r="H14" t="str">
            <v>Baik</v>
          </cell>
          <cell r="I14" t="str">
            <v>Paringin Km Bjm 194</v>
          </cell>
        </row>
        <row r="15">
          <cell r="A15" t="str">
            <v>1 Unit</v>
          </cell>
          <cell r="B15" t="str">
            <v>Compressor</v>
          </cell>
          <cell r="D15" t="str">
            <v>Airman GD SP 825</v>
          </cell>
          <cell r="E15">
            <v>1996</v>
          </cell>
          <cell r="F15" t="str">
            <v>250 CPM/35 HP</v>
          </cell>
          <cell r="G15" t="str">
            <v>Sewa</v>
          </cell>
          <cell r="H15" t="str">
            <v>Baik</v>
          </cell>
          <cell r="I15" t="str">
            <v>Paringin Km Bjm 194</v>
          </cell>
        </row>
        <row r="16">
          <cell r="A16" t="str">
            <v>5 Unit</v>
          </cell>
          <cell r="B16" t="str">
            <v>Dump Truck</v>
          </cell>
          <cell r="D16" t="str">
            <v>Colt Diesel</v>
          </cell>
          <cell r="E16">
            <v>1997</v>
          </cell>
          <cell r="F16" t="str">
            <v>8 ton/145HP</v>
          </cell>
          <cell r="G16" t="str">
            <v>Sewa</v>
          </cell>
          <cell r="H16" t="str">
            <v>Baik</v>
          </cell>
          <cell r="I16" t="str">
            <v>Kandangan Km Bjm 137</v>
          </cell>
        </row>
        <row r="17">
          <cell r="A17" t="str">
            <v>1 Unit</v>
          </cell>
          <cell r="B17" t="str">
            <v>Excavator</v>
          </cell>
          <cell r="D17" t="str">
            <v>Cat E200 / Komatsu PC200</v>
          </cell>
          <cell r="E17">
            <v>1997</v>
          </cell>
          <cell r="F17" t="str">
            <v>1 M3/100 HP</v>
          </cell>
          <cell r="G17" t="str">
            <v>Sewa</v>
          </cell>
          <cell r="H17" t="str">
            <v>Baik</v>
          </cell>
          <cell r="I17" t="str">
            <v>Paringin Km Bjm 194</v>
          </cell>
        </row>
        <row r="18">
          <cell r="A18" t="str">
            <v>1 Unit</v>
          </cell>
          <cell r="B18" t="str">
            <v>Wheel Loader</v>
          </cell>
          <cell r="D18" t="str">
            <v>Komatsu / Caterpillar</v>
          </cell>
          <cell r="E18" t="str">
            <v>1996/1997</v>
          </cell>
          <cell r="F18" t="str">
            <v>125 hp/1,5 m3</v>
          </cell>
          <cell r="G18" t="str">
            <v>Sewa</v>
          </cell>
          <cell r="H18" t="str">
            <v>Baik</v>
          </cell>
          <cell r="I18" t="str">
            <v>Paringin Km Bjm 194</v>
          </cell>
        </row>
        <row r="19">
          <cell r="A19" t="str">
            <v>1 Unit</v>
          </cell>
          <cell r="B19" t="str">
            <v>Tandem Roller</v>
          </cell>
          <cell r="D19" t="str">
            <v>Sakai WM 500/ Jinlink</v>
          </cell>
          <cell r="E19">
            <v>1997</v>
          </cell>
          <cell r="F19" t="str">
            <v>10-12 ton/95 HP</v>
          </cell>
          <cell r="G19" t="str">
            <v>Sewa</v>
          </cell>
          <cell r="H19" t="str">
            <v>Baik</v>
          </cell>
          <cell r="I19" t="str">
            <v>Paringin Km Bjm 194</v>
          </cell>
        </row>
        <row r="20">
          <cell r="A20" t="str">
            <v>1 Unit</v>
          </cell>
          <cell r="B20" t="str">
            <v>Tyre Roller</v>
          </cell>
          <cell r="D20" t="str">
            <v>Bukaka / Sakai</v>
          </cell>
          <cell r="E20">
            <v>1996</v>
          </cell>
          <cell r="F20" t="str">
            <v>90 HP / 8 Ton</v>
          </cell>
          <cell r="G20" t="str">
            <v>Sewa</v>
          </cell>
          <cell r="H20" t="str">
            <v>Baik</v>
          </cell>
          <cell r="I20" t="str">
            <v>Paringin Km Bjm 194</v>
          </cell>
        </row>
        <row r="21">
          <cell r="A21" t="str">
            <v>1 Unit</v>
          </cell>
          <cell r="B21" t="str">
            <v>Stone Crusher</v>
          </cell>
          <cell r="D21" t="str">
            <v>Bukaka</v>
          </cell>
          <cell r="E21">
            <v>1996</v>
          </cell>
          <cell r="F21" t="str">
            <v>95 HP / 50 Ton</v>
          </cell>
          <cell r="G21" t="str">
            <v>Sewa</v>
          </cell>
          <cell r="H21" t="str">
            <v>Baik</v>
          </cell>
          <cell r="I21" t="str">
            <v>Paringin Km Bjm 194</v>
          </cell>
        </row>
        <row r="22">
          <cell r="A22" t="str">
            <v>1 Unit</v>
          </cell>
          <cell r="B22" t="str">
            <v>Water Tank truck</v>
          </cell>
          <cell r="D22" t="str">
            <v>Colt Dieel</v>
          </cell>
          <cell r="E22">
            <v>1996</v>
          </cell>
          <cell r="F22" t="str">
            <v>5.000 ltr/115 HP</v>
          </cell>
          <cell r="G22" t="str">
            <v>Sewa</v>
          </cell>
          <cell r="H22" t="str">
            <v>Baik</v>
          </cell>
          <cell r="I22" t="str">
            <v>Paringin Km Bjm 194</v>
          </cell>
        </row>
        <row r="23">
          <cell r="A23" t="str">
            <v>2 Unit</v>
          </cell>
          <cell r="B23" t="str">
            <v>Generator Set</v>
          </cell>
          <cell r="D23" t="str">
            <v>Caterpillar 3306T</v>
          </cell>
          <cell r="E23">
            <v>1996</v>
          </cell>
          <cell r="F23" t="str">
            <v>220 KVA/170 HP</v>
          </cell>
          <cell r="G23" t="str">
            <v>Sewa</v>
          </cell>
          <cell r="H23" t="str">
            <v>Baik</v>
          </cell>
          <cell r="I23" t="str">
            <v>Paringin Km Bjm 194</v>
          </cell>
        </row>
        <row r="24">
          <cell r="A24" t="str">
            <v>1 Unit</v>
          </cell>
          <cell r="B24" t="str">
            <v>AMP</v>
          </cell>
          <cell r="D24" t="str">
            <v>Bukaka BAMP30</v>
          </cell>
          <cell r="E24">
            <v>1995</v>
          </cell>
          <cell r="F24" t="str">
            <v>125 HP / 50 T</v>
          </cell>
          <cell r="G24" t="str">
            <v>Sewa</v>
          </cell>
          <cell r="H24" t="str">
            <v>Baik</v>
          </cell>
          <cell r="I24" t="str">
            <v>Paringin Km Bjm 194</v>
          </cell>
        </row>
        <row r="25">
          <cell r="A25" t="str">
            <v>1 Unit</v>
          </cell>
          <cell r="B25" t="str">
            <v>Asphalt Finisher</v>
          </cell>
          <cell r="D25" t="str">
            <v>Nigata 6MP</v>
          </cell>
          <cell r="E25">
            <v>1995</v>
          </cell>
          <cell r="F25" t="str">
            <v>47 HP / 60 T</v>
          </cell>
          <cell r="G25" t="str">
            <v>Sewa</v>
          </cell>
          <cell r="H25" t="str">
            <v>Baik</v>
          </cell>
          <cell r="I25" t="str">
            <v>Paringin Km Bjm 194</v>
          </cell>
        </row>
        <row r="26">
          <cell r="A26" t="str">
            <v>2 Unit</v>
          </cell>
          <cell r="B26" t="str">
            <v>Generator Set</v>
          </cell>
          <cell r="D26" t="str">
            <v>Caterpillar 3306T</v>
          </cell>
          <cell r="E26">
            <v>1996</v>
          </cell>
          <cell r="F26" t="str">
            <v>220 KVA/170 HP</v>
          </cell>
          <cell r="G26" t="str">
            <v>Kandangan, 04 Mei 2006</v>
          </cell>
          <cell r="H26" t="str">
            <v>Baik</v>
          </cell>
          <cell r="I26" t="str">
            <v>Paringin Km Bjm 194</v>
          </cell>
        </row>
        <row r="27">
          <cell r="A27" t="str">
            <v>1 Unit</v>
          </cell>
          <cell r="B27" t="str">
            <v>Concrete Vibrator</v>
          </cell>
          <cell r="D27" t="str">
            <v>Nikita</v>
          </cell>
          <cell r="E27">
            <v>2000</v>
          </cell>
          <cell r="F27" t="str">
            <v>2 HP</v>
          </cell>
          <cell r="G27" t="str">
            <v>CV. MARGA KARYA</v>
          </cell>
          <cell r="H27" t="str">
            <v>Baik</v>
          </cell>
          <cell r="I27" t="str">
            <v>Kandangan Km Bjm 137</v>
          </cell>
        </row>
        <row r="28">
          <cell r="A28" t="str">
            <v>1 Unit</v>
          </cell>
          <cell r="B28" t="str">
            <v>Tyre Roller</v>
          </cell>
          <cell r="D28" t="str">
            <v>Bukaka / Sakai</v>
          </cell>
          <cell r="E28">
            <v>1996</v>
          </cell>
          <cell r="F28" t="str">
            <v>90 HP / 8 Ton</v>
          </cell>
          <cell r="G28" t="str">
            <v>Sewa</v>
          </cell>
          <cell r="H28" t="str">
            <v>Baik</v>
          </cell>
          <cell r="I28" t="str">
            <v>Paringin Km Bjm 194</v>
          </cell>
        </row>
        <row r="29">
          <cell r="A29" t="str">
            <v>1 Unit</v>
          </cell>
          <cell r="B29" t="str">
            <v>Stone Crusher</v>
          </cell>
          <cell r="D29" t="str">
            <v>Bukaka</v>
          </cell>
          <cell r="E29">
            <v>1996</v>
          </cell>
          <cell r="F29" t="str">
            <v>95 HP / 50 Ton</v>
          </cell>
          <cell r="G29" t="str">
            <v>Sewa</v>
          </cell>
          <cell r="H29" t="str">
            <v>Baik</v>
          </cell>
          <cell r="I29" t="str">
            <v>Paringin Km Bjm 194</v>
          </cell>
        </row>
        <row r="30">
          <cell r="A30" t="str">
            <v>2 Unit</v>
          </cell>
          <cell r="B30" t="str">
            <v>Jack Hammer</v>
          </cell>
          <cell r="G30" t="str">
            <v>Milik Sendiri</v>
          </cell>
          <cell r="H30" t="str">
            <v>Baik</v>
          </cell>
          <cell r="I30" t="str">
            <v>Paringin Km Bjm 194</v>
          </cell>
        </row>
        <row r="31">
          <cell r="A31" t="str">
            <v>2 Unit</v>
          </cell>
          <cell r="B31" t="str">
            <v>Pickup</v>
          </cell>
          <cell r="D31" t="str">
            <v xml:space="preserve">Toyota </v>
          </cell>
          <cell r="E31">
            <v>2000</v>
          </cell>
          <cell r="F31" t="str">
            <v>1,0 Ton</v>
          </cell>
          <cell r="G31" t="str">
            <v>Milik Sendiri</v>
          </cell>
          <cell r="H31" t="str">
            <v>Baik</v>
          </cell>
          <cell r="I31" t="str">
            <v>Kandangan Km Bjm 137</v>
          </cell>
        </row>
        <row r="32">
          <cell r="A32" t="str">
            <v>1 Set</v>
          </cell>
          <cell r="B32" t="str">
            <v>Survey Equipment</v>
          </cell>
          <cell r="E32">
            <v>2000</v>
          </cell>
          <cell r="G32" t="str">
            <v>H. BADRA QOUTHNIE AKBAR</v>
          </cell>
          <cell r="H32" t="str">
            <v>Baik</v>
          </cell>
          <cell r="I32" t="str">
            <v>Paringin Km Bjm 194</v>
          </cell>
        </row>
        <row r="33">
          <cell r="A33" t="str">
            <v>1 Unit</v>
          </cell>
          <cell r="B33" t="str">
            <v>Generator Set</v>
          </cell>
          <cell r="D33" t="str">
            <v>Kobuta</v>
          </cell>
          <cell r="E33">
            <v>1996</v>
          </cell>
          <cell r="F33" t="str">
            <v xml:space="preserve">3 KVA </v>
          </cell>
          <cell r="G33" t="str">
            <v>Direktur</v>
          </cell>
          <cell r="H33" t="str">
            <v>Baik</v>
          </cell>
          <cell r="I33" t="str">
            <v>Paringin Km Bjm 194</v>
          </cell>
        </row>
        <row r="34">
          <cell r="A34" t="str">
            <v>1 Unit</v>
          </cell>
          <cell r="B34" t="str">
            <v>3 Wheel Roller</v>
          </cell>
          <cell r="D34" t="str">
            <v>Sakai WM 400</v>
          </cell>
          <cell r="E34">
            <v>1997</v>
          </cell>
          <cell r="F34" t="str">
            <v>6-8 ton/90 HP</v>
          </cell>
          <cell r="G34" t="str">
            <v>Milik Sendiri</v>
          </cell>
          <cell r="H34" t="str">
            <v>Baik</v>
          </cell>
          <cell r="I34" t="str">
            <v>Kandangan Km Bjm 137</v>
          </cell>
        </row>
        <row r="38">
          <cell r="G38" t="str">
            <v>Amuntai, 6 Maret 2006</v>
          </cell>
        </row>
        <row r="39">
          <cell r="G39" t="str">
            <v>CV. CAHAYA</v>
          </cell>
        </row>
        <row r="44">
          <cell r="G44" t="str">
            <v>Hj. BADERA TASYAH</v>
          </cell>
        </row>
        <row r="45">
          <cell r="G45" t="str">
            <v>Direktur'</v>
          </cell>
        </row>
      </sheetData>
      <sheetData sheetId="3" refreshError="1">
        <row r="1">
          <cell r="A1" t="str">
            <v>LAMPIRAN  PENAWARAN</v>
          </cell>
        </row>
        <row r="4">
          <cell r="A4" t="str">
            <v>KONFIRMASI KAPASITAS PLANT PENCAMPUR ASPAL</v>
          </cell>
        </row>
        <row r="6">
          <cell r="A6" t="str">
            <v>Nama Peserta Lelang</v>
          </cell>
          <cell r="E6" t="str">
            <v>:  CV. MARGA KARYA</v>
          </cell>
        </row>
        <row r="8">
          <cell r="A8" t="str">
            <v>1.</v>
          </cell>
          <cell r="B8" t="str">
            <v>Waktu bekerja yang tersedia</v>
          </cell>
        </row>
        <row r="9">
          <cell r="B9" t="str">
            <v>(a)</v>
          </cell>
          <cell r="C9" t="str">
            <v>Jangka waktu pelaksanaan</v>
          </cell>
          <cell r="Q9" t="str">
            <v>=</v>
          </cell>
          <cell r="R9">
            <v>160</v>
          </cell>
          <cell r="S9" t="str">
            <v>hari</v>
          </cell>
        </row>
        <row r="10">
          <cell r="B10" t="str">
            <v>(b)</v>
          </cell>
          <cell r="C10" t="str">
            <v>Mobilisasi dan jangka waktu pemasangan peralatan dan persediaan material (min=60 hari)</v>
          </cell>
          <cell r="Q10" t="str">
            <v>=</v>
          </cell>
          <cell r="R10">
            <v>0</v>
          </cell>
          <cell r="S10" t="str">
            <v>hari</v>
          </cell>
        </row>
        <row r="11">
          <cell r="B11" t="str">
            <v>(c)</v>
          </cell>
          <cell r="C11" t="str">
            <v>Demobilisasi/waktu tidak produktif pada akhir masa kontrak (min=30 hari)</v>
          </cell>
          <cell r="Q11" t="str">
            <v>=</v>
          </cell>
          <cell r="R11">
            <v>0</v>
          </cell>
          <cell r="S11" t="str">
            <v>hari</v>
          </cell>
        </row>
        <row r="12">
          <cell r="B12" t="str">
            <v>(d)</v>
          </cell>
          <cell r="C12" t="str">
            <v>Hari-hari libur, kerusakan-kerusakan, gangguan-gangguan, dsb</v>
          </cell>
          <cell r="Q12" t="str">
            <v>=</v>
          </cell>
          <cell r="R12">
            <v>4</v>
          </cell>
          <cell r="S12" t="str">
            <v>hari</v>
          </cell>
        </row>
        <row r="14">
          <cell r="C14" t="str">
            <v>(c)</v>
          </cell>
          <cell r="D14" t="str">
            <v>Jumlah hari kerja yang sesungguhnya (a) - (b) - (c) - (d)</v>
          </cell>
          <cell r="Q14" t="str">
            <v>=</v>
          </cell>
          <cell r="R14">
            <v>156</v>
          </cell>
          <cell r="S14" t="str">
            <v>hari</v>
          </cell>
        </row>
        <row r="15">
          <cell r="C15" t="str">
            <v>(C)</v>
          </cell>
          <cell r="D15" t="str">
            <v>Jumlah jam kerja Plant yang sesungguhnya</v>
          </cell>
          <cell r="L15">
            <v>7</v>
          </cell>
          <cell r="M15" t="str">
            <v>jam/hari</v>
          </cell>
          <cell r="Q15" t="str">
            <v>=</v>
          </cell>
          <cell r="R15">
            <v>1092</v>
          </cell>
          <cell r="S15" t="str">
            <v>jam</v>
          </cell>
        </row>
        <row r="17">
          <cell r="A17" t="str">
            <v>2.</v>
          </cell>
          <cell r="B17" t="str">
            <v>Kebutuhan bahan aspal campuran panas</v>
          </cell>
        </row>
        <row r="18">
          <cell r="B18" t="str">
            <v>(1)</v>
          </cell>
          <cell r="C18" t="str">
            <v>Latasir (SS) Kelas A</v>
          </cell>
          <cell r="H18" t="str">
            <v>............ *</v>
          </cell>
          <cell r="I18" t="str">
            <v>m2 x</v>
          </cell>
          <cell r="J18">
            <v>1.4999999999999999E-2</v>
          </cell>
          <cell r="K18" t="str">
            <v>x</v>
          </cell>
          <cell r="L18">
            <v>2.2999999999999998</v>
          </cell>
          <cell r="M18" t="str">
            <v>x</v>
          </cell>
          <cell r="N18" t="str">
            <v>W ***</v>
          </cell>
          <cell r="Q18" t="str">
            <v>=</v>
          </cell>
          <cell r="R18" t="str">
            <v>...........</v>
          </cell>
          <cell r="S18" t="str">
            <v>ton</v>
          </cell>
        </row>
        <row r="19">
          <cell r="B19" t="str">
            <v>(2)</v>
          </cell>
          <cell r="C19" t="str">
            <v>Latasir (SS) Kelas B</v>
          </cell>
          <cell r="H19" t="str">
            <v>............ *</v>
          </cell>
          <cell r="I19" t="str">
            <v>m2 x</v>
          </cell>
          <cell r="J19">
            <v>0.02</v>
          </cell>
          <cell r="K19" t="str">
            <v>x</v>
          </cell>
          <cell r="L19">
            <v>2.2999999999999998</v>
          </cell>
          <cell r="M19" t="str">
            <v>x</v>
          </cell>
          <cell r="N19" t="str">
            <v>W ***</v>
          </cell>
          <cell r="Q19" t="str">
            <v>=</v>
          </cell>
          <cell r="R19" t="str">
            <v>...........</v>
          </cell>
          <cell r="S19" t="str">
            <v>ton</v>
          </cell>
        </row>
        <row r="20">
          <cell r="B20" t="str">
            <v>(3)</v>
          </cell>
          <cell r="C20" t="str">
            <v>Lataston - Lapis Aus (HRS-WC)</v>
          </cell>
          <cell r="H20">
            <v>4000</v>
          </cell>
          <cell r="I20" t="str">
            <v>m2 x</v>
          </cell>
          <cell r="J20">
            <v>0.03</v>
          </cell>
          <cell r="K20" t="str">
            <v>x</v>
          </cell>
          <cell r="L20">
            <v>2.2999999999999998</v>
          </cell>
          <cell r="M20" t="str">
            <v>x</v>
          </cell>
          <cell r="N20">
            <v>1.05</v>
          </cell>
          <cell r="Q20" t="str">
            <v>=</v>
          </cell>
          <cell r="R20">
            <v>289.8</v>
          </cell>
          <cell r="S20" t="str">
            <v>ton</v>
          </cell>
        </row>
        <row r="21">
          <cell r="B21" t="str">
            <v>(4)</v>
          </cell>
          <cell r="C21" t="str">
            <v>Lataston - Lapis Pondasi (HRS-Base)</v>
          </cell>
          <cell r="H21">
            <v>270</v>
          </cell>
          <cell r="I21" t="str">
            <v>m3 x</v>
          </cell>
          <cell r="J21">
            <v>2.2999999999999998</v>
          </cell>
          <cell r="K21" t="str">
            <v>x</v>
          </cell>
          <cell r="L21">
            <v>1.05</v>
          </cell>
          <cell r="Q21" t="str">
            <v>=</v>
          </cell>
          <cell r="R21">
            <v>652.05000000000007</v>
          </cell>
          <cell r="S21" t="str">
            <v>ton</v>
          </cell>
        </row>
        <row r="22">
          <cell r="B22" t="str">
            <v>(5)</v>
          </cell>
          <cell r="C22" t="str">
            <v>Laston - Lapis Aus (AC-WC)</v>
          </cell>
          <cell r="H22" t="str">
            <v>............ *</v>
          </cell>
          <cell r="I22" t="str">
            <v>m2 x</v>
          </cell>
          <cell r="J22">
            <v>0.04</v>
          </cell>
          <cell r="K22" t="str">
            <v>x</v>
          </cell>
          <cell r="L22">
            <v>2.2999999999999998</v>
          </cell>
          <cell r="M22" t="str">
            <v>x</v>
          </cell>
          <cell r="N22" t="str">
            <v>W ***</v>
          </cell>
          <cell r="Q22" t="str">
            <v>=</v>
          </cell>
          <cell r="R22" t="str">
            <v>...........</v>
          </cell>
          <cell r="S22" t="str">
            <v>ton</v>
          </cell>
        </row>
        <row r="23">
          <cell r="B23" t="str">
            <v>(6)</v>
          </cell>
          <cell r="C23" t="str">
            <v>Laston - Lapis Pengikat (AC-BC)</v>
          </cell>
          <cell r="H23" t="str">
            <v>............ *</v>
          </cell>
          <cell r="I23" t="str">
            <v>m2 x</v>
          </cell>
          <cell r="J23">
            <v>2.2999999999999998</v>
          </cell>
          <cell r="K23" t="str">
            <v>x</v>
          </cell>
          <cell r="L23" t="str">
            <v>W ***</v>
          </cell>
          <cell r="Q23" t="str">
            <v>=</v>
          </cell>
          <cell r="R23" t="str">
            <v>...........</v>
          </cell>
          <cell r="S23" t="str">
            <v>ton</v>
          </cell>
        </row>
        <row r="24">
          <cell r="B24" t="str">
            <v>(7)</v>
          </cell>
          <cell r="C24" t="str">
            <v>Laston - Lapis Pondasi (AC-Base)</v>
          </cell>
          <cell r="H24" t="str">
            <v>............ *</v>
          </cell>
          <cell r="I24" t="str">
            <v>m3 x</v>
          </cell>
          <cell r="J24">
            <v>2.2999999999999998</v>
          </cell>
          <cell r="K24" t="str">
            <v>x</v>
          </cell>
          <cell r="L24" t="str">
            <v>W ***</v>
          </cell>
          <cell r="Q24" t="str">
            <v>=</v>
          </cell>
          <cell r="R24" t="str">
            <v>...........</v>
          </cell>
          <cell r="S24" t="str">
            <v>ton</v>
          </cell>
        </row>
        <row r="25">
          <cell r="B25" t="str">
            <v>(8)</v>
          </cell>
          <cell r="C25" t="str">
            <v>Lain-lain</v>
          </cell>
          <cell r="Q25" t="str">
            <v>=</v>
          </cell>
          <cell r="R25" t="str">
            <v>...........</v>
          </cell>
          <cell r="S25" t="str">
            <v>ton</v>
          </cell>
        </row>
        <row r="27">
          <cell r="B27" t="str">
            <v>(D)</v>
          </cell>
          <cell r="C27" t="str">
            <v>Jumlah kebutuhan aspal campuran panas</v>
          </cell>
          <cell r="Q27" t="str">
            <v>=</v>
          </cell>
          <cell r="R27">
            <v>941.85000000000014</v>
          </cell>
          <cell r="S27" t="str">
            <v>ton</v>
          </cell>
        </row>
        <row r="29">
          <cell r="A29" t="str">
            <v>3.</v>
          </cell>
          <cell r="B29" t="str">
            <v>Kapasitas Peralatan Pencampuran Aspal</v>
          </cell>
        </row>
        <row r="30">
          <cell r="C30" t="str">
            <v>Kapasitas yang diperlukan = Jumlah kebutuhan campuran aspal/jumlah jam kerja =</v>
          </cell>
        </row>
        <row r="31">
          <cell r="L31" t="str">
            <v>(D) / (C)</v>
          </cell>
          <cell r="O31" t="str">
            <v>=</v>
          </cell>
          <cell r="P31">
            <v>0.86250000000000016</v>
          </cell>
          <cell r="Q31" t="str">
            <v>ton/jam</v>
          </cell>
        </row>
        <row r="33">
          <cell r="C33" t="str">
            <v>Kapasitas yang sesungguhnya</v>
          </cell>
          <cell r="M33" t="str">
            <v>Plant 1</v>
          </cell>
          <cell r="O33" t="str">
            <v>=</v>
          </cell>
          <cell r="P33">
            <v>50</v>
          </cell>
          <cell r="Q33" t="str">
            <v>ton/jam</v>
          </cell>
        </row>
        <row r="34">
          <cell r="M34" t="str">
            <v>Plant 2</v>
          </cell>
          <cell r="O34" t="str">
            <v>=</v>
          </cell>
          <cell r="P34" t="str">
            <v xml:space="preserve">....... </v>
          </cell>
          <cell r="Q34" t="str">
            <v>ton/jam</v>
          </cell>
        </row>
        <row r="35">
          <cell r="M35" t="str">
            <v>Lain-lain</v>
          </cell>
          <cell r="O35" t="str">
            <v>=</v>
          </cell>
          <cell r="P35" t="str">
            <v xml:space="preserve">....... </v>
          </cell>
          <cell r="Q35" t="str">
            <v>ton/jam</v>
          </cell>
        </row>
        <row r="37">
          <cell r="C37" t="str">
            <v>Jumlah Kapasitas yang sesungguhnya</v>
          </cell>
          <cell r="O37" t="str">
            <v>=</v>
          </cell>
          <cell r="P37">
            <v>50</v>
          </cell>
          <cell r="Q37" t="str">
            <v>ton/jam</v>
          </cell>
        </row>
        <row r="40">
          <cell r="A40" t="str">
            <v>*</v>
          </cell>
          <cell r="B40" t="str">
            <v>Kuantitas yang diperoleh dari daftar Kuantitas dan Harga, dan kalikan Kuantitas tersebut dengan faktor-faktor yang ditunjukkan</v>
          </cell>
        </row>
        <row r="42">
          <cell r="A42" t="str">
            <v>**</v>
          </cell>
          <cell r="B42" t="str">
            <v>Faktor "W" adalah faktor untuk memperhitungkan material terbuang, tumpah dll dan untuk kuantitas tambahan yang diperlukan sebagai korekasi bentuk bila ditetapkan adanya  lapis perata. Untuk kalkulasi kapasitas Plant Pencampur Aspal ini "W" dianggap 1,05 j</v>
          </cell>
        </row>
        <row r="47">
          <cell r="L47" t="str">
            <v>Kandangan, 04 Mei 2006</v>
          </cell>
        </row>
        <row r="48">
          <cell r="L48" t="str">
            <v>CV. MARGA KARYA</v>
          </cell>
        </row>
        <row r="53">
          <cell r="L53" t="str">
            <v>H. BADRA QOUTHNIE AKBAR</v>
          </cell>
        </row>
        <row r="54">
          <cell r="L54" t="str">
            <v>Direktur</v>
          </cell>
        </row>
        <row r="62">
          <cell r="A62" t="str">
            <v>LAMPIRAN  PENAWARAN</v>
          </cell>
        </row>
        <row r="65">
          <cell r="A65" t="str">
            <v>KONFIRMASI KAPASITAS PLANT PEMECAH BATU</v>
          </cell>
        </row>
        <row r="67">
          <cell r="A67" t="str">
            <v>Nama Peserta Lelang</v>
          </cell>
          <cell r="E67" t="str">
            <v>:  CV. MARGA KARYA</v>
          </cell>
        </row>
        <row r="69">
          <cell r="A69" t="str">
            <v>1.</v>
          </cell>
          <cell r="B69" t="str">
            <v>Waktu bekerja yang tersedia</v>
          </cell>
        </row>
        <row r="70">
          <cell r="B70" t="str">
            <v>(a)</v>
          </cell>
          <cell r="C70" t="str">
            <v>Jangka waktu pelaksanaan</v>
          </cell>
          <cell r="Q70" t="str">
            <v>=</v>
          </cell>
          <cell r="R70">
            <v>160</v>
          </cell>
          <cell r="S70" t="str">
            <v>hari</v>
          </cell>
        </row>
        <row r="71">
          <cell r="B71" t="str">
            <v>(b)</v>
          </cell>
          <cell r="C71" t="str">
            <v>Mobilisasi dan jangka waktu pemasangan peralatan (min=60 hari)</v>
          </cell>
          <cell r="Q71" t="str">
            <v>=</v>
          </cell>
          <cell r="R71">
            <v>0</v>
          </cell>
          <cell r="S71" t="str">
            <v>hari</v>
          </cell>
        </row>
        <row r="72">
          <cell r="B72" t="str">
            <v>(c)</v>
          </cell>
          <cell r="C72" t="str">
            <v>Demobilisasi pada akhir masa kontrak (min=30 hari)</v>
          </cell>
          <cell r="Q72" t="str">
            <v>=</v>
          </cell>
          <cell r="R72">
            <v>0</v>
          </cell>
          <cell r="S72" t="str">
            <v>hari</v>
          </cell>
        </row>
        <row r="73">
          <cell r="B73" t="str">
            <v>(d)</v>
          </cell>
          <cell r="C73" t="str">
            <v>Hari-hari libur, kerusakan-kerusakan, gangguan-gangguan, dsb</v>
          </cell>
          <cell r="Q73" t="str">
            <v>=</v>
          </cell>
          <cell r="R73">
            <v>4</v>
          </cell>
          <cell r="S73" t="str">
            <v>hari</v>
          </cell>
        </row>
        <row r="75">
          <cell r="C75" t="str">
            <v>(c)</v>
          </cell>
          <cell r="D75" t="str">
            <v>Jumlah hari kerja yang sesungguhnya (a) - (b) - (c) - (d)</v>
          </cell>
          <cell r="Q75" t="str">
            <v>=</v>
          </cell>
          <cell r="R75">
            <v>156</v>
          </cell>
          <cell r="S75" t="str">
            <v>hari</v>
          </cell>
        </row>
        <row r="76">
          <cell r="C76" t="str">
            <v>(A)</v>
          </cell>
          <cell r="D76" t="str">
            <v>Jumlah jam kerja Plant yang sesungguhnya</v>
          </cell>
          <cell r="F76" t="str">
            <v xml:space="preserve"> </v>
          </cell>
          <cell r="L76">
            <v>7</v>
          </cell>
          <cell r="M76" t="str">
            <v>jam/hari</v>
          </cell>
          <cell r="Q76" t="str">
            <v>=</v>
          </cell>
          <cell r="R76">
            <v>1092</v>
          </cell>
          <cell r="S76" t="str">
            <v>jam</v>
          </cell>
        </row>
        <row r="78">
          <cell r="A78" t="str">
            <v>2.</v>
          </cell>
          <cell r="B78" t="str">
            <v>Kebutuhan bahan Batu Pecah</v>
          </cell>
        </row>
        <row r="79">
          <cell r="B79" t="str">
            <v>(1)</v>
          </cell>
          <cell r="C79" t="str">
            <v>Lapis Pondasi Agregat</v>
          </cell>
          <cell r="I79">
            <v>587</v>
          </cell>
          <cell r="J79" t="str">
            <v>m3</v>
          </cell>
          <cell r="K79" t="str">
            <v>x</v>
          </cell>
          <cell r="L79">
            <v>2.2000000000000002</v>
          </cell>
          <cell r="M79" t="str">
            <v>x</v>
          </cell>
          <cell r="N79">
            <v>0.8</v>
          </cell>
          <cell r="O79" t="str">
            <v>x</v>
          </cell>
          <cell r="P79">
            <v>1.05</v>
          </cell>
          <cell r="Q79" t="str">
            <v>=</v>
          </cell>
          <cell r="R79">
            <v>1084.7760000000001</v>
          </cell>
          <cell r="S79" t="str">
            <v>ton</v>
          </cell>
        </row>
        <row r="80">
          <cell r="B80" t="str">
            <v>(2)</v>
          </cell>
          <cell r="C80" t="str">
            <v>Pondasi Jalan Tanpa Penutup</v>
          </cell>
          <cell r="I80" t="str">
            <v>............ *</v>
          </cell>
          <cell r="J80" t="str">
            <v>m3</v>
          </cell>
          <cell r="K80" t="str">
            <v>x</v>
          </cell>
          <cell r="L80">
            <v>2.2000000000000002</v>
          </cell>
          <cell r="M80" t="str">
            <v>x</v>
          </cell>
          <cell r="N80" t="str">
            <v>f **</v>
          </cell>
          <cell r="O80" t="str">
            <v>x</v>
          </cell>
          <cell r="P80" t="str">
            <v>W ***</v>
          </cell>
          <cell r="Q80" t="str">
            <v>=</v>
          </cell>
          <cell r="R80" t="str">
            <v>...........</v>
          </cell>
          <cell r="S80" t="str">
            <v>ton</v>
          </cell>
        </row>
        <row r="81">
          <cell r="B81" t="str">
            <v>(3)</v>
          </cell>
          <cell r="C81" t="str">
            <v>Agregat Penutup Burtu</v>
          </cell>
          <cell r="G81" t="str">
            <v>............ *</v>
          </cell>
          <cell r="H81" t="str">
            <v>m2 x</v>
          </cell>
          <cell r="I81">
            <v>1.6500000000000001E-2</v>
          </cell>
          <cell r="K81" t="str">
            <v>x</v>
          </cell>
          <cell r="L81">
            <v>2</v>
          </cell>
          <cell r="M81" t="str">
            <v>x</v>
          </cell>
          <cell r="N81">
            <v>1</v>
          </cell>
          <cell r="O81" t="str">
            <v>x</v>
          </cell>
          <cell r="P81" t="str">
            <v>W ***</v>
          </cell>
          <cell r="Q81" t="str">
            <v>=</v>
          </cell>
          <cell r="R81" t="str">
            <v>...........</v>
          </cell>
          <cell r="S81" t="str">
            <v>ton</v>
          </cell>
        </row>
        <row r="82">
          <cell r="B82" t="str">
            <v>(4)</v>
          </cell>
          <cell r="C82" t="str">
            <v>Agregat Penutup Burda</v>
          </cell>
          <cell r="G82" t="str">
            <v>............ *</v>
          </cell>
          <cell r="H82" t="str">
            <v>m2 x</v>
          </cell>
          <cell r="I82">
            <v>2.5000000000000001E-2</v>
          </cell>
          <cell r="K82" t="str">
            <v>x</v>
          </cell>
          <cell r="L82">
            <v>2</v>
          </cell>
          <cell r="M82" t="str">
            <v>x</v>
          </cell>
          <cell r="N82">
            <v>1</v>
          </cell>
          <cell r="O82" t="str">
            <v>x</v>
          </cell>
          <cell r="P82" t="str">
            <v>W ***</v>
          </cell>
          <cell r="Q82" t="str">
            <v>=</v>
          </cell>
          <cell r="R82" t="str">
            <v>...........</v>
          </cell>
          <cell r="S82" t="str">
            <v>ton</v>
          </cell>
        </row>
        <row r="83">
          <cell r="B83" t="str">
            <v>(5)</v>
          </cell>
          <cell r="C83" t="str">
            <v>Latasir (SS) Kelas A</v>
          </cell>
          <cell r="G83" t="str">
            <v>............ *</v>
          </cell>
          <cell r="H83" t="str">
            <v>m2 x</v>
          </cell>
          <cell r="I83">
            <v>1.4999999999999999E-2</v>
          </cell>
          <cell r="J83" t="str">
            <v>m2</v>
          </cell>
          <cell r="K83" t="str">
            <v>x</v>
          </cell>
          <cell r="L83">
            <v>2.2999999999999998</v>
          </cell>
          <cell r="M83" t="str">
            <v>x</v>
          </cell>
          <cell r="N83">
            <v>0.5</v>
          </cell>
          <cell r="O83" t="str">
            <v>x</v>
          </cell>
          <cell r="P83" t="str">
            <v>W ***</v>
          </cell>
          <cell r="Q83" t="str">
            <v>=</v>
          </cell>
          <cell r="R83" t="str">
            <v>...........</v>
          </cell>
          <cell r="S83" t="str">
            <v>ton</v>
          </cell>
        </row>
        <row r="84">
          <cell r="B84" t="str">
            <v>(6)</v>
          </cell>
          <cell r="C84" t="str">
            <v>Latasir (SS) Kelas B</v>
          </cell>
          <cell r="G84" t="str">
            <v>............ *</v>
          </cell>
          <cell r="H84" t="str">
            <v>m2 x</v>
          </cell>
          <cell r="I84">
            <v>0.02</v>
          </cell>
          <cell r="K84" t="str">
            <v>x</v>
          </cell>
          <cell r="L84">
            <v>2.2999999999999998</v>
          </cell>
          <cell r="M84" t="str">
            <v>x</v>
          </cell>
          <cell r="N84">
            <v>0.5</v>
          </cell>
          <cell r="O84" t="str">
            <v>x</v>
          </cell>
          <cell r="P84" t="str">
            <v>W ***</v>
          </cell>
          <cell r="Q84" t="str">
            <v>=</v>
          </cell>
          <cell r="R84" t="str">
            <v>...........</v>
          </cell>
          <cell r="S84" t="str">
            <v>ton</v>
          </cell>
        </row>
        <row r="85">
          <cell r="B85" t="str">
            <v>(7)</v>
          </cell>
          <cell r="C85" t="str">
            <v>Lataston - Lapis Aus (HRS-WC)</v>
          </cell>
          <cell r="G85">
            <v>4000</v>
          </cell>
          <cell r="H85" t="str">
            <v>m2 x</v>
          </cell>
          <cell r="I85">
            <v>0.03</v>
          </cell>
          <cell r="K85" t="str">
            <v>x</v>
          </cell>
          <cell r="L85">
            <v>2.2999999999999998</v>
          </cell>
          <cell r="M85" t="str">
            <v>x</v>
          </cell>
          <cell r="N85">
            <v>0.75</v>
          </cell>
          <cell r="O85" t="str">
            <v>x</v>
          </cell>
          <cell r="P85">
            <v>1.05</v>
          </cell>
          <cell r="Q85" t="str">
            <v>=</v>
          </cell>
          <cell r="R85">
            <v>217.35000000000002</v>
          </cell>
          <cell r="S85" t="str">
            <v>ton</v>
          </cell>
        </row>
        <row r="86">
          <cell r="B86" t="str">
            <v>(8)</v>
          </cell>
          <cell r="C86" t="str">
            <v>Lataston - Lapis Pondasi (HRS-Base)</v>
          </cell>
          <cell r="I86">
            <v>270</v>
          </cell>
          <cell r="J86" t="str">
            <v>m3</v>
          </cell>
          <cell r="K86" t="str">
            <v>x</v>
          </cell>
          <cell r="L86">
            <v>2.2999999999999998</v>
          </cell>
          <cell r="M86" t="str">
            <v>x</v>
          </cell>
          <cell r="N86">
            <v>0.75</v>
          </cell>
          <cell r="O86" t="str">
            <v>x</v>
          </cell>
          <cell r="P86">
            <v>1.05</v>
          </cell>
          <cell r="Q86" t="str">
            <v>=</v>
          </cell>
          <cell r="R86">
            <v>489.03750000000002</v>
          </cell>
          <cell r="S86" t="str">
            <v>ton</v>
          </cell>
        </row>
        <row r="87">
          <cell r="B87" t="str">
            <v>(9)</v>
          </cell>
          <cell r="C87" t="str">
            <v>Laston - Lapis Aus (AC-WC)</v>
          </cell>
          <cell r="G87" t="str">
            <v>............ *</v>
          </cell>
          <cell r="H87" t="str">
            <v>m2 x</v>
          </cell>
          <cell r="I87">
            <v>0.04</v>
          </cell>
          <cell r="K87" t="str">
            <v>x</v>
          </cell>
          <cell r="L87">
            <v>2.2999999999999998</v>
          </cell>
          <cell r="M87" t="str">
            <v>x</v>
          </cell>
          <cell r="N87">
            <v>0.75</v>
          </cell>
          <cell r="O87" t="str">
            <v>x</v>
          </cell>
          <cell r="P87" t="str">
            <v>W ***</v>
          </cell>
          <cell r="Q87" t="str">
            <v>=</v>
          </cell>
          <cell r="R87" t="str">
            <v>...........</v>
          </cell>
          <cell r="S87" t="str">
            <v>ton</v>
          </cell>
        </row>
        <row r="88">
          <cell r="B88" t="str">
            <v>(10)</v>
          </cell>
          <cell r="C88" t="str">
            <v>Laston - Lapis Pengikat (AC-BC)</v>
          </cell>
          <cell r="I88" t="str">
            <v>............ *</v>
          </cell>
          <cell r="J88" t="str">
            <v>m3</v>
          </cell>
          <cell r="K88" t="str">
            <v>x</v>
          </cell>
          <cell r="L88">
            <v>2.2999999999999998</v>
          </cell>
          <cell r="M88" t="str">
            <v>x</v>
          </cell>
          <cell r="N88">
            <v>0.75</v>
          </cell>
          <cell r="O88" t="str">
            <v>x</v>
          </cell>
          <cell r="P88" t="str">
            <v>W ***</v>
          </cell>
          <cell r="Q88" t="str">
            <v>=</v>
          </cell>
          <cell r="R88" t="str">
            <v>...........</v>
          </cell>
          <cell r="S88" t="str">
            <v>ton</v>
          </cell>
        </row>
        <row r="89">
          <cell r="B89" t="str">
            <v>(11)</v>
          </cell>
          <cell r="C89" t="str">
            <v>Laston - Lapis Pondasi (AC-Base)</v>
          </cell>
          <cell r="I89" t="str">
            <v>............ *</v>
          </cell>
          <cell r="J89" t="str">
            <v>m3</v>
          </cell>
          <cell r="K89" t="str">
            <v>x</v>
          </cell>
          <cell r="L89">
            <v>2.2999999999999998</v>
          </cell>
          <cell r="M89" t="str">
            <v>x</v>
          </cell>
          <cell r="N89">
            <v>0.75</v>
          </cell>
          <cell r="O89" t="str">
            <v>x</v>
          </cell>
          <cell r="P89" t="str">
            <v>W ***</v>
          </cell>
          <cell r="Q89" t="str">
            <v>=</v>
          </cell>
          <cell r="R89" t="str">
            <v>...........</v>
          </cell>
          <cell r="S89" t="str">
            <v>ton</v>
          </cell>
        </row>
        <row r="90">
          <cell r="B90" t="str">
            <v>(12)</v>
          </cell>
          <cell r="C90" t="str">
            <v>Lain-lain (Agregat Beton, Drainase, Porous dll)</v>
          </cell>
          <cell r="Q90" t="str">
            <v>=</v>
          </cell>
          <cell r="S90" t="str">
            <v>ton</v>
          </cell>
        </row>
        <row r="92">
          <cell r="B92" t="str">
            <v>(D)</v>
          </cell>
          <cell r="C92" t="str">
            <v>Jumlah kebutuhan batu pecah</v>
          </cell>
          <cell r="Q92" t="str">
            <v>=</v>
          </cell>
          <cell r="R92">
            <v>1791.1635000000001</v>
          </cell>
          <cell r="S92" t="str">
            <v>ton</v>
          </cell>
        </row>
        <row r="94">
          <cell r="A94" t="str">
            <v>3.</v>
          </cell>
          <cell r="B94" t="str">
            <v>Kapasitas Plant Pemecah Batu</v>
          </cell>
        </row>
        <row r="95">
          <cell r="C95" t="str">
            <v>Kapasitas yang diperlukan = (B) / (A)</v>
          </cell>
          <cell r="I95" t="str">
            <v>=</v>
          </cell>
          <cell r="J95">
            <v>1.6402596153846154</v>
          </cell>
          <cell r="K95" t="str">
            <v>ton/jam</v>
          </cell>
        </row>
        <row r="97">
          <cell r="C97" t="str">
            <v>Kapasitas yang sesungguhnya</v>
          </cell>
          <cell r="G97" t="str">
            <v>Plant 1</v>
          </cell>
          <cell r="I97" t="str">
            <v>=</v>
          </cell>
          <cell r="J97">
            <v>40</v>
          </cell>
          <cell r="K97" t="str">
            <v>ton/jam</v>
          </cell>
        </row>
        <row r="98">
          <cell r="G98" t="str">
            <v>Plant 2</v>
          </cell>
          <cell r="I98" t="str">
            <v>=</v>
          </cell>
          <cell r="K98" t="str">
            <v>ton/jam</v>
          </cell>
        </row>
        <row r="99">
          <cell r="G99" t="str">
            <v>Lain-lain</v>
          </cell>
          <cell r="I99" t="str">
            <v>=</v>
          </cell>
          <cell r="J99" t="str">
            <v xml:space="preserve">....... </v>
          </cell>
          <cell r="K99" t="str">
            <v>ton/jam</v>
          </cell>
        </row>
        <row r="101">
          <cell r="C101" t="str">
            <v>Jumlah Kapasitas yang sesungguhnya</v>
          </cell>
          <cell r="I101" t="str">
            <v>=</v>
          </cell>
          <cell r="J101">
            <v>40</v>
          </cell>
          <cell r="K101" t="str">
            <v>ton/jam</v>
          </cell>
        </row>
        <row r="104">
          <cell r="A104" t="str">
            <v>*</v>
          </cell>
          <cell r="B104" t="str">
            <v>Kuantitas yang diperoleh dari daftar Kuantitas dan Harga, dan kalikan Kuantitas tersebut dengan faktor-faktor yang ditunjukkan</v>
          </cell>
        </row>
        <row r="106">
          <cell r="A106" t="str">
            <v>**</v>
          </cell>
          <cell r="B106" t="str">
            <v>Faktor "f" didasarkan atas perkiraan Penawar dari proporsi batu pecah yang diperlukan untuk menjamin bahwa sifat-sifat bahan yang ditentukan dapat diperoleh, Untuk estimasi Kapasitas Plant Pemecah Batu ini nilai "f" dianggap berada diantara 0,5 sampai den</v>
          </cell>
        </row>
        <row r="109">
          <cell r="A109" t="str">
            <v>***</v>
          </cell>
          <cell r="B109" t="str">
            <v>Faktor "W" adalah faktor untuk memperhitungkan material terbuang, tumpah dll dan untuk kuantitas tambahan yang diperlukan sebagai korekasi bentuk bila ditetapkan adanya  lapis perata. Untuk kalkulasi kapasitas Plant Pencampur Aspal ini "W" dianggap 1,05 j</v>
          </cell>
        </row>
        <row r="114">
          <cell r="L114" t="str">
            <v>Kandangan, 04 Mei 2006</v>
          </cell>
        </row>
        <row r="115">
          <cell r="L115" t="str">
            <v>CV. MARGA KARYA</v>
          </cell>
        </row>
        <row r="120">
          <cell r="L120" t="str">
            <v>H. BADRA QOUTHNIE AKBAR</v>
          </cell>
        </row>
        <row r="121">
          <cell r="L121" t="str">
            <v>Direktur</v>
          </cell>
        </row>
      </sheetData>
      <sheetData sheetId="4" refreshError="1">
        <row r="1">
          <cell r="A1" t="str">
            <v>Lampiran 13 Penawaran</v>
          </cell>
        </row>
        <row r="3">
          <cell r="A3" t="str">
            <v>DAFTAR LAMPIRAN-LAMPIRAN PENAWARAN</v>
          </cell>
        </row>
        <row r="5">
          <cell r="A5" t="str">
            <v>Nama Pekerjaan</v>
          </cell>
          <cell r="C5" t="str">
            <v>:  Peningkatan Jalan Paringin - Halong</v>
          </cell>
        </row>
        <row r="6">
          <cell r="A6" t="str">
            <v>Paket / Kontrak No.</v>
          </cell>
          <cell r="C6" t="str">
            <v>:</v>
          </cell>
        </row>
        <row r="7">
          <cell r="A7" t="str">
            <v>Nama Peserta Lelang</v>
          </cell>
          <cell r="C7" t="str">
            <v>:  CV. MARGA KARYA</v>
          </cell>
        </row>
        <row r="8">
          <cell r="A8" t="str">
            <v>No.</v>
          </cell>
          <cell r="B8" t="str">
            <v>U  r  a  i  a  n</v>
          </cell>
          <cell r="H8" t="str">
            <v>Tanda Periksa</v>
          </cell>
        </row>
        <row r="11">
          <cell r="A11" t="str">
            <v>01.</v>
          </cell>
          <cell r="B11" t="str">
            <v>Salinan Kemitraan yang disahkan untuk Kerja Sama Gabungan atau Kerja Sama</v>
          </cell>
          <cell r="H11" t="str">
            <v>-  0 -</v>
          </cell>
        </row>
        <row r="12">
          <cell r="B12" t="str">
            <v>Operasi (jika digunakan) (*)</v>
          </cell>
        </row>
        <row r="13">
          <cell r="A13" t="str">
            <v>02.</v>
          </cell>
          <cell r="B13" t="str">
            <v>Perjanjian Kemitraan untuk Usulan Kerja Sama Operasi (jika yang diatas tidak</v>
          </cell>
          <cell r="H13" t="str">
            <v>-  0 -</v>
          </cell>
        </row>
        <row r="14">
          <cell r="B14" t="str">
            <v>digunakan) (*)</v>
          </cell>
        </row>
        <row r="15">
          <cell r="A15" t="str">
            <v>03.</v>
          </cell>
          <cell r="B15" t="str">
            <v>Surat Kuasa (jika digunakan) (*)</v>
          </cell>
          <cell r="H15" t="str">
            <v>-  0 -</v>
          </cell>
        </row>
        <row r="16">
          <cell r="A16" t="str">
            <v>04.</v>
          </cell>
          <cell r="B16" t="str">
            <v>Jaminan Penawaran (*)</v>
          </cell>
          <cell r="H16" t="str">
            <v>- Ada -</v>
          </cell>
        </row>
        <row r="17">
          <cell r="A17" t="str">
            <v>05.</v>
          </cell>
          <cell r="B17" t="str">
            <v>Surat Penawaran (*)</v>
          </cell>
          <cell r="H17" t="str">
            <v>- Ada -</v>
          </cell>
        </row>
        <row r="18">
          <cell r="A18" t="str">
            <v>06.</v>
          </cell>
          <cell r="B18" t="str">
            <v>Daftar Kuantitas yang telah diisi Harganya (*)</v>
          </cell>
          <cell r="H18" t="str">
            <v>- Ada -</v>
          </cell>
        </row>
        <row r="19">
          <cell r="A19" t="str">
            <v>07.</v>
          </cell>
          <cell r="B19" t="str">
            <v>Daftar Lampiran-Lampiran Penawaran</v>
          </cell>
          <cell r="H19" t="str">
            <v>- Ada -</v>
          </cell>
        </row>
        <row r="20">
          <cell r="A20" t="str">
            <v>08.</v>
          </cell>
          <cell r="B20" t="str">
            <v>Jadwal Pelaksanaan Pekerjaan</v>
          </cell>
          <cell r="H20" t="str">
            <v>- Ada -</v>
          </cell>
        </row>
        <row r="21">
          <cell r="A21" t="str">
            <v>09.</v>
          </cell>
          <cell r="B21" t="str">
            <v>Analisa Harga Satuan Mata Pembayaran Utama</v>
          </cell>
          <cell r="H21" t="str">
            <v>- Ada -</v>
          </cell>
        </row>
        <row r="22">
          <cell r="A22" t="str">
            <v>10.</v>
          </cell>
          <cell r="B22" t="str">
            <v>Analisa Harga Lump Sum untuk Mobilisasi</v>
          </cell>
          <cell r="H22" t="str">
            <v>- Ada -</v>
          </cell>
        </row>
        <row r="23">
          <cell r="A23" t="str">
            <v>11.</v>
          </cell>
          <cell r="B23" t="str">
            <v>Analisa Harga Lump Sum untuk Pekerjaan Pemeliharaan Rutin</v>
          </cell>
          <cell r="H23" t="str">
            <v>- Ada -</v>
          </cell>
        </row>
        <row r="24">
          <cell r="A24" t="str">
            <v>12.</v>
          </cell>
          <cell r="B24" t="str">
            <v>Analisa Harga Material on Site</v>
          </cell>
          <cell r="H24" t="str">
            <v>- Ada -</v>
          </cell>
        </row>
        <row r="25">
          <cell r="A25" t="str">
            <v>13.</v>
          </cell>
          <cell r="B25" t="str">
            <v>Konfirmasi Kapasitas Plant Pemecah Batu &amp; Pencampur Aspal</v>
          </cell>
          <cell r="H25" t="str">
            <v>- Ada -</v>
          </cell>
        </row>
        <row r="26">
          <cell r="A26" t="str">
            <v>14.</v>
          </cell>
          <cell r="B26" t="str">
            <v>Daftar Mata Pembayaran Utama</v>
          </cell>
          <cell r="H26" t="str">
            <v>- Ada -</v>
          </cell>
        </row>
        <row r="27">
          <cell r="A27" t="str">
            <v>15.</v>
          </cell>
          <cell r="B27" t="str">
            <v>Data Kontrak yang Diseleksi</v>
          </cell>
          <cell r="H27" t="str">
            <v>- Ada -</v>
          </cell>
        </row>
        <row r="28">
          <cell r="A28" t="str">
            <v>16.</v>
          </cell>
          <cell r="B28" t="str">
            <v>Daftar Usulan Peralatan Konstruksi</v>
          </cell>
          <cell r="H28" t="str">
            <v>- Ada -</v>
          </cell>
        </row>
        <row r="29">
          <cell r="A29" t="str">
            <v>17.</v>
          </cell>
          <cell r="B29" t="str">
            <v>Daftar Usulan Staf Inti Proyek</v>
          </cell>
          <cell r="H29" t="str">
            <v>- Ada -</v>
          </cell>
        </row>
        <row r="30">
          <cell r="A30" t="str">
            <v>18.</v>
          </cell>
          <cell r="B30" t="str">
            <v>Daftar Usulan Pekerjaan yang disubkontrakkan</v>
          </cell>
          <cell r="H30" t="str">
            <v>- Ada -</v>
          </cell>
        </row>
        <row r="31">
          <cell r="A31" t="str">
            <v>19.</v>
          </cell>
          <cell r="B31" t="str">
            <v>Metode Pelaksanaan</v>
          </cell>
          <cell r="H31" t="str">
            <v>- Ada -</v>
          </cell>
        </row>
        <row r="35">
          <cell r="F35" t="str">
            <v>Kandangan, 04 Mei 2006</v>
          </cell>
        </row>
        <row r="36">
          <cell r="F36" t="str">
            <v>CV. MARGA KARYA</v>
          </cell>
        </row>
        <row r="41">
          <cell r="F41" t="str">
            <v>H. BADRA QOUTHNIE AKBAR</v>
          </cell>
        </row>
        <row r="42">
          <cell r="F42" t="str">
            <v>Direktur</v>
          </cell>
        </row>
      </sheetData>
      <sheetData sheetId="5" refreshError="1">
        <row r="1">
          <cell r="A1" t="str">
            <v>Lampiran 7 Penawaran</v>
          </cell>
        </row>
        <row r="3">
          <cell r="A3" t="str">
            <v>DAFTAR MATA PEMBAYARAN UTAMA</v>
          </cell>
        </row>
        <row r="5">
          <cell r="A5" t="str">
            <v>Nama Pekerjaan</v>
          </cell>
          <cell r="C5" t="str">
            <v>:  BAGIAN PELAKSANA KEGIATAN PEMBANGUNAN JALAN MABU'UN - BATU BABI</v>
          </cell>
        </row>
        <row r="6">
          <cell r="A6" t="str">
            <v>Paket / Kontrak No.</v>
          </cell>
          <cell r="C6" t="str">
            <v xml:space="preserve">   DAHAI - MABU'UN - TANJUNG / AX-06</v>
          </cell>
        </row>
        <row r="7">
          <cell r="A7" t="str">
            <v>Nama Peserta Lelang</v>
          </cell>
          <cell r="C7" t="str">
            <v>:  CV. MARGA KARYA</v>
          </cell>
        </row>
        <row r="9">
          <cell r="B9" t="str">
            <v>No.</v>
          </cell>
        </row>
        <row r="10">
          <cell r="A10" t="str">
            <v>No.</v>
          </cell>
          <cell r="B10" t="str">
            <v>Mata</v>
          </cell>
          <cell r="D10" t="str">
            <v>Uraian Jenis Pekerjaan</v>
          </cell>
        </row>
        <row r="11">
          <cell r="B11" t="str">
            <v>Pembayaran</v>
          </cell>
        </row>
        <row r="14">
          <cell r="A14" t="str">
            <v>01.</v>
          </cell>
          <cell r="B14" t="str">
            <v>2.1</v>
          </cell>
          <cell r="D14" t="str">
            <v>Galian untuk Drainase dan Saluran Air</v>
          </cell>
        </row>
        <row r="15">
          <cell r="A15" t="str">
            <v>02.</v>
          </cell>
          <cell r="B15" t="str">
            <v>4.2 (2)</v>
          </cell>
          <cell r="D15" t="str">
            <v>Lapis Pondasi Agregat Klas B</v>
          </cell>
        </row>
        <row r="16">
          <cell r="A16" t="str">
            <v>03.</v>
          </cell>
          <cell r="B16" t="str">
            <v>5.1 (1)</v>
          </cell>
          <cell r="D16" t="str">
            <v>Lapis Pondasi Agregat Klas A</v>
          </cell>
        </row>
        <row r="17">
          <cell r="A17" t="str">
            <v>04.</v>
          </cell>
          <cell r="B17" t="str">
            <v>5.1 (2)</v>
          </cell>
          <cell r="D17" t="str">
            <v>Lapis Pondasi Agregat Klas B</v>
          </cell>
        </row>
        <row r="18">
          <cell r="A18" t="str">
            <v>05.</v>
          </cell>
          <cell r="B18" t="str">
            <v>6.3 (3)</v>
          </cell>
          <cell r="D18" t="str">
            <v>Lataston - Lapis Aus ( HRS-WC )</v>
          </cell>
        </row>
        <row r="19">
          <cell r="A19" t="str">
            <v>06.</v>
          </cell>
          <cell r="B19" t="str">
            <v>6.3 (4)</v>
          </cell>
          <cell r="D19" t="str">
            <v>Lataston - Lapis Pondasi ( HRS-Base )</v>
          </cell>
        </row>
        <row r="28">
          <cell r="F28" t="str">
            <v>Kandangan, 04 Mei 2006</v>
          </cell>
        </row>
        <row r="29">
          <cell r="F29" t="str">
            <v>CV. MARGA KARYA</v>
          </cell>
        </row>
        <row r="34">
          <cell r="F34" t="str">
            <v>H. BADRA QOUTHNIE AKBAR</v>
          </cell>
        </row>
        <row r="35">
          <cell r="F35" t="str">
            <v>Direktur</v>
          </cell>
        </row>
      </sheetData>
      <sheetData sheetId="6" refreshError="1">
        <row r="1">
          <cell r="A1" t="str">
            <v>Lampiran  Penawaran</v>
          </cell>
        </row>
        <row r="3">
          <cell r="A3" t="str">
            <v>DAFTAR USULAN STAF INTI PROYEK</v>
          </cell>
        </row>
        <row r="5">
          <cell r="A5" t="str">
            <v>Nama Pekerjaan</v>
          </cell>
          <cell r="C5" t="str">
            <v>:  Peningkatan Jalan Paringin - Halong</v>
          </cell>
        </row>
        <row r="6">
          <cell r="A6" t="str">
            <v>Paket / Kontrak No.</v>
          </cell>
          <cell r="C6" t="str">
            <v>:</v>
          </cell>
        </row>
        <row r="7">
          <cell r="A7" t="str">
            <v>Nama Peserta Lelang</v>
          </cell>
          <cell r="C7" t="str">
            <v>:  CV. MARGA KARYA</v>
          </cell>
        </row>
        <row r="9">
          <cell r="G9" t="str">
            <v>MASA KERJA</v>
          </cell>
          <cell r="H9" t="str">
            <v>PENGALAMAN PADA</v>
          </cell>
          <cell r="I9" t="str">
            <v>PENGALAMAN PADA</v>
          </cell>
        </row>
        <row r="10">
          <cell r="A10" t="str">
            <v>JABATAN / POSISI</v>
          </cell>
          <cell r="C10" t="str">
            <v>NAMA</v>
          </cell>
          <cell r="D10" t="str">
            <v>KEBANGSAAN</v>
          </cell>
          <cell r="E10" t="str">
            <v xml:space="preserve">U M U R  </v>
          </cell>
          <cell r="F10" t="str">
            <v>PENDIDIKAN*)</v>
          </cell>
          <cell r="G10" t="str">
            <v>DI</v>
          </cell>
          <cell r="H10" t="str">
            <v>PELAKSANAAN</v>
          </cell>
          <cell r="I10" t="str">
            <v>PELAKSANAAN</v>
          </cell>
        </row>
        <row r="11">
          <cell r="G11" t="str">
            <v>PERUSAHAAN</v>
          </cell>
          <cell r="H11" t="str">
            <v>JALAN RAYA</v>
          </cell>
          <cell r="I11" t="str">
            <v>INDUSTRI</v>
          </cell>
        </row>
        <row r="12">
          <cell r="G12" t="str">
            <v>(Tahun)</v>
          </cell>
          <cell r="H12" t="str">
            <v>(Tahun)</v>
          </cell>
          <cell r="I12" t="str">
            <v>(Tahun)</v>
          </cell>
        </row>
        <row r="14">
          <cell r="A14" t="str">
            <v>1.</v>
          </cell>
          <cell r="B14" t="str">
            <v xml:space="preserve"> General </v>
          </cell>
          <cell r="C14" t="str">
            <v>M. Yusni, ST</v>
          </cell>
          <cell r="D14" t="str">
            <v>Indonesia</v>
          </cell>
          <cell r="E14">
            <v>30</v>
          </cell>
          <cell r="F14" t="str">
            <v>S1 Teknik Sipil</v>
          </cell>
          <cell r="G14">
            <v>6</v>
          </cell>
          <cell r="H14">
            <v>6</v>
          </cell>
        </row>
        <row r="15">
          <cell r="B15" t="str">
            <v xml:space="preserve"> Superintendent</v>
          </cell>
        </row>
        <row r="17">
          <cell r="A17" t="str">
            <v>2.</v>
          </cell>
          <cell r="B17" t="str">
            <v>Laboratorium Teknis</v>
          </cell>
          <cell r="C17" t="str">
            <v>Dwi Martono</v>
          </cell>
          <cell r="D17" t="str">
            <v>Indonesia</v>
          </cell>
          <cell r="E17">
            <v>35</v>
          </cell>
          <cell r="F17" t="str">
            <v>STM</v>
          </cell>
          <cell r="G17">
            <v>7</v>
          </cell>
          <cell r="H17">
            <v>7</v>
          </cell>
        </row>
        <row r="19">
          <cell r="A19" t="str">
            <v>3.</v>
          </cell>
          <cell r="B19" t="str">
            <v>Surveyor</v>
          </cell>
          <cell r="C19" t="str">
            <v>Mahmud</v>
          </cell>
          <cell r="D19" t="str">
            <v>Indonesia</v>
          </cell>
          <cell r="E19">
            <v>40</v>
          </cell>
          <cell r="F19" t="str">
            <v>STM</v>
          </cell>
          <cell r="G19">
            <v>13</v>
          </cell>
          <cell r="H19">
            <v>13</v>
          </cell>
        </row>
        <row r="21">
          <cell r="A21" t="str">
            <v>4.</v>
          </cell>
          <cell r="B21" t="str">
            <v>Pengawas Lapangan</v>
          </cell>
          <cell r="C21" t="str">
            <v>Faturahman</v>
          </cell>
          <cell r="D21" t="str">
            <v>Indonesia</v>
          </cell>
          <cell r="E21">
            <v>36</v>
          </cell>
          <cell r="F21" t="str">
            <v>D3 Teknik Sipil</v>
          </cell>
          <cell r="G21">
            <v>5</v>
          </cell>
          <cell r="H21">
            <v>5</v>
          </cell>
        </row>
        <row r="27">
          <cell r="H27" t="str">
            <v>Kandangan, 04 Mei 2006</v>
          </cell>
        </row>
        <row r="28">
          <cell r="H28" t="str">
            <v>CV. MARGA KARYA</v>
          </cell>
        </row>
        <row r="33">
          <cell r="H33" t="str">
            <v>H. BADRA QOUTHNIE AKBAR</v>
          </cell>
        </row>
        <row r="34">
          <cell r="H34" t="str">
            <v>Direktur</v>
          </cell>
        </row>
      </sheetData>
      <sheetData sheetId="7" refreshError="1">
        <row r="1">
          <cell r="A1" t="str">
            <v>Lampiran 8 Penawaran</v>
          </cell>
        </row>
        <row r="3">
          <cell r="A3" t="str">
            <v>DATA KONTRAK YANG DISELEKSI</v>
          </cell>
        </row>
        <row r="6">
          <cell r="A6" t="str">
            <v>Kualifikasi Peserta Lelang</v>
          </cell>
          <cell r="D6" t="str">
            <v>IPL 4.4.c</v>
          </cell>
          <cell r="E6" t="str">
            <v>Yang dimaksud dengan Kemampuan keuangan maksimum adalah jumlah nilai paket-paket yang akan diperoleh tidak melampaui :</v>
          </cell>
        </row>
        <row r="8">
          <cell r="E8" t="str">
            <v>(a)</v>
          </cell>
          <cell r="F8" t="str">
            <v>2 x Turnover tahun rata-rata (2 x AATO), dan</v>
          </cell>
        </row>
        <row r="9">
          <cell r="E9" t="str">
            <v>(b)</v>
          </cell>
          <cell r="F9" t="str">
            <v>Sisa kemampuan keuangan (SKK) dari Peserta lelang</v>
          </cell>
        </row>
        <row r="11">
          <cell r="A11" t="str">
            <v>Penyesuaian Harga</v>
          </cell>
          <cell r="D11" t="str">
            <v>IPL 13.4</v>
          </cell>
          <cell r="E11" t="str">
            <v>"Dapat" dilakukan bila masa konstruksi lebih dari 12 bulan.</v>
          </cell>
        </row>
        <row r="13">
          <cell r="A13" t="str">
            <v>Masa Laku Surat Penawaran</v>
          </cell>
          <cell r="D13" t="str">
            <v>IPL 15.1</v>
          </cell>
          <cell r="E13" t="str">
            <v>120 (seratus dua puluh) hari setelah batas akhir pemasukkan</v>
          </cell>
        </row>
        <row r="14">
          <cell r="E14" t="str">
            <v>penawaran</v>
          </cell>
        </row>
        <row r="16">
          <cell r="A16" t="str">
            <v>Jaminan Penawaran</v>
          </cell>
          <cell r="D16" t="str">
            <v>IPL 16.1</v>
          </cell>
          <cell r="E16" t="str">
            <v>Tidak kurang dari 2 (dua) persen dari Harga Penawaran dan disampaikan kepada Ketua Panitia Lelang.</v>
          </cell>
        </row>
        <row r="19">
          <cell r="A19" t="str">
            <v>Masa Laku Jaminan Penawaran</v>
          </cell>
          <cell r="D19" t="str">
            <v>IPL 16.2</v>
          </cell>
          <cell r="E19" t="str">
            <v>Minimum 28 (dua puluh delapan) hari setelah masa laku Surat Penawaran atau minimal 148 (seratus empat puluh delapan) hari terhitung dari tanggal Pembukaan Penawaran.</v>
          </cell>
        </row>
        <row r="23">
          <cell r="A23" t="str">
            <v>Metode Pelaksanaan</v>
          </cell>
          <cell r="D23" t="str">
            <v>-</v>
          </cell>
          <cell r="E23" t="str">
            <v>365 (tiga ratus enam puluh lima) hari</v>
          </cell>
        </row>
        <row r="25">
          <cell r="A25" t="str">
            <v>Tanggal Mulai Kerja</v>
          </cell>
          <cell r="D25" t="str">
            <v>SSK 1.1</v>
          </cell>
          <cell r="E25" t="str">
            <v>Tanggal terakhir bagi kontraktor untuk memulai melaksanakan pekerjaan sesuai yang terdapat pada Surat Perintah Mulai Kerja.</v>
          </cell>
        </row>
        <row r="28">
          <cell r="A28" t="str">
            <v>Nilai Minimum Asuransi</v>
          </cell>
          <cell r="D28" t="str">
            <v>SSK 13.1</v>
          </cell>
          <cell r="E28" t="str">
            <v>(a)</v>
          </cell>
          <cell r="F28" t="str">
            <v>Besarnya asuransi kecelakaan manusia atau asuransi kematian untuk setiap karyawan Kontraktor / orang lain adalah sebesar Rp. 50.000.000,-</v>
          </cell>
        </row>
        <row r="31">
          <cell r="E31" t="str">
            <v>(b)</v>
          </cell>
          <cell r="F31" t="str">
            <v>Besarnya maksimum asuransi Harta Benda (property) adalah sebesar Rp. 50.000.000,-</v>
          </cell>
        </row>
        <row r="34">
          <cell r="A34" t="str">
            <v>Periode Pemeliharaan</v>
          </cell>
          <cell r="D34" t="str">
            <v>SSK 35.1</v>
          </cell>
          <cell r="E34" t="str">
            <v>365 (tiga ratus enam puluh lima) hari</v>
          </cell>
        </row>
        <row r="36">
          <cell r="A36" t="str">
            <v>Uang Retensi</v>
          </cell>
          <cell r="D36" t="str">
            <v>SSK 48.1</v>
          </cell>
          <cell r="E36" t="str">
            <v>10 (sepuluh) persen dari jumlah bruto setiap   Sertifikat Pembayaran.</v>
          </cell>
        </row>
        <row r="39">
          <cell r="A39" t="str">
            <v>Nilai dari Denda Pekerjaan</v>
          </cell>
          <cell r="D39" t="str">
            <v>SSK 49.1</v>
          </cell>
          <cell r="E39" t="str">
            <v>0,1% dari Harga Kontrak perhari dan maksimum 5% dari Harga Kontrak.</v>
          </cell>
        </row>
        <row r="42">
          <cell r="A42" t="str">
            <v>Uang Muka</v>
          </cell>
          <cell r="D42" t="str">
            <v>SSK 51.1</v>
          </cell>
          <cell r="E42" t="str">
            <v>Maksimum 15 (lima belas) persen dari Harga Kontrak.</v>
          </cell>
        </row>
        <row r="44">
          <cell r="A44" t="str">
            <v>Nilai dan Masa Laku Jaminan</v>
          </cell>
          <cell r="D44" t="str">
            <v>SSK 52.1</v>
          </cell>
          <cell r="E44" t="str">
            <v>(a)</v>
          </cell>
          <cell r="F44" t="str">
            <v>Minimum 10 (sepuluh) persen dari Harga Kontrak dan harus berlaku sampai 28 hari setelah tanggal penerbitan Sertifikast pekerjaan selesai. Jaminan pelaksanaan ini disampaikan kepada Kepala Satuan Kerja Sementara Pembangunan Jalan dan Jembatan Prov. Kalsel</v>
          </cell>
        </row>
        <row r="45">
          <cell r="A45" t="str">
            <v>Pelaksanaan</v>
          </cell>
        </row>
        <row r="50">
          <cell r="A50" t="str">
            <v>Periode Mobilisasi</v>
          </cell>
          <cell r="D50" t="str">
            <v>S 1.2</v>
          </cell>
          <cell r="E50" t="str">
            <v>60 hari (Laboratorium dalam 45 hari)</v>
          </cell>
        </row>
        <row r="52">
          <cell r="A52" t="str">
            <v>Catatan :</v>
          </cell>
        </row>
        <row r="53">
          <cell r="A53" t="str">
            <v>IPL</v>
          </cell>
          <cell r="B53" t="str">
            <v>= Instruksi Kepada Peserta Lelang (Bab.I)</v>
          </cell>
        </row>
        <row r="54">
          <cell r="A54" t="str">
            <v>SSK</v>
          </cell>
          <cell r="B54" t="str">
            <v>= Syarat-syarat Kontrak (Bab.III)</v>
          </cell>
        </row>
        <row r="55">
          <cell r="A55" t="str">
            <v>S</v>
          </cell>
          <cell r="B55" t="str">
            <v>= Spesifikasi (Bab. V)</v>
          </cell>
        </row>
        <row r="56">
          <cell r="E56" t="str">
            <v>Kandangan, 04 Mei 2006</v>
          </cell>
        </row>
        <row r="57">
          <cell r="E57" t="str">
            <v>CV. MARGA KARYA</v>
          </cell>
        </row>
        <row r="62">
          <cell r="E62" t="str">
            <v>H. BADRA QOUTHNIE AKBAR</v>
          </cell>
        </row>
        <row r="63">
          <cell r="E63" t="str">
            <v>Direktur</v>
          </cell>
        </row>
      </sheetData>
      <sheetData sheetId="8" refreshError="1">
        <row r="1">
          <cell r="A1" t="str">
            <v>Lampiran  Penawaran</v>
          </cell>
        </row>
        <row r="4">
          <cell r="A4" t="str">
            <v>DAFTAR USULAN PEKERJAAN YANG DISUBKONTRAKKAN</v>
          </cell>
        </row>
        <row r="6">
          <cell r="A6" t="str">
            <v>Nama Pekerjaan</v>
          </cell>
          <cell r="C6" t="str">
            <v>:  Peningkatan Jalan Paringin - Halong</v>
          </cell>
        </row>
        <row r="7">
          <cell r="A7" t="str">
            <v>Paket / Kontrak No.</v>
          </cell>
          <cell r="C7" t="str">
            <v>:</v>
          </cell>
        </row>
        <row r="8">
          <cell r="A8" t="str">
            <v>Nama Peserta Lelang</v>
          </cell>
          <cell r="C8" t="str">
            <v>:  CV. MARGA KARYA</v>
          </cell>
        </row>
        <row r="10">
          <cell r="D10" t="str">
            <v>Prosentase</v>
          </cell>
          <cell r="E10" t="str">
            <v>Prosentase</v>
          </cell>
        </row>
        <row r="11">
          <cell r="A11" t="str">
            <v>Mata</v>
          </cell>
          <cell r="D11" t="str">
            <v>dari Harga</v>
          </cell>
          <cell r="E11" t="str">
            <v>dari Harga</v>
          </cell>
          <cell r="F11" t="str">
            <v>Nama</v>
          </cell>
        </row>
        <row r="12">
          <cell r="A12" t="str">
            <v>Pemba-</v>
          </cell>
          <cell r="B12" t="str">
            <v>JENIS PEKERJAAN</v>
          </cell>
          <cell r="D12" t="str">
            <v>Total Mata</v>
          </cell>
          <cell r="E12" t="str">
            <v>Penawaran</v>
          </cell>
          <cell r="F12" t="str">
            <v>Sub Kontraktor</v>
          </cell>
        </row>
        <row r="13">
          <cell r="A13" t="str">
            <v>yaran</v>
          </cell>
          <cell r="D13" t="str">
            <v>Pembayaran</v>
          </cell>
          <cell r="F13" t="str">
            <v>(jika dirasa perlu)</v>
          </cell>
        </row>
        <row r="14">
          <cell r="D14" t="str">
            <v>%</v>
          </cell>
          <cell r="E14" t="str">
            <v>%</v>
          </cell>
        </row>
        <row r="20">
          <cell r="A20" t="str">
            <v>2.2</v>
          </cell>
          <cell r="B20" t="str">
            <v>Pasangan Batu dengan Mortar</v>
          </cell>
          <cell r="D20">
            <v>100</v>
          </cell>
          <cell r="E20">
            <v>9.1747427934333174</v>
          </cell>
        </row>
        <row r="27">
          <cell r="D27" t="str">
            <v>TOTAL %</v>
          </cell>
          <cell r="E27">
            <v>0</v>
          </cell>
        </row>
        <row r="30">
          <cell r="D30" t="str">
            <v>Kandangan, 04 Mei 2006</v>
          </cell>
        </row>
        <row r="31">
          <cell r="D31" t="str">
            <v>CV. MARGA KARYA</v>
          </cell>
        </row>
        <row r="36">
          <cell r="D36" t="str">
            <v>H. BADRA QOUTHNIE AKBAR</v>
          </cell>
        </row>
      </sheetData>
      <sheetData sheetId="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WT. LAKI ME"/>
      <sheetName val="RWT. Inap VIP ME"/>
      <sheetName val="RUMAH JAGA ME"/>
      <sheetName val="POS JAGA ME"/>
      <sheetName val="RUMAH DINAS  90 ME"/>
      <sheetName val="GARASI ME  "/>
      <sheetName val="ASRAMA ME "/>
      <sheetName val="HB"/>
      <sheetName val="ANALISA"/>
      <sheetName val="REKAP Usulan 2004  oe1"/>
      <sheetName val="REKAP Usulan 2004  EE"/>
      <sheetName val="REKAP Usulan 2004 "/>
      <sheetName val="REKAP PAKET I"/>
      <sheetName val="RWT. Inap LAKI"/>
      <sheetName val="RWT. Inap VIP"/>
      <sheetName val="R JAGA"/>
      <sheetName val="REKAP PAKET II"/>
      <sheetName val="PAGAR &amp; P.NAMA"/>
      <sheetName val="RUMAH DINAS 90"/>
      <sheetName val="GARASI"/>
      <sheetName val="DEPO SAMPAH"/>
      <sheetName val="POS JAGA"/>
      <sheetName val="REKAP PAKET III"/>
      <sheetName val="ASRAMA"/>
      <sheetName val="SELASAR"/>
      <sheetName val="TANDON"/>
      <sheetName val="ME TOTAL"/>
      <sheetName val="REKAP PAKET IV"/>
      <sheetName val="INFRASTRUKTUR"/>
      <sheetName val="REKAP PAKET V"/>
      <sheetName val="R. IPAL "/>
      <sheetName val="R. IPAL  (2)"/>
      <sheetName val="DIVI6"/>
      <sheetName val="41,9&amp;36,3"/>
      <sheetName val="RWT__LAKI_ME"/>
      <sheetName val="RWT__Inap_VIP_ME"/>
      <sheetName val="RUMAH_JAGA_ME"/>
      <sheetName val="POS_JAGA_ME"/>
      <sheetName val="RUMAH_DINAS__90_ME"/>
      <sheetName val="GARASI_ME__"/>
      <sheetName val="ASRAMA_ME_"/>
      <sheetName val="REKAP_Usulan_2004__oe1"/>
      <sheetName val="REKAP_Usulan_2004__EE"/>
      <sheetName val="REKAP_Usulan_2004_"/>
      <sheetName val="REKAP_PAKET_I"/>
      <sheetName val="RWT__Inap_LAKI"/>
      <sheetName val="RWT__Inap_VIP"/>
      <sheetName val="R_JAGA"/>
      <sheetName val="REKAP_PAKET_II"/>
      <sheetName val="PAGAR_&amp;_P_NAMA"/>
      <sheetName val="RUMAH_DINAS_90"/>
      <sheetName val="DEPO_SAMPAH"/>
      <sheetName val="POS_JAGA"/>
      <sheetName val="REKAP_PAKET_III"/>
      <sheetName val="ME_TOTAL"/>
      <sheetName val="REKAP_PAKET_IV"/>
      <sheetName val="REKAP_PAKET_V"/>
      <sheetName val="R__IPAL_"/>
      <sheetName val="R__IPAL__(2)"/>
      <sheetName val="XLR_NoRangeSheet"/>
      <sheetName val="41_9_36_3"/>
      <sheetName val="AC"/>
      <sheetName val="Summary"/>
      <sheetName val="Faktur "/>
      <sheetName val="RAB ME"/>
      <sheetName val="Bahan"/>
      <sheetName val="COV"/>
      <sheetName val="Umum"/>
      <sheetName val="Cover"/>
      <sheetName val="Harga"/>
      <sheetName val="ESCON"/>
      <sheetName val="#REF!"/>
      <sheetName val="Rekapitulasi"/>
      <sheetName val="Upah+bahan"/>
      <sheetName val="HARSAT"/>
      <sheetName val="Rekap Anl"/>
      <sheetName val="ANL SNI"/>
      <sheetName val="Daf. No. - 4.2"/>
      <sheetName val="ANALISA GRS TENGAH"/>
      <sheetName val="Uph+bahan"/>
      <sheetName val="analisa nya"/>
      <sheetName val="HARGA SATUAN"/>
      <sheetName val="Notes"/>
      <sheetName val="LINK-MAST. BASIC PRICE"/>
      <sheetName val="SUM"/>
      <sheetName val="HRG ALT PU"/>
      <sheetName val="Bhn.Ars"/>
      <sheetName val="UNIT PRICE"/>
      <sheetName val="RE-BAR"/>
      <sheetName val="lap-bulan"/>
      <sheetName val="A-Str"/>
      <sheetName val="sort"/>
      <sheetName val="HARGA MATERIAL"/>
      <sheetName val="AHSP'05"/>
      <sheetName val="DIV.2"/>
      <sheetName val="HB "/>
      <sheetName val="Harga Bahan &amp; Upah"/>
      <sheetName val="daftar harga dan upah"/>
      <sheetName val="ANALISA HARGA SATUAN"/>
      <sheetName val="bahan "/>
      <sheetName val="Harga Dasar"/>
      <sheetName val="BQ"/>
      <sheetName val="Upah"/>
      <sheetName val="KURVA_100%"/>
    </sheetNames>
    <sheetDataSet>
      <sheetData sheetId="0"/>
      <sheetData sheetId="1"/>
      <sheetData sheetId="2"/>
      <sheetData sheetId="3"/>
      <sheetData sheetId="4"/>
      <sheetData sheetId="5"/>
      <sheetData sheetId="6"/>
      <sheetData sheetId="7" refreshError="1">
        <row r="78">
          <cell r="E78">
            <v>39000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play data karyawan"/>
      <sheetName val="Form Employee Assessment"/>
      <sheetName val="Employee Leave Tracker"/>
      <sheetName val="Additional Data"/>
      <sheetName val="Display overview record"/>
      <sheetName val="Data Lengkap Karyawan (2)"/>
      <sheetName val="Employee attendance tracker"/>
    </sheetNames>
    <sheetDataSet>
      <sheetData sheetId="0"/>
      <sheetData sheetId="1"/>
      <sheetData sheetId="2">
        <row r="4">
          <cell r="E4">
            <v>42373</v>
          </cell>
        </row>
      </sheetData>
      <sheetData sheetId="3">
        <row r="4">
          <cell r="D4" t="str">
            <v>Sick Leave</v>
          </cell>
        </row>
      </sheetData>
      <sheetData sheetId="4">
        <row r="12">
          <cell r="B12">
            <v>25</v>
          </cell>
        </row>
      </sheetData>
      <sheetData sheetId="5"/>
      <sheetData sheetId="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
      <sheetName val="RAB 1"/>
      <sheetName val="RAB 2"/>
      <sheetName val="Saluran"/>
      <sheetName val="Analisa"/>
      <sheetName val="Harga Bahan &amp; Upah"/>
    </sheetNames>
    <sheetDataSet>
      <sheetData sheetId="0" refreshError="1"/>
      <sheetData sheetId="1" refreshError="1"/>
      <sheetData sheetId="2" refreshError="1"/>
      <sheetData sheetId="3" refreshError="1"/>
      <sheetData sheetId="4" refreshError="1"/>
      <sheetData sheetId="5" refreshError="1">
        <row r="9">
          <cell r="I9">
            <v>45000</v>
          </cell>
        </row>
        <row r="21">
          <cell r="I21">
            <v>35000</v>
          </cell>
        </row>
      </sheetData>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ula"/>
      <sheetName val="UPAH"/>
      <sheetName val="ANALISA terpakai"/>
      <sheetName val="RAB"/>
      <sheetName val="REKAP"/>
      <sheetName val="VOLUME"/>
    </sheetNames>
    <sheetDataSet>
      <sheetData sheetId="0" refreshError="1"/>
      <sheetData sheetId="1">
        <row r="9">
          <cell r="J9">
            <v>65000</v>
          </cell>
        </row>
      </sheetData>
      <sheetData sheetId="2"/>
      <sheetData sheetId="3" refreshError="1"/>
      <sheetData sheetId="4" refreshError="1"/>
      <sheetData sheetId="5"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0"/>
      <sheetName val="GAL. ALAT BERAT"/>
      <sheetName val="GAL. MANUAL"/>
      <sheetName val="SRVY JEMB"/>
      <sheetName val="VOL PASANGAN"/>
      <sheetName val="SRVY ELEV"/>
      <sheetName val="TIME SCHEDULE"/>
      <sheetName val="LAP. MINGG"/>
      <sheetName val="DATA PEND. KUANTITAS"/>
      <sheetName val="BUD PS. BT. KALI"/>
      <sheetName val="BUD GAL. MANUAL"/>
      <sheetName val="Sheet1 (2)"/>
      <sheetName val="BUD GAL. ALAT BERAT"/>
      <sheetName val="LAP_ MINGG"/>
      <sheetName val="HB"/>
      <sheetName val="OH-10BLN"/>
      <sheetName val="INPUT"/>
      <sheetName val="INDEX"/>
      <sheetName val="DAF-1"/>
      <sheetName val="HARGA MATERIAL"/>
      <sheetName val="HSD"/>
      <sheetName val="Material"/>
      <sheetName val="DIVI6"/>
      <sheetName val="NP"/>
      <sheetName val="B.2.1 NON STD_PEMAT &amp; DDG PNHN"/>
      <sheetName val="GAL__ALAT_BERAT2"/>
      <sheetName val="GAL__MANUAL2"/>
      <sheetName val="SRVY_JEMB2"/>
      <sheetName val="VOL_PASANGAN2"/>
      <sheetName val="SRVY_ELEV2"/>
      <sheetName val="TIME_SCHEDULE2"/>
      <sheetName val="LAP__MINGG4"/>
      <sheetName val="DATA_PEND__KUANTITAS2"/>
      <sheetName val="BUD_PS__BT__KALI2"/>
      <sheetName val="BUD_GAL__MANUAL2"/>
      <sheetName val="Sheet1_(2)2"/>
      <sheetName val="BUD_GAL__ALAT_BERAT2"/>
      <sheetName val="LAP__MINGG5"/>
      <sheetName val="GAL__ALAT_BERAT"/>
      <sheetName val="GAL__MANUAL"/>
      <sheetName val="SRVY_JEMB"/>
      <sheetName val="VOL_PASANGAN"/>
      <sheetName val="SRVY_ELEV"/>
      <sheetName val="TIME_SCHEDULE"/>
      <sheetName val="LAP__MINGG"/>
      <sheetName val="DATA_PEND__KUANTITAS"/>
      <sheetName val="BUD_PS__BT__KALI"/>
      <sheetName val="BUD_GAL__MANUAL"/>
      <sheetName val="Sheet1_(2)"/>
      <sheetName val="BUD_GAL__ALAT_BERAT"/>
      <sheetName val="LAP__MINGG1"/>
      <sheetName val="GAL__ALAT_BERAT1"/>
      <sheetName val="GAL__MANUAL1"/>
      <sheetName val="SRVY_JEMB1"/>
      <sheetName val="VOL_PASANGAN1"/>
      <sheetName val="SRVY_ELEV1"/>
      <sheetName val="TIME_SCHEDULE1"/>
      <sheetName val="LAP__MINGG2"/>
      <sheetName val="DATA_PEND__KUANTITAS1"/>
      <sheetName val="BUD_PS__BT__KALI1"/>
      <sheetName val="BUD_GAL__MANUAL1"/>
      <sheetName val="Sheet1_(2)1"/>
      <sheetName val="BUD_GAL__ALAT_BERAT1"/>
      <sheetName val="LAP__MINGG3"/>
      <sheetName val="GAL__ALAT_BERAT3"/>
      <sheetName val="GAL__MANUAL3"/>
      <sheetName val="SRVY_JEMB3"/>
      <sheetName val="VOL_PASANGAN3"/>
      <sheetName val="SRVY_ELEV3"/>
      <sheetName val="TIME_SCHEDULE3"/>
      <sheetName val="LAP__MINGG6"/>
      <sheetName val="DATA_PEND__KUANTITAS3"/>
      <sheetName val="BUD_PS__BT__KALI3"/>
      <sheetName val="BUD_GAL__MANUAL3"/>
      <sheetName val="Sheet1_(2)3"/>
      <sheetName val="BUD_GAL__ALAT_BERAT3"/>
      <sheetName val="LAP__MINGG7"/>
      <sheetName val="GAL__ALAT_BERAT13"/>
      <sheetName val="GAL__MANUAL13"/>
      <sheetName val="SRVY_JEMB13"/>
      <sheetName val="VOL_PASANGAN13"/>
      <sheetName val="SRVY_ELEV13"/>
      <sheetName val="TIME_SCHEDULE13"/>
      <sheetName val="LAP__MINGG26"/>
      <sheetName val="DATA_PEND__KUANTITAS13"/>
      <sheetName val="BUD_PS__BT__KALI13"/>
      <sheetName val="BUD_GAL__MANUAL13"/>
      <sheetName val="Sheet1_(2)13"/>
      <sheetName val="BUD_GAL__ALAT_BERAT13"/>
      <sheetName val="LAP__MINGG27"/>
      <sheetName val="GAL__ALAT_BERAT4"/>
      <sheetName val="GAL__MANUAL4"/>
      <sheetName val="SRVY_JEMB4"/>
      <sheetName val="VOL_PASANGAN4"/>
      <sheetName val="SRVY_ELEV4"/>
      <sheetName val="TIME_SCHEDULE4"/>
      <sheetName val="LAP__MINGG8"/>
      <sheetName val="DATA_PEND__KUANTITAS4"/>
      <sheetName val="BUD_PS__BT__KALI4"/>
      <sheetName val="BUD_GAL__MANUAL4"/>
      <sheetName val="Sheet1_(2)4"/>
      <sheetName val="BUD_GAL__ALAT_BERAT4"/>
      <sheetName val="LAP__MINGG9"/>
      <sheetName val="GAL__ALAT_BERAT5"/>
      <sheetName val="GAL__MANUAL5"/>
      <sheetName val="SRVY_JEMB5"/>
      <sheetName val="VOL_PASANGAN5"/>
      <sheetName val="SRVY_ELEV5"/>
      <sheetName val="TIME_SCHEDULE5"/>
      <sheetName val="LAP__MINGG10"/>
      <sheetName val="DATA_PEND__KUANTITAS5"/>
      <sheetName val="BUD_PS__BT__KALI5"/>
      <sheetName val="BUD_GAL__MANUAL5"/>
      <sheetName val="Sheet1_(2)5"/>
      <sheetName val="BUD_GAL__ALAT_BERAT5"/>
      <sheetName val="LAP__MINGG11"/>
      <sheetName val="GAL__ALAT_BERAT12"/>
      <sheetName val="GAL__MANUAL12"/>
      <sheetName val="SRVY_JEMB12"/>
      <sheetName val="VOL_PASANGAN12"/>
      <sheetName val="SRVY_ELEV12"/>
      <sheetName val="TIME_SCHEDULE12"/>
      <sheetName val="LAP__MINGG24"/>
      <sheetName val="DATA_PEND__KUANTITAS12"/>
      <sheetName val="BUD_PS__BT__KALI12"/>
      <sheetName val="BUD_GAL__MANUAL12"/>
      <sheetName val="Sheet1_(2)12"/>
      <sheetName val="BUD_GAL__ALAT_BERAT12"/>
      <sheetName val="LAP__MINGG25"/>
      <sheetName val="GAL__ALAT_BERAT11"/>
      <sheetName val="GAL__MANUAL11"/>
      <sheetName val="SRVY_JEMB11"/>
      <sheetName val="VOL_PASANGAN11"/>
      <sheetName val="SRVY_ELEV11"/>
      <sheetName val="TIME_SCHEDULE11"/>
      <sheetName val="LAP__MINGG22"/>
      <sheetName val="DATA_PEND__KUANTITAS11"/>
      <sheetName val="BUD_PS__BT__KALI11"/>
      <sheetName val="BUD_GAL__MANUAL11"/>
      <sheetName val="Sheet1_(2)11"/>
      <sheetName val="BUD_GAL__ALAT_BERAT11"/>
      <sheetName val="LAP__MINGG23"/>
      <sheetName val="GAL__ALAT_BERAT10"/>
      <sheetName val="GAL__MANUAL10"/>
      <sheetName val="SRVY_JEMB10"/>
      <sheetName val="VOL_PASANGAN10"/>
      <sheetName val="SRVY_ELEV10"/>
      <sheetName val="TIME_SCHEDULE10"/>
      <sheetName val="LAP__MINGG20"/>
      <sheetName val="DATA_PEND__KUANTITAS10"/>
      <sheetName val="BUD_PS__BT__KALI10"/>
      <sheetName val="BUD_GAL__MANUAL10"/>
      <sheetName val="Sheet1_(2)10"/>
      <sheetName val="BUD_GAL__ALAT_BERAT10"/>
      <sheetName val="LAP__MINGG21"/>
      <sheetName val="GAL__ALAT_BERAT9"/>
      <sheetName val="GAL__MANUAL9"/>
      <sheetName val="SRVY_JEMB9"/>
      <sheetName val="VOL_PASANGAN9"/>
      <sheetName val="SRVY_ELEV9"/>
      <sheetName val="TIME_SCHEDULE9"/>
      <sheetName val="LAP__MINGG18"/>
      <sheetName val="DATA_PEND__KUANTITAS9"/>
      <sheetName val="BUD_PS__BT__KALI9"/>
      <sheetName val="BUD_GAL__MANUAL9"/>
      <sheetName val="Sheet1_(2)9"/>
      <sheetName val="BUD_GAL__ALAT_BERAT9"/>
      <sheetName val="LAP__MINGG19"/>
      <sheetName val="GAL__ALAT_BERAT6"/>
      <sheetName val="GAL__MANUAL6"/>
      <sheetName val="SRVY_JEMB6"/>
      <sheetName val="VOL_PASANGAN6"/>
      <sheetName val="SRVY_ELEV6"/>
      <sheetName val="TIME_SCHEDULE6"/>
      <sheetName val="LAP__MINGG12"/>
      <sheetName val="DATA_PEND__KUANTITAS6"/>
      <sheetName val="BUD_PS__BT__KALI6"/>
      <sheetName val="BUD_GAL__MANUAL6"/>
      <sheetName val="Sheet1_(2)6"/>
      <sheetName val="BUD_GAL__ALAT_BERAT6"/>
      <sheetName val="LAP__MINGG13"/>
      <sheetName val="GAL__ALAT_BERAT7"/>
      <sheetName val="GAL__MANUAL7"/>
      <sheetName val="SRVY_JEMB7"/>
      <sheetName val="VOL_PASANGAN7"/>
      <sheetName val="SRVY_ELEV7"/>
      <sheetName val="TIME_SCHEDULE7"/>
      <sheetName val="LAP__MINGG14"/>
      <sheetName val="DATA_PEND__KUANTITAS7"/>
      <sheetName val="BUD_PS__BT__KALI7"/>
      <sheetName val="BUD_GAL__MANUAL7"/>
      <sheetName val="Sheet1_(2)7"/>
      <sheetName val="BUD_GAL__ALAT_BERAT7"/>
      <sheetName val="LAP__MINGG15"/>
      <sheetName val="GAL__ALAT_BERAT8"/>
      <sheetName val="GAL__MANUAL8"/>
      <sheetName val="SRVY_JEMB8"/>
      <sheetName val="VOL_PASANGAN8"/>
      <sheetName val="SRVY_ELEV8"/>
      <sheetName val="TIME_SCHEDULE8"/>
      <sheetName val="LAP__MINGG16"/>
      <sheetName val="DATA_PEND__KUANTITAS8"/>
      <sheetName val="BUD_PS__BT__KALI8"/>
      <sheetName val="BUD_GAL__MANUAL8"/>
      <sheetName val="Sheet1_(2)8"/>
      <sheetName val="BUD_GAL__ALAT_BERAT8"/>
      <sheetName val="LAP__MINGG17"/>
    </sheetNames>
    <sheetDataSet>
      <sheetData sheetId="0"/>
      <sheetData sheetId="1"/>
      <sheetData sheetId="2"/>
      <sheetData sheetId="3"/>
      <sheetData sheetId="4"/>
      <sheetData sheetId="5"/>
      <sheetData sheetId="6"/>
      <sheetData sheetId="7" refreshError="1">
        <row r="10">
          <cell r="F10">
            <v>1.1944339646100457</v>
          </cell>
        </row>
        <row r="67">
          <cell r="F67">
            <v>1.463593948833988</v>
          </cell>
        </row>
        <row r="124">
          <cell r="F124">
            <v>1.9383208735052366</v>
          </cell>
        </row>
        <row r="181">
          <cell r="F181">
            <v>6.9096550220126263</v>
          </cell>
        </row>
        <row r="238">
          <cell r="F238">
            <v>15.498148904831897</v>
          </cell>
        </row>
        <row r="295">
          <cell r="F295">
            <v>22.947004711264832</v>
          </cell>
        </row>
        <row r="353">
          <cell r="F353">
            <v>30.468757716123228</v>
          </cell>
        </row>
      </sheetData>
      <sheetData sheetId="8"/>
      <sheetData sheetId="9"/>
      <sheetData sheetId="10"/>
      <sheetData sheetId="11"/>
      <sheetData sheetId="12"/>
      <sheetData sheetId="13"/>
      <sheetData sheetId="14" refreshError="1"/>
      <sheetData sheetId="15" refreshError="1"/>
      <sheetData sheetId="16"/>
      <sheetData sheetId="17"/>
      <sheetData sheetId="18"/>
      <sheetData sheetId="19" refreshError="1"/>
      <sheetData sheetId="20"/>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sheetData sheetId="200"/>
      <sheetData sheetId="201"/>
      <sheetData sheetId="202"/>
      <sheetData sheetId="203" refreshError="1"/>
      <sheetData sheetId="204" refreshError="1"/>
      <sheetData sheetId="205" refreshError="1"/>
      <sheetData sheetId="206"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WT. LAKI ME"/>
      <sheetName val="RWT. Inap VIP ME"/>
      <sheetName val="RUMAH DINAS  90 ME"/>
      <sheetName val="ASRAMA ME "/>
      <sheetName val="POS JAGA ME"/>
      <sheetName val="RUMAH JAGA ME"/>
      <sheetName val="GARASI ME  "/>
      <sheetName val="HB"/>
      <sheetName val="ANALISA"/>
      <sheetName val="REKAP Usulan 2004"/>
      <sheetName val="RWT. Inap LAKI"/>
      <sheetName val="ASRAMA"/>
      <sheetName val="RUMAH DINAS 90"/>
      <sheetName val="R JAGA"/>
      <sheetName val="RWT. Inap VIP"/>
      <sheetName val="R. IPAL "/>
      <sheetName val="PAGAR &amp; P.NAMA"/>
      <sheetName val="SELASAR"/>
      <sheetName val="GARASI"/>
      <sheetName val="POS JAGA"/>
      <sheetName val="INFRASTRUKTUR"/>
      <sheetName val="ME TOTAL"/>
      <sheetName val=" REKAP_SIMPEL"/>
      <sheetName val="REKAP EE"/>
      <sheetName val="1.A. STD_STR"/>
      <sheetName val="1. B. STD_ARC"/>
      <sheetName val="B.2.1 NON STD_PEMAT &amp; DDG PNHN"/>
      <sheetName val="Lnascape"/>
      <sheetName val="Drainase KAwasan"/>
      <sheetName val="Pondasi DAlam"/>
      <sheetName val="B_2_1 NON STD_PEMAT _ DDG PNHN"/>
      <sheetName val="A"/>
      <sheetName val="Basic Price"/>
      <sheetName val="Rekap Prelim"/>
      <sheetName val="DAF-1"/>
      <sheetName val="RWT__LAKI_ME"/>
      <sheetName val="RWT__Inap_VIP_ME"/>
      <sheetName val="RUMAH_DINAS__90_ME"/>
      <sheetName val="ASRAMA_ME_"/>
      <sheetName val="POS_JAGA_ME"/>
      <sheetName val="RUMAH_JAGA_ME"/>
      <sheetName val="GARASI_ME__"/>
      <sheetName val="REKAP_Usulan_2004"/>
      <sheetName val="RWT__Inap_LAKI"/>
      <sheetName val="RUMAH_DINAS_90"/>
      <sheetName val="R_JAGA"/>
      <sheetName val="RWT__Inap_VIP"/>
      <sheetName val="R__IPAL_"/>
      <sheetName val="PAGAR_&amp;_P_NAMA"/>
      <sheetName val="POS_JAGA"/>
      <sheetName val="ME_TOTAL"/>
      <sheetName val="_REKAP_SIMPEL"/>
      <sheetName val="REKAP_EE"/>
      <sheetName val="1_A__STD_STR"/>
      <sheetName val="1__B__STD_ARC"/>
      <sheetName val="B_2_1_NON_STD_PEMAT_&amp;_DDG_PNHN"/>
      <sheetName val="Drainase_KAwasan"/>
      <sheetName val="Pondasi_DAlam"/>
      <sheetName val="B_2_1_NON_STD_PEMAT___DDG_PNHN"/>
      <sheetName val="D7"/>
      <sheetName val="HARGA MATERIAL"/>
      <sheetName val="HSBU "/>
      <sheetName val="Harsat"/>
      <sheetName val="MATERIAL"/>
      <sheetName val="Uph&amp;bhn"/>
      <sheetName val="XLR_NoRangeSheet"/>
      <sheetName val="Harga Upah"/>
      <sheetName val="Peralatan"/>
      <sheetName val="Lokasi"/>
      <sheetName val="D4"/>
      <sheetName val="D6"/>
      <sheetName val="D8"/>
      <sheetName val="Upah+Bahan"/>
      <sheetName val="BQ (by owner)"/>
      <sheetName val="rab me (fisik)"/>
      <sheetName val="Mall"/>
      <sheetName val="HM"/>
      <sheetName val="Meto"/>
      <sheetName val="LAP. MINGG"/>
      <sheetName val="TIE-INS"/>
      <sheetName val="HARGA"/>
      <sheetName val="Anal_ Pancang"/>
      <sheetName val="D3"/>
      <sheetName val="DIVI6"/>
      <sheetName val="B - Norelec"/>
      <sheetName val="Alat B"/>
      <sheetName val="Bahan B"/>
      <sheetName val="Upah B"/>
      <sheetName val="RAP"/>
      <sheetName val="Sub"/>
      <sheetName val="Upah"/>
      <sheetName val="Upah&amp;Bahan"/>
      <sheetName val="Hargamat"/>
      <sheetName val="RAB ME"/>
      <sheetName val="H-BHN"/>
      <sheetName val="REKAP"/>
      <sheetName val="Daf Harga"/>
      <sheetName val="Rekap Direct Cost"/>
      <sheetName val="RAB"/>
      <sheetName val="ubah"/>
      <sheetName val="Data"/>
      <sheetName val="DAFT_ALAT,UPAH &amp; MAT"/>
      <sheetName val="D5"/>
      <sheetName val="Supl.X"/>
      <sheetName val="Harga Bahan &amp; Upah"/>
      <sheetName val="RE-BAR"/>
      <sheetName val="BASIC"/>
      <sheetName val="#REF!"/>
      <sheetName val="Break Down"/>
      <sheetName val="Koefisien"/>
      <sheetName val="BAHAN"/>
      <sheetName val="sub rekap str-ars"/>
      <sheetName val="subrekap me"/>
      <sheetName val="rab str-ars"/>
      <sheetName val="analisa str - ars"/>
      <sheetName val="ANALISA ME"/>
      <sheetName val="bahan str"/>
      <sheetName val="HARGA ME"/>
      <sheetName val="Daf-Har-Pening"/>
      <sheetName val="daftar harga dan upah"/>
      <sheetName val="JADW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8">
          <cell r="F78">
            <v>39000</v>
          </cell>
        </row>
      </sheetData>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SPH"/>
      <sheetName val="REKAP"/>
      <sheetName val="RAB"/>
      <sheetName val="ANALISA"/>
      <sheetName val="ANAL lump sum"/>
      <sheetName val="B-Price"/>
      <sheetName val="TIME SCHEDULE"/>
      <sheetName val="SCHEDULE BAHAN"/>
      <sheetName val="TOOL&amp;EMPLOY"/>
      <sheetName val="rabp"/>
      <sheetName val="DAFTAR MPU"/>
    </sheetNames>
    <sheetDataSet>
      <sheetData sheetId="0"/>
      <sheetData sheetId="1"/>
      <sheetData sheetId="2">
        <row r="47">
          <cell r="G47" t="str">
            <v>CV. MAHAKARYA ABADI</v>
          </cell>
        </row>
      </sheetData>
      <sheetData sheetId="3"/>
      <sheetData sheetId="4"/>
      <sheetData sheetId="5"/>
      <sheetData sheetId="6"/>
      <sheetData sheetId="7"/>
      <sheetData sheetId="8"/>
      <sheetData sheetId="9"/>
      <sheetData sheetId="10"/>
      <sheetData sheetId="1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HS"/>
      <sheetName val="Beusi"/>
      <sheetName val="AHS PIPA-SANITER"/>
      <sheetName val="AHS KUNCI-PENGGANTUNG"/>
      <sheetName val="harsat ars str"/>
      <sheetName val="DAFTAR Harsat"/>
    </sheetNames>
    <sheetDataSet>
      <sheetData sheetId="0" refreshError="1"/>
      <sheetData sheetId="1" refreshError="1"/>
      <sheetData sheetId="2" refreshError="1"/>
      <sheetData sheetId="3" refreshError="1"/>
      <sheetData sheetId="4" refreshError="1">
        <row r="2">
          <cell r="B2" t="str">
            <v>HARGA MATERIAL</v>
          </cell>
          <cell r="C2" t="str">
            <v>SATUAN</v>
          </cell>
          <cell r="D2" t="str">
            <v>HARGA SATUAN</v>
          </cell>
        </row>
        <row r="4">
          <cell r="B4" t="str">
            <v>BATA,  BATU  DAN  PASIR --------------------</v>
          </cell>
        </row>
        <row r="5">
          <cell r="B5" t="str">
            <v>Bata Merah biasa</v>
          </cell>
          <cell r="C5" t="str">
            <v>bh</v>
          </cell>
          <cell r="D5">
            <v>600</v>
          </cell>
        </row>
        <row r="6">
          <cell r="B6" t="str">
            <v>Bata Tela</v>
          </cell>
          <cell r="C6" t="str">
            <v>bh</v>
          </cell>
          <cell r="D6">
            <v>1350</v>
          </cell>
        </row>
        <row r="7">
          <cell r="B7" t="str">
            <v>Bata Merah Press</v>
          </cell>
          <cell r="C7" t="str">
            <v>bh</v>
          </cell>
          <cell r="D7">
            <v>750</v>
          </cell>
        </row>
        <row r="8">
          <cell r="B8" t="str">
            <v>Bata Merah Bojonghaur</v>
          </cell>
          <cell r="C8" t="str">
            <v>bh</v>
          </cell>
          <cell r="D8">
            <v>900</v>
          </cell>
        </row>
        <row r="9">
          <cell r="B9" t="str">
            <v>Batako Kecil</v>
          </cell>
          <cell r="C9" t="str">
            <v>bh</v>
          </cell>
          <cell r="D9">
            <v>600</v>
          </cell>
        </row>
        <row r="10">
          <cell r="B10" t="str">
            <v>Batako Lubang</v>
          </cell>
          <cell r="C10" t="str">
            <v>bh</v>
          </cell>
          <cell r="D10">
            <v>4000</v>
          </cell>
        </row>
        <row r="11">
          <cell r="B11" t="str">
            <v>Conblock</v>
          </cell>
        </row>
        <row r="12">
          <cell r="B12" t="str">
            <v>Bata Conblock Standar (lubang 2)</v>
          </cell>
          <cell r="C12" t="str">
            <v>bh</v>
          </cell>
          <cell r="D12">
            <v>2400</v>
          </cell>
        </row>
        <row r="13">
          <cell r="B13" t="str">
            <v>Bata Conblock Standar (lubang 3)</v>
          </cell>
          <cell r="C13" t="str">
            <v>bh</v>
          </cell>
          <cell r="D13">
            <v>2800</v>
          </cell>
        </row>
        <row r="14">
          <cell r="B14" t="str">
            <v>Bata Conblock Super (lubang 2)</v>
          </cell>
          <cell r="C14" t="str">
            <v>bh</v>
          </cell>
          <cell r="D14">
            <v>3000</v>
          </cell>
        </row>
        <row r="15">
          <cell r="B15" t="str">
            <v>Bata Conblock Super (lubang 3)</v>
          </cell>
          <cell r="C15" t="str">
            <v>bh</v>
          </cell>
          <cell r="D15">
            <v>3500</v>
          </cell>
        </row>
        <row r="16">
          <cell r="B16" t="str">
            <v>Bata Conblock Decoratif</v>
          </cell>
          <cell r="C16" t="str">
            <v>bh</v>
          </cell>
          <cell r="D16">
            <v>6000</v>
          </cell>
        </row>
        <row r="17">
          <cell r="B17" t="str">
            <v>Roster</v>
          </cell>
        </row>
        <row r="18">
          <cell r="B18" t="str">
            <v>Roster Beton 20x20</v>
          </cell>
          <cell r="C18" t="str">
            <v>bh</v>
          </cell>
          <cell r="D18">
            <v>7000</v>
          </cell>
        </row>
        <row r="19">
          <cell r="B19" t="str">
            <v>Roster Beton 30x15</v>
          </cell>
          <cell r="C19" t="str">
            <v>bh</v>
          </cell>
          <cell r="D19">
            <v>10000</v>
          </cell>
        </row>
        <row r="20">
          <cell r="B20" t="str">
            <v>Roster Beton 40x20 (wind flow)</v>
          </cell>
          <cell r="C20" t="str">
            <v>bh</v>
          </cell>
          <cell r="D20">
            <v>14000</v>
          </cell>
        </row>
        <row r="21">
          <cell r="B21" t="str">
            <v>Roster Beton 25x15</v>
          </cell>
          <cell r="C21" t="str">
            <v>bh</v>
          </cell>
          <cell r="D21">
            <v>8000</v>
          </cell>
        </row>
        <row r="22">
          <cell r="B22" t="str">
            <v>Roster Beton 38x38</v>
          </cell>
          <cell r="C22" t="str">
            <v>bh</v>
          </cell>
          <cell r="D22">
            <v>25000</v>
          </cell>
        </row>
        <row r="23">
          <cell r="B23" t="str">
            <v>Roster Beton Kotak Kosong 24x12</v>
          </cell>
          <cell r="C23" t="str">
            <v>bh</v>
          </cell>
          <cell r="D23">
            <v>7000</v>
          </cell>
        </row>
        <row r="24">
          <cell r="B24" t="str">
            <v>Roster Beton Kotak Kosong 30x15</v>
          </cell>
          <cell r="C24" t="str">
            <v>bh</v>
          </cell>
          <cell r="D24">
            <v>10000</v>
          </cell>
        </row>
        <row r="25">
          <cell r="B25" t="str">
            <v>Roster Beton Kotak Kosong 40x15</v>
          </cell>
          <cell r="C25" t="str">
            <v>bh</v>
          </cell>
          <cell r="D25">
            <v>14000</v>
          </cell>
        </row>
        <row r="26">
          <cell r="B26" t="str">
            <v>Roster Beton Kotak Kosong 45x15</v>
          </cell>
          <cell r="C26" t="str">
            <v>bh</v>
          </cell>
          <cell r="D26">
            <v>17500</v>
          </cell>
        </row>
        <row r="27">
          <cell r="B27" t="str">
            <v>Roster Beton Motih Madina 25x25</v>
          </cell>
          <cell r="C27" t="str">
            <v>bh</v>
          </cell>
          <cell r="D27">
            <v>12500</v>
          </cell>
        </row>
        <row r="28">
          <cell r="B28" t="str">
            <v>Bata Roster 20x20</v>
          </cell>
          <cell r="C28" t="str">
            <v>bh</v>
          </cell>
          <cell r="D28">
            <v>6500</v>
          </cell>
        </row>
        <row r="29">
          <cell r="B29" t="str">
            <v>Bata Roster 10x20</v>
          </cell>
          <cell r="C29" t="str">
            <v>bh</v>
          </cell>
          <cell r="D29">
            <v>3000</v>
          </cell>
        </row>
        <row r="30">
          <cell r="B30" t="str">
            <v>Batu Belah Pondasi</v>
          </cell>
          <cell r="C30" t="str">
            <v>m3</v>
          </cell>
          <cell r="D30">
            <v>228571.42857142858</v>
          </cell>
        </row>
        <row r="31">
          <cell r="B31" t="str">
            <v>Batu granit tumbuk</v>
          </cell>
          <cell r="C31" t="str">
            <v>Kg</v>
          </cell>
          <cell r="D31">
            <v>12000</v>
          </cell>
        </row>
        <row r="32">
          <cell r="B32" t="str">
            <v>Batu teraso tumbuk</v>
          </cell>
          <cell r="C32" t="str">
            <v>Kg</v>
          </cell>
          <cell r="D32">
            <v>7000</v>
          </cell>
        </row>
        <row r="33">
          <cell r="B33" t="str">
            <v>Batu Split Pecah Mesin 1/2</v>
          </cell>
          <cell r="C33" t="str">
            <v>m3</v>
          </cell>
          <cell r="D33">
            <v>145000</v>
          </cell>
        </row>
        <row r="34">
          <cell r="B34" t="str">
            <v>Batu Split Pecah Mesin 2/3</v>
          </cell>
          <cell r="C34" t="str">
            <v>m3</v>
          </cell>
          <cell r="D34">
            <v>145000</v>
          </cell>
        </row>
        <row r="35">
          <cell r="B35" t="str">
            <v>Batu Split Pecah Mesin 3/5</v>
          </cell>
          <cell r="C35" t="str">
            <v>m3</v>
          </cell>
          <cell r="D35">
            <v>145000</v>
          </cell>
        </row>
        <row r="36">
          <cell r="B36" t="str">
            <v>Batu Split Pecah Mesin 5/7</v>
          </cell>
          <cell r="C36" t="str">
            <v>m3</v>
          </cell>
          <cell r="D36">
            <v>145000</v>
          </cell>
        </row>
        <row r="37">
          <cell r="B37" t="str">
            <v>Abu batu 5mm</v>
          </cell>
          <cell r="C37" t="str">
            <v>m3</v>
          </cell>
          <cell r="D37">
            <v>125000</v>
          </cell>
        </row>
        <row r="38">
          <cell r="B38" t="str">
            <v>Sirtu</v>
          </cell>
          <cell r="C38" t="str">
            <v>m3</v>
          </cell>
          <cell r="D38">
            <v>125000</v>
          </cell>
        </row>
        <row r="39">
          <cell r="B39" t="str">
            <v>Pasir Beton</v>
          </cell>
          <cell r="C39" t="str">
            <v>m3</v>
          </cell>
          <cell r="D39">
            <v>145000</v>
          </cell>
        </row>
        <row r="40">
          <cell r="B40" t="str">
            <v>Pasir Pasang</v>
          </cell>
          <cell r="C40" t="str">
            <v>m3</v>
          </cell>
          <cell r="D40">
            <v>135000</v>
          </cell>
        </row>
        <row r="41">
          <cell r="B41" t="str">
            <v>Pasir Urug</v>
          </cell>
          <cell r="C41" t="str">
            <v>m3</v>
          </cell>
          <cell r="D41">
            <v>100000</v>
          </cell>
        </row>
        <row r="42">
          <cell r="B42" t="str">
            <v>Pasir putih</v>
          </cell>
          <cell r="C42" t="str">
            <v>m3</v>
          </cell>
          <cell r="D42">
            <v>195000</v>
          </cell>
        </row>
        <row r="43">
          <cell r="B43" t="str">
            <v>Tanah Urug</v>
          </cell>
          <cell r="C43" t="str">
            <v>m3</v>
          </cell>
          <cell r="D43">
            <v>92400</v>
          </cell>
        </row>
        <row r="44">
          <cell r="B44" t="str">
            <v>Pasir Plester</v>
          </cell>
          <cell r="C44" t="str">
            <v>m3</v>
          </cell>
          <cell r="D44">
            <v>135000</v>
          </cell>
        </row>
        <row r="45">
          <cell r="B45" t="str">
            <v>Air</v>
          </cell>
          <cell r="C45" t="str">
            <v>liter</v>
          </cell>
          <cell r="D45">
            <v>33.799999999999997</v>
          </cell>
        </row>
        <row r="46">
          <cell r="B46" t="str">
            <v>Batu apung</v>
          </cell>
          <cell r="C46" t="str">
            <v>Kg</v>
          </cell>
          <cell r="D46">
            <v>6000</v>
          </cell>
        </row>
        <row r="47">
          <cell r="B47" t="str">
            <v>Bata berongga</v>
          </cell>
          <cell r="C47" t="str">
            <v>bh</v>
          </cell>
          <cell r="D47">
            <v>1500</v>
          </cell>
        </row>
        <row r="48">
          <cell r="B48" t="str">
            <v>Glass Block</v>
          </cell>
          <cell r="C48" t="str">
            <v>bh</v>
          </cell>
          <cell r="D48">
            <v>3000</v>
          </cell>
        </row>
        <row r="49">
          <cell r="B49" t="str">
            <v>HollowB lock (HB.20)</v>
          </cell>
          <cell r="C49" t="str">
            <v>bh</v>
          </cell>
          <cell r="D49">
            <v>1500</v>
          </cell>
        </row>
        <row r="50">
          <cell r="B50" t="str">
            <v>Batu kali</v>
          </cell>
          <cell r="C50" t="str">
            <v>bh</v>
          </cell>
          <cell r="D50">
            <v>227500</v>
          </cell>
        </row>
        <row r="51">
          <cell r="B51" t="str">
            <v>Batu koral sikat terpasang</v>
          </cell>
          <cell r="C51" t="str">
            <v>m2</v>
          </cell>
          <cell r="D51">
            <v>325000</v>
          </cell>
        </row>
        <row r="52">
          <cell r="B52" t="str">
            <v>Agregat kasar</v>
          </cell>
          <cell r="C52" t="str">
            <v>m3</v>
          </cell>
          <cell r="D52">
            <v>254800</v>
          </cell>
        </row>
        <row r="53">
          <cell r="B53" t="str">
            <v>Agregat halus</v>
          </cell>
          <cell r="C53" t="str">
            <v>m3</v>
          </cell>
          <cell r="D53">
            <v>201500</v>
          </cell>
        </row>
        <row r="55">
          <cell r="B55" t="str">
            <v>BAHAN PEREKAT ----------------------------</v>
          </cell>
        </row>
        <row r="56">
          <cell r="B56" t="str">
            <v>Semen PC (50 Kg)</v>
          </cell>
          <cell r="C56" t="str">
            <v>zak</v>
          </cell>
          <cell r="D56">
            <v>63500</v>
          </cell>
        </row>
        <row r="57">
          <cell r="B57" t="str">
            <v>Semen PC (40 Kg)</v>
          </cell>
          <cell r="C57" t="str">
            <v>zak</v>
          </cell>
          <cell r="D57">
            <v>53000</v>
          </cell>
        </row>
        <row r="58">
          <cell r="B58" t="str">
            <v>Semen Putih</v>
          </cell>
          <cell r="C58" t="str">
            <v>kg</v>
          </cell>
          <cell r="D58">
            <v>2000</v>
          </cell>
        </row>
        <row r="59">
          <cell r="B59" t="str">
            <v xml:space="preserve">Semen Warna </v>
          </cell>
          <cell r="C59" t="str">
            <v>kg</v>
          </cell>
          <cell r="D59">
            <v>12500</v>
          </cell>
        </row>
        <row r="60">
          <cell r="B60" t="str">
            <v>Beton K-250 Readymix Slum 12 cm</v>
          </cell>
          <cell r="C60" t="str">
            <v>m3</v>
          </cell>
          <cell r="D60">
            <v>2168516</v>
          </cell>
        </row>
        <row r="61">
          <cell r="B61" t="str">
            <v>Beton K-300 Readymix Slum 12 cm</v>
          </cell>
          <cell r="C61" t="str">
            <v>m3</v>
          </cell>
          <cell r="D61">
            <v>2710645</v>
          </cell>
        </row>
        <row r="62">
          <cell r="B62" t="str">
            <v>AM 50 + Micro 1kg White</v>
          </cell>
          <cell r="C62" t="str">
            <v>kg</v>
          </cell>
          <cell r="D62">
            <v>12350</v>
          </cell>
        </row>
        <row r="63">
          <cell r="B63" t="str">
            <v>Beton</v>
          </cell>
          <cell r="C63" t="str">
            <v>m3</v>
          </cell>
          <cell r="D63">
            <v>2600000</v>
          </cell>
        </row>
        <row r="65">
          <cell r="B65" t="str">
            <v>TIANG PANCANG ---------------------------</v>
          </cell>
        </row>
        <row r="66">
          <cell r="B66" t="str">
            <v>Triangle 28</v>
          </cell>
          <cell r="C66" t="str">
            <v>m</v>
          </cell>
          <cell r="D66">
            <v>234910</v>
          </cell>
        </row>
        <row r="67">
          <cell r="B67" t="str">
            <v>Triangle 32</v>
          </cell>
          <cell r="C67" t="str">
            <v>m</v>
          </cell>
          <cell r="D67">
            <v>302510</v>
          </cell>
        </row>
        <row r="68">
          <cell r="B68" t="str">
            <v>Square 20</v>
          </cell>
          <cell r="C68" t="str">
            <v>m</v>
          </cell>
          <cell r="D68">
            <v>260260</v>
          </cell>
        </row>
        <row r="69">
          <cell r="B69" t="str">
            <v>Square 25</v>
          </cell>
          <cell r="C69" t="str">
            <v>m</v>
          </cell>
          <cell r="D69">
            <v>385320</v>
          </cell>
        </row>
        <row r="70">
          <cell r="B70" t="str">
            <v>Bulat dia. 30</v>
          </cell>
          <cell r="C70" t="str">
            <v>m</v>
          </cell>
        </row>
        <row r="71">
          <cell r="B71" t="str">
            <v>SPUN Pile Bulat dia. 30</v>
          </cell>
          <cell r="C71" t="str">
            <v>m</v>
          </cell>
          <cell r="D71">
            <v>370000</v>
          </cell>
        </row>
        <row r="72">
          <cell r="B72" t="str">
            <v>Pemasangan</v>
          </cell>
          <cell r="C72" t="str">
            <v>m</v>
          </cell>
          <cell r="D72">
            <v>253500</v>
          </cell>
        </row>
        <row r="73">
          <cell r="B73" t="str">
            <v>Pemotongan</v>
          </cell>
          <cell r="C73" t="str">
            <v>bh</v>
          </cell>
          <cell r="D73">
            <v>126750</v>
          </cell>
        </row>
        <row r="74">
          <cell r="B74" t="str">
            <v>Penyambungan</v>
          </cell>
          <cell r="C74" t="str">
            <v>bh</v>
          </cell>
          <cell r="D74">
            <v>253500</v>
          </cell>
        </row>
        <row r="75">
          <cell r="B75" t="str">
            <v>Sewa Pompa</v>
          </cell>
          <cell r="C75" t="str">
            <v>unt</v>
          </cell>
          <cell r="D75">
            <v>3250000</v>
          </cell>
        </row>
        <row r="77">
          <cell r="B77" t="str">
            <v>PIPA BETON---------------------------------</v>
          </cell>
        </row>
        <row r="78">
          <cell r="B78" t="str">
            <v>U - Ditch 300/400  p.1,20 m</v>
          </cell>
          <cell r="C78" t="str">
            <v>Bh</v>
          </cell>
        </row>
        <row r="79">
          <cell r="B79" t="str">
            <v>U - Ditch 400/600  p.1,20 m</v>
          </cell>
          <cell r="C79" t="str">
            <v>Bh</v>
          </cell>
        </row>
        <row r="80">
          <cell r="B80" t="str">
            <v>U - Ditch 300/500  p.1,20 m</v>
          </cell>
          <cell r="C80" t="str">
            <v>Bh</v>
          </cell>
          <cell r="D80">
            <v>70000</v>
          </cell>
        </row>
        <row r="81">
          <cell r="B81" t="str">
            <v>U - Ditch 400/500  p.1,20 m</v>
          </cell>
          <cell r="C81" t="str">
            <v>Bh</v>
          </cell>
          <cell r="D81">
            <v>90000</v>
          </cell>
        </row>
        <row r="82">
          <cell r="B82" t="str">
            <v>Box culvert BC 400x400 LD p. 1,00 m</v>
          </cell>
          <cell r="C82" t="str">
            <v>Bh</v>
          </cell>
        </row>
        <row r="83">
          <cell r="B83" t="str">
            <v>Greffel U20 p. 1,00 m</v>
          </cell>
          <cell r="C83" t="str">
            <v>Bh</v>
          </cell>
          <cell r="D83">
            <v>24000</v>
          </cell>
        </row>
        <row r="84">
          <cell r="B84" t="str">
            <v>Greffel U30 p. 1,00 m</v>
          </cell>
          <cell r="C84" t="str">
            <v>Bh</v>
          </cell>
          <cell r="D84">
            <v>30000</v>
          </cell>
        </row>
        <row r="85">
          <cell r="B85" t="str">
            <v>Greffel U40 p. 1,00 m</v>
          </cell>
          <cell r="C85" t="str">
            <v>Bh</v>
          </cell>
          <cell r="D85">
            <v>40000</v>
          </cell>
        </row>
        <row r="86">
          <cell r="B86" t="str">
            <v>Greffel U50 p. 1,00 m</v>
          </cell>
          <cell r="C86" t="str">
            <v>Bh</v>
          </cell>
          <cell r="D86">
            <v>65000</v>
          </cell>
        </row>
        <row r="87">
          <cell r="B87" t="str">
            <v>Buis Beton 200x1000</v>
          </cell>
          <cell r="C87" t="str">
            <v>Bh</v>
          </cell>
          <cell r="D87">
            <v>45000</v>
          </cell>
        </row>
        <row r="88">
          <cell r="B88" t="str">
            <v>Buis Beton 300x1000</v>
          </cell>
          <cell r="C88" t="str">
            <v>Bh</v>
          </cell>
          <cell r="D88">
            <v>55000</v>
          </cell>
        </row>
        <row r="89">
          <cell r="B89" t="str">
            <v>Buis Beton 400x1000</v>
          </cell>
          <cell r="C89" t="str">
            <v>Bh</v>
          </cell>
          <cell r="D89">
            <v>75000</v>
          </cell>
        </row>
        <row r="90">
          <cell r="B90" t="str">
            <v>Buis Beton 500x1000</v>
          </cell>
          <cell r="C90" t="str">
            <v>Bh</v>
          </cell>
          <cell r="D90">
            <v>100000</v>
          </cell>
        </row>
        <row r="91">
          <cell r="B91" t="str">
            <v>Buis Beton 600x500</v>
          </cell>
          <cell r="C91" t="str">
            <v>Bh</v>
          </cell>
          <cell r="D91">
            <v>80000</v>
          </cell>
        </row>
        <row r="92">
          <cell r="B92" t="str">
            <v>Buis Beton 600x1000</v>
          </cell>
          <cell r="C92" t="str">
            <v>Bh</v>
          </cell>
          <cell r="D92">
            <v>140000</v>
          </cell>
        </row>
        <row r="93">
          <cell r="B93" t="str">
            <v>Buis Beton 700x500</v>
          </cell>
          <cell r="C93" t="str">
            <v>Bh</v>
          </cell>
          <cell r="D93">
            <v>130000</v>
          </cell>
        </row>
        <row r="94">
          <cell r="B94" t="str">
            <v>Buis Beton 800x500</v>
          </cell>
          <cell r="C94" t="str">
            <v>Bh</v>
          </cell>
          <cell r="D94">
            <v>150000</v>
          </cell>
        </row>
        <row r="95">
          <cell r="B95" t="str">
            <v>Buis Beton 1000x500</v>
          </cell>
          <cell r="C95" t="str">
            <v>Bh</v>
          </cell>
          <cell r="D95">
            <v>210000</v>
          </cell>
        </row>
        <row r="96">
          <cell r="B96" t="str">
            <v>Tutup Buis D700</v>
          </cell>
          <cell r="C96" t="str">
            <v>Bh</v>
          </cell>
          <cell r="D96">
            <v>70000</v>
          </cell>
        </row>
        <row r="97">
          <cell r="B97" t="str">
            <v>Tutup Buis D1000</v>
          </cell>
          <cell r="C97" t="str">
            <v>Bh</v>
          </cell>
          <cell r="D97">
            <v>100000</v>
          </cell>
        </row>
        <row r="98">
          <cell r="B98" t="str">
            <v>Tutup Buis D1200</v>
          </cell>
          <cell r="C98" t="str">
            <v>Bh</v>
          </cell>
          <cell r="D98">
            <v>120000</v>
          </cell>
        </row>
        <row r="99">
          <cell r="B99" t="str">
            <v>Buis Beton</v>
          </cell>
          <cell r="C99" t="str">
            <v>Bh</v>
          </cell>
          <cell r="D99">
            <v>71500</v>
          </cell>
        </row>
        <row r="100">
          <cell r="B100" t="str">
            <v xml:space="preserve">Pipa PVC </v>
          </cell>
          <cell r="C100" t="str">
            <v>bh</v>
          </cell>
          <cell r="D100">
            <v>65000</v>
          </cell>
        </row>
        <row r="101">
          <cell r="B101" t="str">
            <v>Pipa Galvanis d=1/2 "</v>
          </cell>
          <cell r="C101" t="str">
            <v>m1</v>
          </cell>
          <cell r="D101">
            <v>130000</v>
          </cell>
        </row>
        <row r="102">
          <cell r="B102" t="str">
            <v>Pipa Galvanis d=3/4 "</v>
          </cell>
          <cell r="C102" t="str">
            <v>m1</v>
          </cell>
          <cell r="D102">
            <v>260000</v>
          </cell>
        </row>
        <row r="103">
          <cell r="B103" t="str">
            <v>Pipa Galvanis d=1 1/2 "</v>
          </cell>
          <cell r="C103" t="str">
            <v>m1</v>
          </cell>
          <cell r="D103">
            <v>390000</v>
          </cell>
        </row>
        <row r="104">
          <cell r="B104" t="str">
            <v>Pipa Galvanis d= 1 "</v>
          </cell>
          <cell r="C104" t="str">
            <v>m1</v>
          </cell>
          <cell r="D104">
            <v>325000</v>
          </cell>
        </row>
        <row r="105">
          <cell r="B105" t="str">
            <v>Pipa Galvanis d=3 "</v>
          </cell>
          <cell r="C105" t="str">
            <v>m1</v>
          </cell>
          <cell r="D105">
            <v>455000</v>
          </cell>
        </row>
        <row r="106">
          <cell r="B106" t="str">
            <v>Pipa Galvanis d=4 "</v>
          </cell>
          <cell r="C106" t="str">
            <v>m1</v>
          </cell>
          <cell r="D106">
            <v>455000</v>
          </cell>
        </row>
        <row r="107">
          <cell r="B107" t="str">
            <v>Pipa PVC d=1/2 "</v>
          </cell>
          <cell r="C107" t="str">
            <v>m1</v>
          </cell>
          <cell r="D107">
            <v>455000</v>
          </cell>
        </row>
        <row r="108">
          <cell r="B108" t="str">
            <v>Pipa PVC d=3/4 "</v>
          </cell>
          <cell r="C108" t="str">
            <v>m1</v>
          </cell>
          <cell r="D108">
            <v>455000</v>
          </cell>
        </row>
        <row r="109">
          <cell r="B109" t="str">
            <v>Pipa PVC d= 1 1/2 "</v>
          </cell>
          <cell r="C109" t="str">
            <v>m1</v>
          </cell>
          <cell r="D109">
            <v>455000</v>
          </cell>
        </row>
        <row r="110">
          <cell r="B110" t="str">
            <v>Pipa PVC d= 1 "</v>
          </cell>
          <cell r="C110" t="str">
            <v>m1</v>
          </cell>
          <cell r="D110">
            <v>455000</v>
          </cell>
        </row>
        <row r="111">
          <cell r="B111" t="str">
            <v>Pipa PVC d= 2 "</v>
          </cell>
          <cell r="C111" t="str">
            <v>m1</v>
          </cell>
          <cell r="D111">
            <v>455000</v>
          </cell>
        </row>
        <row r="112">
          <cell r="B112" t="str">
            <v>Pipa PVC d= 2 1/2 "</v>
          </cell>
          <cell r="C112" t="str">
            <v>m1</v>
          </cell>
          <cell r="D112">
            <v>455000</v>
          </cell>
        </row>
        <row r="113">
          <cell r="B113" t="str">
            <v>Pipa PVC d= 3 "</v>
          </cell>
          <cell r="C113" t="str">
            <v>m1</v>
          </cell>
          <cell r="D113">
            <v>455000</v>
          </cell>
        </row>
        <row r="114">
          <cell r="B114" t="str">
            <v>Pipa PVC d= 4 "</v>
          </cell>
          <cell r="C114" t="str">
            <v>m1</v>
          </cell>
          <cell r="D114">
            <v>455000</v>
          </cell>
        </row>
        <row r="115">
          <cell r="B115" t="str">
            <v>Pipa PVC 3/4"</v>
          </cell>
          <cell r="C115" t="str">
            <v>Btg</v>
          </cell>
          <cell r="D115">
            <v>30000</v>
          </cell>
        </row>
        <row r="116">
          <cell r="B116" t="str">
            <v>Pipa PVC 2,5"</v>
          </cell>
          <cell r="C116" t="str">
            <v>Btg</v>
          </cell>
          <cell r="D116">
            <v>125000</v>
          </cell>
        </row>
        <row r="117">
          <cell r="B117" t="str">
            <v>Pipa PVC 3"</v>
          </cell>
          <cell r="C117" t="str">
            <v>Btg</v>
          </cell>
          <cell r="D117">
            <v>135000</v>
          </cell>
        </row>
        <row r="118">
          <cell r="B118" t="str">
            <v>Pipa PVC 4"</v>
          </cell>
          <cell r="C118" t="str">
            <v>Btg</v>
          </cell>
          <cell r="D118">
            <v>230000</v>
          </cell>
        </row>
        <row r="119">
          <cell r="B119" t="str">
            <v>ID. 1/2" - 4m'</v>
          </cell>
          <cell r="C119" t="str">
            <v>Btg</v>
          </cell>
          <cell r="D119">
            <v>20000</v>
          </cell>
        </row>
        <row r="120">
          <cell r="B120" t="str">
            <v>ID. 3/4" - 4m'</v>
          </cell>
          <cell r="C120" t="str">
            <v>Btg</v>
          </cell>
          <cell r="D120">
            <v>30000</v>
          </cell>
        </row>
        <row r="121">
          <cell r="B121" t="str">
            <v>ID. 1" - 4m'</v>
          </cell>
          <cell r="C121" t="str">
            <v>Btg</v>
          </cell>
          <cell r="D121">
            <v>40000</v>
          </cell>
        </row>
        <row r="122">
          <cell r="B122" t="str">
            <v>ID. 3" - 4m'</v>
          </cell>
          <cell r="C122" t="str">
            <v>Btg</v>
          </cell>
          <cell r="D122">
            <v>120000</v>
          </cell>
        </row>
        <row r="123">
          <cell r="B123" t="str">
            <v>ID. 4" - 4m'</v>
          </cell>
          <cell r="C123" t="str">
            <v>Btg</v>
          </cell>
          <cell r="D123">
            <v>190000</v>
          </cell>
        </row>
        <row r="124">
          <cell r="B124" t="str">
            <v>ID. 5" - 4m'</v>
          </cell>
          <cell r="C124" t="str">
            <v>Btg</v>
          </cell>
          <cell r="D124">
            <v>215000</v>
          </cell>
        </row>
        <row r="125">
          <cell r="B125" t="str">
            <v>ID. 6" - 4m'</v>
          </cell>
          <cell r="C125" t="str">
            <v>Btg</v>
          </cell>
          <cell r="D125">
            <v>450000</v>
          </cell>
        </row>
        <row r="126">
          <cell r="B126" t="str">
            <v>Talang PVC 4-6" - 4m'</v>
          </cell>
          <cell r="C126" t="str">
            <v>Btg</v>
          </cell>
          <cell r="D126">
            <v>90000</v>
          </cell>
        </row>
        <row r="127">
          <cell r="B127" t="str">
            <v>Talang PVC 4-8" - 4m'</v>
          </cell>
          <cell r="C127" t="str">
            <v>Btg</v>
          </cell>
          <cell r="D127">
            <v>325000</v>
          </cell>
        </row>
        <row r="128">
          <cell r="B128" t="str">
            <v>Pipa GIP Kelas Medium</v>
          </cell>
          <cell r="C128" t="str">
            <v>Btg</v>
          </cell>
          <cell r="D128">
            <v>110000</v>
          </cell>
        </row>
        <row r="129">
          <cell r="B129" t="str">
            <v>ID. 1/2" - 6m'</v>
          </cell>
          <cell r="C129" t="str">
            <v>Btg</v>
          </cell>
          <cell r="D129">
            <v>125000</v>
          </cell>
        </row>
        <row r="130">
          <cell r="B130" t="str">
            <v>ID. 1" - 6m'</v>
          </cell>
          <cell r="C130" t="str">
            <v>Btg</v>
          </cell>
          <cell r="D130">
            <v>250000</v>
          </cell>
        </row>
        <row r="131">
          <cell r="B131" t="str">
            <v>ID. 1,5" - 6m'</v>
          </cell>
          <cell r="C131" t="str">
            <v>Btg</v>
          </cell>
          <cell r="D131">
            <v>350000</v>
          </cell>
        </row>
        <row r="132">
          <cell r="B132" t="str">
            <v>ID. 2" - 6m'</v>
          </cell>
          <cell r="C132" t="str">
            <v>Btg</v>
          </cell>
          <cell r="D132">
            <v>370000</v>
          </cell>
        </row>
        <row r="133">
          <cell r="B133" t="str">
            <v>ID. 3" - 6m'</v>
          </cell>
          <cell r="C133" t="str">
            <v>Btg</v>
          </cell>
          <cell r="D133">
            <v>600000</v>
          </cell>
        </row>
        <row r="134">
          <cell r="B134" t="str">
            <v>ID. 4" - 6m'</v>
          </cell>
          <cell r="C134" t="str">
            <v>Btg</v>
          </cell>
          <cell r="D134">
            <v>800000</v>
          </cell>
        </row>
        <row r="135">
          <cell r="B135" t="str">
            <v>ID. 5" - 6m'</v>
          </cell>
          <cell r="C135" t="str">
            <v>Btg</v>
          </cell>
          <cell r="D135">
            <v>1200000</v>
          </cell>
        </row>
        <row r="136">
          <cell r="B136" t="str">
            <v>ID. 6" - 6m'</v>
          </cell>
          <cell r="C136" t="str">
            <v>Btg</v>
          </cell>
          <cell r="D136">
            <v>1524900</v>
          </cell>
        </row>
        <row r="137">
          <cell r="B137" t="str">
            <v>Pipa Besi Listrik Ø 3/8"</v>
          </cell>
          <cell r="C137" t="str">
            <v>Btg</v>
          </cell>
          <cell r="D137">
            <v>200000</v>
          </cell>
        </row>
        <row r="138">
          <cell r="B138" t="str">
            <v>Pipa Besi Listrik Ø 5/8"</v>
          </cell>
          <cell r="C138" t="str">
            <v>Btg</v>
          </cell>
          <cell r="D138">
            <v>400000</v>
          </cell>
        </row>
        <row r="139">
          <cell r="B139" t="str">
            <v>Pipa Stainless Steel Ø 1"</v>
          </cell>
          <cell r="C139" t="str">
            <v>Btg</v>
          </cell>
          <cell r="D139">
            <v>240000</v>
          </cell>
        </row>
        <row r="140">
          <cell r="B140" t="str">
            <v>Pipa Stainless Steel Ø 4"</v>
          </cell>
          <cell r="C140" t="str">
            <v>Btg</v>
          </cell>
          <cell r="D140">
            <v>585000</v>
          </cell>
        </row>
        <row r="141">
          <cell r="B141" t="str">
            <v>Pipa Stainless Steel Ø 1,5 "</v>
          </cell>
          <cell r="C141" t="str">
            <v>Btg</v>
          </cell>
          <cell r="D141">
            <v>320000</v>
          </cell>
        </row>
        <row r="142">
          <cell r="B142" t="str">
            <v>Pipa Stainless Steel Ø 2"</v>
          </cell>
          <cell r="C142" t="str">
            <v>Btg</v>
          </cell>
          <cell r="D142">
            <v>400000</v>
          </cell>
        </row>
        <row r="143">
          <cell r="B143" t="str">
            <v>Pipa Stainless Steel Ø 3"</v>
          </cell>
          <cell r="C143" t="str">
            <v>Btg</v>
          </cell>
          <cell r="D143">
            <v>480000</v>
          </cell>
        </row>
        <row r="144">
          <cell r="B144" t="str">
            <v>Reservoir Fiberglass Cap. 1 m3</v>
          </cell>
          <cell r="C144" t="str">
            <v>bh</v>
          </cell>
          <cell r="D144">
            <v>1800000</v>
          </cell>
        </row>
        <row r="145">
          <cell r="B145" t="str">
            <v>Pompa Dragon</v>
          </cell>
          <cell r="C145" t="str">
            <v>bh</v>
          </cell>
          <cell r="D145">
            <v>500000</v>
          </cell>
        </row>
        <row r="146">
          <cell r="B146" t="str">
            <v>Pompa Sanyo Kecil</v>
          </cell>
          <cell r="C146" t="str">
            <v>bh</v>
          </cell>
          <cell r="D146">
            <v>475000</v>
          </cell>
        </row>
        <row r="147">
          <cell r="B147" t="str">
            <v>Pompa Sanyo Besar</v>
          </cell>
          <cell r="C147" t="str">
            <v>bh</v>
          </cell>
          <cell r="D147">
            <v>1275000</v>
          </cell>
        </row>
        <row r="148">
          <cell r="B148" t="str">
            <v>Pompa Air Honda</v>
          </cell>
          <cell r="C148" t="str">
            <v>bh</v>
          </cell>
          <cell r="D148">
            <v>3500000</v>
          </cell>
        </row>
        <row r="150">
          <cell r="B150" t="str">
            <v>BAHAN BAJA :</v>
          </cell>
        </row>
        <row r="151">
          <cell r="B151" t="str">
            <v>Besi Beton rata-rata</v>
          </cell>
          <cell r="C151" t="str">
            <v>Kg</v>
          </cell>
          <cell r="D151">
            <v>1720.9379878835634</v>
          </cell>
        </row>
        <row r="152">
          <cell r="B152" t="str">
            <v>Besi beton Ø6 biasa</v>
          </cell>
          <cell r="C152" t="str">
            <v>Kg</v>
          </cell>
          <cell r="D152">
            <v>6766.9172932330821</v>
          </cell>
        </row>
        <row r="153">
          <cell r="B153" t="str">
            <v>Besi beton Ø6</v>
          </cell>
          <cell r="C153" t="str">
            <v>Kg</v>
          </cell>
          <cell r="D153">
            <v>10526.315789473683</v>
          </cell>
        </row>
        <row r="154">
          <cell r="B154" t="str">
            <v>Besi beton Ø8 biasa</v>
          </cell>
          <cell r="C154" t="str">
            <v>Kg</v>
          </cell>
          <cell r="D154">
            <v>11875</v>
          </cell>
        </row>
        <row r="155">
          <cell r="B155" t="str">
            <v>Besi beton Ø8</v>
          </cell>
          <cell r="C155" t="str">
            <v>Kg</v>
          </cell>
          <cell r="D155">
            <v>14531.25</v>
          </cell>
        </row>
        <row r="156">
          <cell r="B156" t="str">
            <v>Besi beton Ø10 biasa</v>
          </cell>
          <cell r="C156" t="str">
            <v>Kg</v>
          </cell>
          <cell r="D156">
            <v>7567.5675675675675</v>
          </cell>
        </row>
        <row r="157">
          <cell r="B157" t="str">
            <v>Besi beton Ø10</v>
          </cell>
          <cell r="C157" t="str">
            <v>Kg</v>
          </cell>
          <cell r="D157">
            <v>9324.3243243243232</v>
          </cell>
        </row>
        <row r="158">
          <cell r="B158" t="str">
            <v>Besi beton Ø12 biasa</v>
          </cell>
          <cell r="C158" t="str">
            <v>Kg</v>
          </cell>
          <cell r="D158">
            <v>7504.6904315196998</v>
          </cell>
        </row>
        <row r="159">
          <cell r="B159" t="str">
            <v>Besi beton Ø12</v>
          </cell>
          <cell r="C159" t="str">
            <v>Kg</v>
          </cell>
          <cell r="D159">
            <v>8911.8198874296431</v>
          </cell>
        </row>
        <row r="160">
          <cell r="B160" t="str">
            <v>Besi beton Ø13</v>
          </cell>
          <cell r="C160" t="str">
            <v>Kg</v>
          </cell>
          <cell r="D160">
            <v>8974.3589743589746</v>
          </cell>
        </row>
        <row r="161">
          <cell r="B161" t="str">
            <v>Besi beton Ø16 biasa</v>
          </cell>
          <cell r="C161" t="str">
            <v>Kg</v>
          </cell>
          <cell r="D161">
            <v>8227.8481012658231</v>
          </cell>
        </row>
        <row r="162">
          <cell r="B162" t="str">
            <v xml:space="preserve">Besi beton Ø16 </v>
          </cell>
          <cell r="C162" t="str">
            <v>Kg</v>
          </cell>
          <cell r="D162">
            <v>9124.4725738396628</v>
          </cell>
        </row>
        <row r="163">
          <cell r="B163" t="str">
            <v>Besi Full 8 mm</v>
          </cell>
          <cell r="C163" t="str">
            <v>Kg</v>
          </cell>
          <cell r="D163">
            <v>14531.25</v>
          </cell>
        </row>
        <row r="164">
          <cell r="B164" t="str">
            <v>Besi Full 10 mm</v>
          </cell>
          <cell r="C164" t="str">
            <v>Kg</v>
          </cell>
          <cell r="D164">
            <v>9324.3243243243232</v>
          </cell>
        </row>
        <row r="165">
          <cell r="B165" t="str">
            <v>Besi Full 12 mm</v>
          </cell>
          <cell r="C165" t="str">
            <v>Kg</v>
          </cell>
          <cell r="D165">
            <v>8911.8198874296431</v>
          </cell>
        </row>
        <row r="166">
          <cell r="B166" t="str">
            <v>Besi Polos 16 mm</v>
          </cell>
          <cell r="C166" t="str">
            <v>Kg</v>
          </cell>
          <cell r="D166">
            <v>9124.4725738396628</v>
          </cell>
        </row>
        <row r="167">
          <cell r="B167" t="str">
            <v>Besi Ulir 15 mm</v>
          </cell>
          <cell r="C167" t="str">
            <v>Kg</v>
          </cell>
          <cell r="D167">
            <v>10000</v>
          </cell>
        </row>
        <row r="168">
          <cell r="B168" t="str">
            <v>Besi Ulir 16 mm</v>
          </cell>
          <cell r="C168" t="str">
            <v>Kg</v>
          </cell>
          <cell r="D168">
            <v>9124.4725738396628</v>
          </cell>
        </row>
        <row r="169">
          <cell r="B169" t="str">
            <v>Besi beton Ø6 biasa</v>
          </cell>
          <cell r="C169" t="str">
            <v>kg</v>
          </cell>
          <cell r="D169">
            <v>6766.9172932330821</v>
          </cell>
        </row>
        <row r="170">
          <cell r="B170" t="str">
            <v>Besi beton Ø6</v>
          </cell>
          <cell r="C170" t="str">
            <v>kg</v>
          </cell>
          <cell r="D170">
            <v>10526.315789473683</v>
          </cell>
        </row>
        <row r="171">
          <cell r="B171" t="str">
            <v>Besi beton Ø13</v>
          </cell>
          <cell r="C171" t="str">
            <v>kg</v>
          </cell>
          <cell r="D171">
            <v>8974.3589743589746</v>
          </cell>
        </row>
        <row r="172">
          <cell r="B172" t="str">
            <v>Cakar Ayam Besi Beton</v>
          </cell>
          <cell r="C172" t="str">
            <v>Kg</v>
          </cell>
          <cell r="D172">
            <v>8974.3589743589746</v>
          </cell>
        </row>
        <row r="173">
          <cell r="B173" t="str">
            <v>Wiremesh M6  rata-rata</v>
          </cell>
          <cell r="C173" t="str">
            <v>m2</v>
          </cell>
          <cell r="D173">
            <v>74750</v>
          </cell>
        </row>
        <row r="174">
          <cell r="B174" t="str">
            <v>Wiremesh M8  rata-rata</v>
          </cell>
          <cell r="C174" t="str">
            <v>m2</v>
          </cell>
          <cell r="D174">
            <v>68318</v>
          </cell>
        </row>
        <row r="175">
          <cell r="B175" t="str">
            <v>Wiremesh M10  rata-rata</v>
          </cell>
          <cell r="C175" t="str">
            <v>m2</v>
          </cell>
          <cell r="D175">
            <v>73800</v>
          </cell>
        </row>
        <row r="176">
          <cell r="B176" t="str">
            <v>Wiremesh M4  U50 SNI</v>
          </cell>
          <cell r="C176" t="str">
            <v>m2</v>
          </cell>
          <cell r="D176">
            <v>13139.329805996471</v>
          </cell>
        </row>
        <row r="177">
          <cell r="B177" t="str">
            <v>Wiremesh M5  U50 SNI</v>
          </cell>
          <cell r="C177" t="str">
            <v>m2</v>
          </cell>
          <cell r="D177">
            <v>19576.719576719574</v>
          </cell>
        </row>
        <row r="178">
          <cell r="B178" t="str">
            <v>Wiremesh M6  U50 SNI</v>
          </cell>
          <cell r="C178" t="str">
            <v>m2</v>
          </cell>
          <cell r="D178">
            <v>27513.22751322751</v>
          </cell>
        </row>
        <row r="179">
          <cell r="B179" t="str">
            <v>Wiremesh M7  U50 SNI</v>
          </cell>
          <cell r="C179" t="str">
            <v>m2</v>
          </cell>
          <cell r="D179">
            <v>37477.954144620802</v>
          </cell>
        </row>
        <row r="180">
          <cell r="B180" t="str">
            <v>Wiremesh M8  U50 SNI</v>
          </cell>
          <cell r="C180" t="str">
            <v>m2</v>
          </cell>
          <cell r="D180">
            <v>48941.798941798937</v>
          </cell>
        </row>
        <row r="181">
          <cell r="B181" t="str">
            <v>Wiremesh M9  U50 SNI</v>
          </cell>
          <cell r="C181" t="str">
            <v>m2</v>
          </cell>
          <cell r="D181">
            <v>63492.063492063484</v>
          </cell>
        </row>
        <row r="182">
          <cell r="B182" t="str">
            <v>Wiremesh M10  U50 SNI</v>
          </cell>
          <cell r="C182" t="str">
            <v>m2</v>
          </cell>
          <cell r="D182">
            <v>78306.878306878294</v>
          </cell>
        </row>
        <row r="183">
          <cell r="B183" t="str">
            <v>Wiremesh M12  U50 SNI</v>
          </cell>
          <cell r="C183" t="str">
            <v>m2</v>
          </cell>
          <cell r="D183">
            <v>114021.164021164</v>
          </cell>
        </row>
        <row r="184">
          <cell r="B184" t="str">
            <v>Wiremesh M4  standar</v>
          </cell>
          <cell r="C184" t="str">
            <v>m2</v>
          </cell>
          <cell r="D184">
            <v>11904.761904761903</v>
          </cell>
        </row>
        <row r="185">
          <cell r="B185" t="str">
            <v>Wiremesh M5  standar</v>
          </cell>
          <cell r="C185" t="str">
            <v>m2</v>
          </cell>
          <cell r="D185">
            <v>15520.282186948851</v>
          </cell>
        </row>
        <row r="186">
          <cell r="B186" t="str">
            <v>Wiremesh M6  standar</v>
          </cell>
          <cell r="C186" t="str">
            <v>m2</v>
          </cell>
          <cell r="D186">
            <v>24867.724867724864</v>
          </cell>
        </row>
        <row r="187">
          <cell r="B187" t="str">
            <v>Wiremesh M7  standar</v>
          </cell>
          <cell r="C187" t="str">
            <v>m2</v>
          </cell>
          <cell r="D187">
            <v>32275.13227513227</v>
          </cell>
        </row>
        <row r="188">
          <cell r="B188" t="str">
            <v>Wiremesh M12  standar</v>
          </cell>
          <cell r="C188" t="str">
            <v>m2</v>
          </cell>
          <cell r="D188">
            <v>45326.278659611984</v>
          </cell>
        </row>
        <row r="189">
          <cell r="B189" t="str">
            <v>Besi Siku Rata-rata</v>
          </cell>
          <cell r="C189" t="str">
            <v>Kg</v>
          </cell>
          <cell r="D189">
            <v>13840</v>
          </cell>
        </row>
        <row r="190">
          <cell r="B190" t="str">
            <v>Besi IWF Rata-rata</v>
          </cell>
          <cell r="C190" t="str">
            <v>Kg</v>
          </cell>
          <cell r="D190">
            <v>14689.655172413793</v>
          </cell>
        </row>
        <row r="191">
          <cell r="B191" t="str">
            <v>Besi UNP Rata-rata</v>
          </cell>
          <cell r="C191" t="str">
            <v>Kg</v>
          </cell>
          <cell r="D191">
            <v>14689.655172413793</v>
          </cell>
        </row>
        <row r="192">
          <cell r="B192" t="str">
            <v>Besi C Rata-rata</v>
          </cell>
          <cell r="C192" t="str">
            <v>Kg</v>
          </cell>
          <cell r="D192">
            <v>14689.655172413793</v>
          </cell>
        </row>
        <row r="193">
          <cell r="B193" t="str">
            <v>Besi Plat rata2 1 s/d 5 mm</v>
          </cell>
          <cell r="C193" t="str">
            <v>Kg</v>
          </cell>
          <cell r="D193">
            <v>19717.064544650751</v>
          </cell>
        </row>
        <row r="194">
          <cell r="B194" t="str">
            <v>Besi Plat rata2 6 s/d 10 mm</v>
          </cell>
          <cell r="C194" t="str">
            <v>Kg</v>
          </cell>
          <cell r="D194">
            <v>19717.064544650751</v>
          </cell>
        </row>
        <row r="195">
          <cell r="B195" t="str">
            <v>Besi Plat rata2 11 s/d 16 mm</v>
          </cell>
          <cell r="C195" t="str">
            <v>Kg</v>
          </cell>
          <cell r="D195">
            <v>19717.064544650751</v>
          </cell>
        </row>
        <row r="196">
          <cell r="B196" t="str">
            <v>Plat Strip</v>
          </cell>
          <cell r="C196" t="str">
            <v>Kg</v>
          </cell>
          <cell r="D196">
            <v>14689.655172413793</v>
          </cell>
        </row>
        <row r="197">
          <cell r="B197" t="str">
            <v>Plat Bordes t=3 mm</v>
          </cell>
          <cell r="C197" t="str">
            <v>Kg</v>
          </cell>
        </row>
        <row r="198">
          <cell r="B198" t="str">
            <v>Besi Profil</v>
          </cell>
          <cell r="C198" t="str">
            <v>Kg</v>
          </cell>
          <cell r="D198">
            <v>20000</v>
          </cell>
        </row>
        <row r="199">
          <cell r="B199" t="str">
            <v>Besi Square Tube</v>
          </cell>
          <cell r="C199" t="str">
            <v>Kg</v>
          </cell>
          <cell r="D199">
            <v>20001</v>
          </cell>
        </row>
        <row r="200">
          <cell r="B200" t="str">
            <v>Besi List Kaca</v>
          </cell>
          <cell r="C200" t="str">
            <v>Kg</v>
          </cell>
          <cell r="D200">
            <v>20002</v>
          </cell>
        </row>
        <row r="201">
          <cell r="B201" t="str">
            <v>Pengelasan</v>
          </cell>
          <cell r="C201" t="str">
            <v>cm</v>
          </cell>
          <cell r="D201">
            <v>39.900000000000006</v>
          </cell>
        </row>
        <row r="202">
          <cell r="B202" t="str">
            <v>Besi siku 50x50x5</v>
          </cell>
          <cell r="C202" t="str">
            <v>btg</v>
          </cell>
          <cell r="D202">
            <v>160000</v>
          </cell>
        </row>
        <row r="204">
          <cell r="B204" t="str">
            <v xml:space="preserve">BAHAN KAYU </v>
          </cell>
        </row>
        <row r="205">
          <cell r="B205" t="str">
            <v>Kayu Kuat klas IV</v>
          </cell>
          <cell r="D205">
            <v>0</v>
          </cell>
        </row>
        <row r="206">
          <cell r="B206" t="str">
            <v>Kaso kelas IV</v>
          </cell>
          <cell r="C206" t="str">
            <v>m3</v>
          </cell>
        </row>
        <row r="207">
          <cell r="B207" t="str">
            <v>Balok kelas IV</v>
          </cell>
          <cell r="C207" t="str">
            <v>m3</v>
          </cell>
        </row>
        <row r="208">
          <cell r="B208" t="str">
            <v>Papan kelas IV</v>
          </cell>
          <cell r="C208" t="str">
            <v>m3</v>
          </cell>
        </row>
        <row r="209">
          <cell r="B209" t="str">
            <v>Kayu Kuat klas III</v>
          </cell>
          <cell r="C209" t="str">
            <v>m3</v>
          </cell>
          <cell r="D209">
            <v>2335666.6666666665</v>
          </cell>
        </row>
        <row r="210">
          <cell r="B210" t="str">
            <v>Kaso kelas III</v>
          </cell>
          <cell r="C210" t="str">
            <v>m3</v>
          </cell>
          <cell r="D210">
            <v>2387000</v>
          </cell>
        </row>
        <row r="211">
          <cell r="B211" t="str">
            <v>Balok kelas III</v>
          </cell>
          <cell r="C211" t="str">
            <v>m3</v>
          </cell>
          <cell r="D211">
            <v>2387000</v>
          </cell>
        </row>
        <row r="212">
          <cell r="B212" t="str">
            <v>Papan kelas III</v>
          </cell>
          <cell r="C212" t="str">
            <v>m3</v>
          </cell>
          <cell r="D212">
            <v>2233000</v>
          </cell>
        </row>
        <row r="213">
          <cell r="B213" t="str">
            <v>Kayu Kuat klas II</v>
          </cell>
          <cell r="C213" t="str">
            <v>m3</v>
          </cell>
          <cell r="D213">
            <v>9500000</v>
          </cell>
        </row>
        <row r="214">
          <cell r="B214" t="str">
            <v>Kaso kelas II</v>
          </cell>
          <cell r="C214" t="str">
            <v>m3</v>
          </cell>
          <cell r="D214">
            <v>9500000</v>
          </cell>
        </row>
        <row r="215">
          <cell r="B215" t="str">
            <v>Balok kelas II</v>
          </cell>
          <cell r="C215" t="str">
            <v>m3</v>
          </cell>
          <cell r="D215">
            <v>9500000</v>
          </cell>
        </row>
        <row r="216">
          <cell r="B216" t="str">
            <v>Papan kelas II</v>
          </cell>
          <cell r="C216" t="str">
            <v>m3</v>
          </cell>
          <cell r="D216">
            <v>9500000</v>
          </cell>
        </row>
        <row r="217">
          <cell r="B217" t="str">
            <v>Kayu Kuat klas I</v>
          </cell>
          <cell r="C217" t="str">
            <v>m3</v>
          </cell>
          <cell r="D217">
            <v>16000000</v>
          </cell>
        </row>
        <row r="218">
          <cell r="B218" t="str">
            <v>Kaso kelas I</v>
          </cell>
          <cell r="C218" t="str">
            <v>m3</v>
          </cell>
          <cell r="D218">
            <v>16000000</v>
          </cell>
        </row>
        <row r="219">
          <cell r="B219" t="str">
            <v>Balok kelas I</v>
          </cell>
          <cell r="C219" t="str">
            <v>m3</v>
          </cell>
          <cell r="D219">
            <v>16000000</v>
          </cell>
        </row>
        <row r="220">
          <cell r="B220" t="str">
            <v>Balok kelas I</v>
          </cell>
          <cell r="C220" t="str">
            <v>m3</v>
          </cell>
          <cell r="D220">
            <v>16000000</v>
          </cell>
        </row>
        <row r="221">
          <cell r="B221" t="str">
            <v>Papan kelas I</v>
          </cell>
          <cell r="C221" t="str">
            <v>m3</v>
          </cell>
          <cell r="D221">
            <v>16000000</v>
          </cell>
        </row>
        <row r="222">
          <cell r="B222" t="str">
            <v>Dolken dia 5 s/d 7 cm p. 4 m</v>
          </cell>
          <cell r="C222" t="str">
            <v>btg</v>
          </cell>
          <cell r="D222">
            <v>13144</v>
          </cell>
        </row>
        <row r="223">
          <cell r="B223" t="str">
            <v>Dolken dia 8 s/d 10 cm p. 4 m</v>
          </cell>
          <cell r="C223" t="str">
            <v>btg</v>
          </cell>
          <cell r="D223">
            <v>15000</v>
          </cell>
        </row>
        <row r="224">
          <cell r="B224" t="str">
            <v>Bambu dia 5 s/d 7 cm p. 4 m</v>
          </cell>
          <cell r="C224" t="str">
            <v>btg</v>
          </cell>
          <cell r="D224">
            <v>6500</v>
          </cell>
        </row>
        <row r="225">
          <cell r="B225" t="str">
            <v>Bilik bambu</v>
          </cell>
          <cell r="C225" t="str">
            <v>m2</v>
          </cell>
          <cell r="D225">
            <v>6500</v>
          </cell>
        </row>
        <row r="226">
          <cell r="B226" t="str">
            <v>Kayu Reng 3/4 Kamper Samarinda</v>
          </cell>
          <cell r="C226" t="str">
            <v>m3</v>
          </cell>
          <cell r="D226">
            <v>9500000</v>
          </cell>
        </row>
        <row r="227">
          <cell r="B227" t="str">
            <v>List Kayu 2/4</v>
          </cell>
          <cell r="C227" t="str">
            <v>m3</v>
          </cell>
          <cell r="D227">
            <v>7500000</v>
          </cell>
        </row>
        <row r="228">
          <cell r="B228" t="str">
            <v>Kayu cetakan</v>
          </cell>
          <cell r="C228" t="str">
            <v>m3</v>
          </cell>
          <cell r="D228">
            <v>2340000</v>
          </cell>
        </row>
        <row r="229">
          <cell r="B229" t="str">
            <v>Kayu Bakar/Kayu Putih</v>
          </cell>
          <cell r="C229" t="str">
            <v>m3</v>
          </cell>
          <cell r="D229">
            <v>1500000</v>
          </cell>
        </row>
        <row r="231">
          <cell r="B231" t="str">
            <v>BAHAN  ALMUNIUM &amp; PINTU2, JENDELA &amp; BLIND</v>
          </cell>
        </row>
        <row r="232">
          <cell r="B232" t="str">
            <v>Kusen Alm. 4" CA</v>
          </cell>
          <cell r="C232" t="str">
            <v>m'</v>
          </cell>
          <cell r="D232">
            <v>175000</v>
          </cell>
        </row>
        <row r="233">
          <cell r="B233" t="str">
            <v>Kusen Alm. 3" CA</v>
          </cell>
          <cell r="C233" t="str">
            <v>m'</v>
          </cell>
          <cell r="D233">
            <v>145000</v>
          </cell>
        </row>
        <row r="234">
          <cell r="B234" t="str">
            <v>Kusen Alm. 4" PC</v>
          </cell>
          <cell r="C234" t="str">
            <v>m'</v>
          </cell>
          <cell r="D234">
            <v>283000</v>
          </cell>
        </row>
        <row r="235">
          <cell r="B235" t="str">
            <v>Kusen Alm. 3" PC</v>
          </cell>
          <cell r="C235" t="str">
            <v>m'</v>
          </cell>
          <cell r="D235">
            <v>220000</v>
          </cell>
        </row>
        <row r="236">
          <cell r="B236" t="str">
            <v>Kusen Alm. 12 x 6 x 3</v>
          </cell>
          <cell r="C236" t="str">
            <v>m'</v>
          </cell>
          <cell r="D236">
            <v>27000</v>
          </cell>
        </row>
        <row r="237">
          <cell r="B237" t="str">
            <v>Bingkai Pintu Alumunium</v>
          </cell>
          <cell r="C237" t="str">
            <v>bh</v>
          </cell>
          <cell r="D237">
            <v>375000</v>
          </cell>
        </row>
        <row r="238">
          <cell r="B238" t="str">
            <v>Rangka Pintu Alm. CA ex Indal</v>
          </cell>
          <cell r="C238" t="str">
            <v>m'</v>
          </cell>
        </row>
        <row r="239">
          <cell r="B239" t="str">
            <v>Rangka Jendela Alm. CA ex Indal</v>
          </cell>
          <cell r="C239" t="str">
            <v>m'</v>
          </cell>
        </row>
        <row r="240">
          <cell r="B240" t="str">
            <v>Almunium frame ex Indal</v>
          </cell>
          <cell r="C240" t="str">
            <v>m'</v>
          </cell>
          <cell r="D240">
            <v>65000</v>
          </cell>
        </row>
        <row r="241">
          <cell r="B241" t="str">
            <v>Almunium Hollow 300x500 mm ex Indal</v>
          </cell>
          <cell r="C241" t="str">
            <v>m'</v>
          </cell>
        </row>
        <row r="242">
          <cell r="B242" t="str">
            <v>Alumunium Strip</v>
          </cell>
          <cell r="C242" t="str">
            <v>m'</v>
          </cell>
          <cell r="D242">
            <v>45500</v>
          </cell>
        </row>
        <row r="243">
          <cell r="B243" t="str">
            <v>Pintu PVC uk. Standart</v>
          </cell>
          <cell r="C243" t="str">
            <v>unt</v>
          </cell>
          <cell r="D243">
            <v>1235000</v>
          </cell>
        </row>
        <row r="244">
          <cell r="B244" t="str">
            <v>Rolling door Plat Besi</v>
          </cell>
          <cell r="C244" t="str">
            <v>m2</v>
          </cell>
          <cell r="D244">
            <v>1300000</v>
          </cell>
        </row>
        <row r="245">
          <cell r="B245" t="str">
            <v>Rolling door Zinkalume/Alumunium</v>
          </cell>
          <cell r="C245" t="str">
            <v>m2</v>
          </cell>
          <cell r="D245">
            <v>1300000</v>
          </cell>
        </row>
        <row r="246">
          <cell r="B246" t="str">
            <v>Folding Door PVC</v>
          </cell>
          <cell r="C246" t="str">
            <v>m2</v>
          </cell>
          <cell r="D246">
            <v>592800</v>
          </cell>
        </row>
        <row r="247">
          <cell r="B247" t="str">
            <v>Sunscreen Alumunium</v>
          </cell>
          <cell r="C247" t="str">
            <v>m2</v>
          </cell>
          <cell r="D247">
            <v>592800</v>
          </cell>
        </row>
        <row r="248">
          <cell r="B248" t="str">
            <v>Horisontal Blind Metal Strip</v>
          </cell>
          <cell r="C248" t="str">
            <v>m2</v>
          </cell>
          <cell r="D248">
            <v>110500</v>
          </cell>
        </row>
        <row r="249">
          <cell r="B249" t="str">
            <v>Horisontal Wooden Blind</v>
          </cell>
          <cell r="C249" t="str">
            <v>m2</v>
          </cell>
          <cell r="D249">
            <v>240500</v>
          </cell>
        </row>
        <row r="250">
          <cell r="B250" t="str">
            <v>Vertical Blind</v>
          </cell>
          <cell r="C250" t="str">
            <v>m2</v>
          </cell>
          <cell r="D250">
            <v>123500</v>
          </cell>
        </row>
        <row r="251">
          <cell r="B251" t="str">
            <v>Venetian Blind</v>
          </cell>
          <cell r="C251" t="str">
            <v>m2</v>
          </cell>
          <cell r="D251">
            <v>182000</v>
          </cell>
        </row>
        <row r="252">
          <cell r="B252" t="str">
            <v>Kawat Nyamuk</v>
          </cell>
          <cell r="C252" t="str">
            <v>m2</v>
          </cell>
          <cell r="D252">
            <v>3250</v>
          </cell>
        </row>
        <row r="253">
          <cell r="B253" t="str">
            <v>Kawat Galvanis</v>
          </cell>
          <cell r="C253" t="str">
            <v>m'</v>
          </cell>
          <cell r="D253">
            <v>130000</v>
          </cell>
        </row>
        <row r="254">
          <cell r="B254" t="str">
            <v>Kusen Alm. 3" (CA silver)</v>
          </cell>
          <cell r="C254" t="str">
            <v>m'</v>
          </cell>
          <cell r="D254">
            <v>50000</v>
          </cell>
        </row>
        <row r="255">
          <cell r="B255" t="str">
            <v>Kusen Alm. 3" (CA brown)</v>
          </cell>
          <cell r="C255" t="str">
            <v>m'</v>
          </cell>
          <cell r="D255">
            <v>55000</v>
          </cell>
        </row>
        <row r="256">
          <cell r="B256" t="str">
            <v>Kusen Alm. 3" (PC)</v>
          </cell>
          <cell r="C256" t="str">
            <v>m'</v>
          </cell>
          <cell r="D256">
            <v>75000</v>
          </cell>
        </row>
        <row r="257">
          <cell r="B257" t="str">
            <v>Kusen Alm. 4" (CA silver)</v>
          </cell>
          <cell r="C257" t="str">
            <v>m'</v>
          </cell>
          <cell r="D257">
            <v>60000</v>
          </cell>
        </row>
        <row r="258">
          <cell r="B258" t="str">
            <v>Kusen Alm. 4” (CA brown)</v>
          </cell>
          <cell r="C258" t="str">
            <v>m'</v>
          </cell>
          <cell r="D258">
            <v>65000</v>
          </cell>
        </row>
        <row r="259">
          <cell r="B259" t="str">
            <v>Kusen Alm. 4" (PC)</v>
          </cell>
          <cell r="C259" t="str">
            <v>m'</v>
          </cell>
          <cell r="D259">
            <v>80000</v>
          </cell>
        </row>
        <row r="260">
          <cell r="B260" t="str">
            <v>Alexindo</v>
          </cell>
        </row>
        <row r="261">
          <cell r="B261" t="str">
            <v>Kusen Alm. 3" (CA silver)</v>
          </cell>
          <cell r="C261" t="str">
            <v>m'</v>
          </cell>
          <cell r="D261">
            <v>50000</v>
          </cell>
        </row>
        <row r="262">
          <cell r="B262" t="str">
            <v>Kusen Alm. 3" (CA brown/black)</v>
          </cell>
          <cell r="C262" t="str">
            <v>m'</v>
          </cell>
          <cell r="D262">
            <v>65000</v>
          </cell>
        </row>
        <row r="263">
          <cell r="B263" t="str">
            <v>Kusen Alm. 3" (PC)</v>
          </cell>
          <cell r="C263" t="str">
            <v>m'</v>
          </cell>
          <cell r="D263">
            <v>85000</v>
          </cell>
        </row>
        <row r="264">
          <cell r="B264" t="str">
            <v>Kusen Alm. 4" (CA silver)</v>
          </cell>
          <cell r="C264" t="str">
            <v>m'</v>
          </cell>
          <cell r="D264">
            <v>65000</v>
          </cell>
        </row>
        <row r="265">
          <cell r="B265" t="str">
            <v>Kusen Alm. 4” (CA brownblack)</v>
          </cell>
          <cell r="C265" t="str">
            <v>m'</v>
          </cell>
          <cell r="D265">
            <v>75000</v>
          </cell>
        </row>
        <row r="266">
          <cell r="B266" t="str">
            <v>Kusen Alm. 4" (PC)</v>
          </cell>
          <cell r="C266" t="str">
            <v>m'</v>
          </cell>
          <cell r="D266">
            <v>95000</v>
          </cell>
        </row>
        <row r="267">
          <cell r="B267" t="str">
            <v>Superex</v>
          </cell>
        </row>
        <row r="268">
          <cell r="B268" t="str">
            <v>Kusen Alm. 3" (CA silver)</v>
          </cell>
          <cell r="C268" t="str">
            <v>m'</v>
          </cell>
          <cell r="D268">
            <v>70000</v>
          </cell>
        </row>
        <row r="269">
          <cell r="B269" t="str">
            <v>Kusen Alm. 3" (CA brown/black)</v>
          </cell>
          <cell r="C269" t="str">
            <v>m'</v>
          </cell>
          <cell r="D269">
            <v>80000</v>
          </cell>
        </row>
        <row r="270">
          <cell r="B270" t="str">
            <v>Kusen Alm. 3" (PC)</v>
          </cell>
          <cell r="C270" t="str">
            <v>m'</v>
          </cell>
          <cell r="D270">
            <v>100000</v>
          </cell>
        </row>
        <row r="271">
          <cell r="B271" t="str">
            <v>Kusen Alm. 4" (CA silver)</v>
          </cell>
          <cell r="C271" t="str">
            <v>m'</v>
          </cell>
          <cell r="D271">
            <v>80000</v>
          </cell>
        </row>
        <row r="272">
          <cell r="B272" t="str">
            <v>Kusen Alm. 4” (CA brownblack)</v>
          </cell>
          <cell r="C272" t="str">
            <v>m'</v>
          </cell>
          <cell r="D272">
            <v>90000</v>
          </cell>
        </row>
        <row r="273">
          <cell r="B273" t="str">
            <v>Kusen Alm. 4" (PC)</v>
          </cell>
          <cell r="C273" t="str">
            <v>m'</v>
          </cell>
          <cell r="D273">
            <v>105000</v>
          </cell>
        </row>
        <row r="274">
          <cell r="B274" t="str">
            <v>YKK</v>
          </cell>
        </row>
        <row r="275">
          <cell r="B275" t="str">
            <v>Kusen Alm. 3" (CA silver)</v>
          </cell>
          <cell r="C275" t="str">
            <v>m'</v>
          </cell>
          <cell r="D275">
            <v>90000</v>
          </cell>
        </row>
        <row r="276">
          <cell r="B276" t="str">
            <v>Kusen Alm. 3" (CA brown/black)</v>
          </cell>
          <cell r="C276" t="str">
            <v>m'</v>
          </cell>
          <cell r="D276">
            <v>110000</v>
          </cell>
        </row>
        <row r="277">
          <cell r="B277" t="str">
            <v>Kusen Alm. 3" (PC)</v>
          </cell>
          <cell r="C277" t="str">
            <v>m'</v>
          </cell>
          <cell r="D277">
            <v>135000</v>
          </cell>
        </row>
        <row r="278">
          <cell r="B278" t="str">
            <v>Kusen Alm. 4" (CA silver)</v>
          </cell>
          <cell r="C278" t="str">
            <v>m'</v>
          </cell>
          <cell r="D278">
            <v>110000</v>
          </cell>
        </row>
        <row r="279">
          <cell r="B279" t="str">
            <v>Kusen Alm. 4” (CA brownblack)</v>
          </cell>
          <cell r="C279" t="str">
            <v>m'</v>
          </cell>
          <cell r="D279">
            <v>150000</v>
          </cell>
        </row>
        <row r="280">
          <cell r="B280" t="str">
            <v>Kusen Alm. 4" (PC)</v>
          </cell>
          <cell r="C280" t="str">
            <v>m'</v>
          </cell>
          <cell r="D280">
            <v>185000</v>
          </cell>
        </row>
        <row r="281">
          <cell r="B281" t="str">
            <v>Jendela Casement 3” (60x120cm)</v>
          </cell>
          <cell r="C281" t="str">
            <v>unit</v>
          </cell>
          <cell r="D281">
            <v>450000</v>
          </cell>
        </row>
        <row r="282">
          <cell r="B282" t="str">
            <v>Rangka Jendela Alm. CA ex Indal</v>
          </cell>
          <cell r="C282" t="str">
            <v>m'</v>
          </cell>
        </row>
        <row r="283">
          <cell r="B283" t="str">
            <v>Almunium frame ex Indal</v>
          </cell>
          <cell r="C283" t="str">
            <v>m'</v>
          </cell>
        </row>
        <row r="284">
          <cell r="B284" t="str">
            <v>Almunium Hollow 300x500 mm ex Indal</v>
          </cell>
          <cell r="C284" t="str">
            <v>m'</v>
          </cell>
        </row>
        <row r="285">
          <cell r="B285" t="str">
            <v>Alumunium Strip</v>
          </cell>
          <cell r="C285" t="str">
            <v>m'</v>
          </cell>
          <cell r="D285">
            <v>35000</v>
          </cell>
        </row>
        <row r="286">
          <cell r="B286" t="str">
            <v>Pintu PVC uk. Standart</v>
          </cell>
          <cell r="C286" t="str">
            <v>unt</v>
          </cell>
        </row>
        <row r="287">
          <cell r="B287" t="str">
            <v>Rolling door Plat Besi t=0,4mm</v>
          </cell>
          <cell r="C287" t="str">
            <v>m2</v>
          </cell>
          <cell r="D287">
            <v>227500</v>
          </cell>
        </row>
        <row r="288">
          <cell r="B288" t="str">
            <v>Rolling door Zinkalume/Alumunium t=0,8mm</v>
          </cell>
          <cell r="C288" t="str">
            <v>m2</v>
          </cell>
          <cell r="D288">
            <v>357500</v>
          </cell>
        </row>
        <row r="289">
          <cell r="B289" t="str">
            <v>Rolling door Zinkalume/Alumunium t=1mm</v>
          </cell>
          <cell r="C289" t="str">
            <v>m2</v>
          </cell>
          <cell r="D289">
            <v>422500</v>
          </cell>
        </row>
        <row r="290">
          <cell r="B290" t="str">
            <v>Folding Door PVC</v>
          </cell>
          <cell r="C290" t="str">
            <v>m2</v>
          </cell>
          <cell r="D290">
            <v>592800</v>
          </cell>
        </row>
        <row r="291">
          <cell r="B291" t="str">
            <v>Folding Door Gate t=0,5mm</v>
          </cell>
          <cell r="C291" t="str">
            <v>m2</v>
          </cell>
          <cell r="D291">
            <v>520000</v>
          </cell>
        </row>
        <row r="292">
          <cell r="B292" t="str">
            <v>Folding Door Gate t=0,8mm</v>
          </cell>
          <cell r="C292" t="str">
            <v>m2</v>
          </cell>
          <cell r="D292">
            <v>715000</v>
          </cell>
        </row>
        <row r="293">
          <cell r="B293" t="str">
            <v>Folding Door Gate t=1mm</v>
          </cell>
          <cell r="C293" t="str">
            <v>m2</v>
          </cell>
          <cell r="D293">
            <v>1560000</v>
          </cell>
        </row>
        <row r="294">
          <cell r="B294" t="str">
            <v>Folding Door Gate t=1,2mm</v>
          </cell>
          <cell r="C294" t="str">
            <v>m2</v>
          </cell>
          <cell r="D294">
            <v>1820000</v>
          </cell>
        </row>
        <row r="295">
          <cell r="B295" t="str">
            <v>Sunscreen Alumunium</v>
          </cell>
          <cell r="C295" t="str">
            <v>m2</v>
          </cell>
          <cell r="D295">
            <v>592800</v>
          </cell>
        </row>
        <row r="296">
          <cell r="B296" t="str">
            <v>Horisontal Blind Metal Strip</v>
          </cell>
          <cell r="C296" t="str">
            <v>m2</v>
          </cell>
          <cell r="D296">
            <v>126100</v>
          </cell>
        </row>
        <row r="297">
          <cell r="B297" t="str">
            <v>Horisontal Blind Metal Strip (Perforated)</v>
          </cell>
          <cell r="C297" t="str">
            <v>m2</v>
          </cell>
          <cell r="D297">
            <v>150800</v>
          </cell>
        </row>
        <row r="298">
          <cell r="B298" t="str">
            <v>Horisontal Wooden Blind 27</v>
          </cell>
          <cell r="C298" t="str">
            <v>m2</v>
          </cell>
          <cell r="D298">
            <v>354835</v>
          </cell>
        </row>
        <row r="299">
          <cell r="B299" t="str">
            <v>Horisontal Wooden Blind 35</v>
          </cell>
          <cell r="C299" t="str">
            <v>m2</v>
          </cell>
          <cell r="D299">
            <v>413400</v>
          </cell>
        </row>
        <row r="300">
          <cell r="B300" t="str">
            <v>Horisontal Wooden Blind 50</v>
          </cell>
          <cell r="C300" t="str">
            <v>m2</v>
          </cell>
          <cell r="D300">
            <v>440960</v>
          </cell>
        </row>
        <row r="301">
          <cell r="B301" t="str">
            <v>Horisontal Bamboo Blind 25</v>
          </cell>
          <cell r="C301" t="str">
            <v>m2</v>
          </cell>
          <cell r="D301">
            <v>413400</v>
          </cell>
        </row>
        <row r="302">
          <cell r="B302" t="str">
            <v>Horisontal Bamboo Blind 50</v>
          </cell>
          <cell r="C302" t="str">
            <v>m2</v>
          </cell>
          <cell r="D302">
            <v>586300</v>
          </cell>
        </row>
        <row r="303">
          <cell r="B303" t="str">
            <v>Horisontal Blind Metal Strip Gold Series</v>
          </cell>
          <cell r="C303" t="str">
            <v>m2</v>
          </cell>
          <cell r="D303">
            <v>181350</v>
          </cell>
        </row>
        <row r="304">
          <cell r="B304" t="str">
            <v>Horisontal Blind Metal Strip (Perforated) Gold Series</v>
          </cell>
          <cell r="C304" t="str">
            <v>m2</v>
          </cell>
          <cell r="D304">
            <v>224250</v>
          </cell>
        </row>
        <row r="305">
          <cell r="B305" t="str">
            <v>Horisontal Wooden Blind Gold Series</v>
          </cell>
          <cell r="C305" t="str">
            <v>m2</v>
          </cell>
          <cell r="D305">
            <v>248950</v>
          </cell>
        </row>
        <row r="306">
          <cell r="B306" t="str">
            <v>Roller Blind (standar)</v>
          </cell>
          <cell r="C306" t="str">
            <v>m2</v>
          </cell>
          <cell r="D306">
            <v>204100</v>
          </cell>
        </row>
        <row r="307">
          <cell r="B307" t="str">
            <v>Roller Blind (semi black out)</v>
          </cell>
          <cell r="C307" t="str">
            <v>m2</v>
          </cell>
          <cell r="D307">
            <v>217100</v>
          </cell>
        </row>
        <row r="308">
          <cell r="B308" t="str">
            <v>Roller Blind (black out)</v>
          </cell>
          <cell r="C308" t="str">
            <v>m2</v>
          </cell>
          <cell r="D308">
            <v>283400</v>
          </cell>
        </row>
        <row r="309">
          <cell r="B309" t="str">
            <v>Vertical Blind (standar)</v>
          </cell>
          <cell r="C309" t="str">
            <v>m2</v>
          </cell>
          <cell r="D309">
            <v>152100</v>
          </cell>
        </row>
        <row r="310">
          <cell r="B310" t="str">
            <v>Vertical Blind (semi black out)</v>
          </cell>
          <cell r="C310" t="str">
            <v>m2</v>
          </cell>
          <cell r="D310">
            <v>165100</v>
          </cell>
        </row>
        <row r="311">
          <cell r="B311" t="str">
            <v>Vertical Blind (black out)</v>
          </cell>
          <cell r="C311" t="str">
            <v>m2</v>
          </cell>
          <cell r="D311">
            <v>205400</v>
          </cell>
        </row>
        <row r="312">
          <cell r="B312" t="str">
            <v>Venetian Blind (Deluxe)</v>
          </cell>
          <cell r="C312" t="str">
            <v>m2</v>
          </cell>
          <cell r="D312">
            <v>143000</v>
          </cell>
        </row>
        <row r="313">
          <cell r="B313" t="str">
            <v>Venetian Blind (Perforated)</v>
          </cell>
          <cell r="C313" t="str">
            <v>m2</v>
          </cell>
          <cell r="D313">
            <v>166400</v>
          </cell>
        </row>
        <row r="314">
          <cell r="B314" t="str">
            <v>Venetian Blind (Wood Motif)</v>
          </cell>
          <cell r="C314" t="str">
            <v>m2</v>
          </cell>
          <cell r="D314">
            <v>172250</v>
          </cell>
        </row>
        <row r="315">
          <cell r="B315" t="str">
            <v>Kawat Nyamuk</v>
          </cell>
          <cell r="C315" t="str">
            <v>m2</v>
          </cell>
          <cell r="D315">
            <v>221000</v>
          </cell>
        </row>
        <row r="316">
          <cell r="B316" t="str">
            <v>Kawat Nyamuk + magnet</v>
          </cell>
          <cell r="C316" t="str">
            <v>m2</v>
          </cell>
          <cell r="D316">
            <v>377000</v>
          </cell>
        </row>
        <row r="317">
          <cell r="B317" t="str">
            <v>Profil 1,5 x 3 Frame</v>
          </cell>
          <cell r="C317" t="str">
            <v>m2</v>
          </cell>
          <cell r="D317">
            <v>54167</v>
          </cell>
        </row>
        <row r="319">
          <cell r="B319" t="str">
            <v>IRONMONGERIES</v>
          </cell>
        </row>
        <row r="320">
          <cell r="B320" t="str">
            <v>Engsel 3"</v>
          </cell>
          <cell r="C320" t="str">
            <v>bh</v>
          </cell>
          <cell r="D320">
            <v>22500</v>
          </cell>
        </row>
        <row r="321">
          <cell r="B321" t="str">
            <v>Engsel 4"</v>
          </cell>
          <cell r="C321" t="str">
            <v>bh</v>
          </cell>
          <cell r="D321">
            <v>38500</v>
          </cell>
        </row>
        <row r="322">
          <cell r="B322" t="str">
            <v>Lockcase Kunci ex SES</v>
          </cell>
          <cell r="C322" t="str">
            <v>bh</v>
          </cell>
        </row>
        <row r="323">
          <cell r="B323" t="str">
            <v>Cylinder Doble Slag ex SES</v>
          </cell>
          <cell r="C323" t="str">
            <v>bh</v>
          </cell>
        </row>
        <row r="324">
          <cell r="B324" t="str">
            <v>Engsel Pintu</v>
          </cell>
          <cell r="C324" t="str">
            <v>Pas</v>
          </cell>
          <cell r="D324">
            <v>35000</v>
          </cell>
        </row>
        <row r="325">
          <cell r="B325" t="str">
            <v>Engsel Lokal</v>
          </cell>
          <cell r="C325" t="str">
            <v>Pas</v>
          </cell>
          <cell r="D325">
            <v>16000</v>
          </cell>
        </row>
        <row r="326">
          <cell r="B326" t="str">
            <v>Engsel H Jendela</v>
          </cell>
          <cell r="C326" t="str">
            <v>Pas</v>
          </cell>
          <cell r="D326">
            <v>15000</v>
          </cell>
        </row>
        <row r="327">
          <cell r="B327" t="str">
            <v>Engsel H Pintu</v>
          </cell>
          <cell r="C327" t="str">
            <v>Pas</v>
          </cell>
          <cell r="D327">
            <v>15000</v>
          </cell>
        </row>
        <row r="328">
          <cell r="B328" t="str">
            <v>Engsel Kupu2 Ring Nylon Pintu</v>
          </cell>
          <cell r="C328" t="str">
            <v>Pas</v>
          </cell>
          <cell r="D328">
            <v>20000</v>
          </cell>
        </row>
        <row r="329">
          <cell r="B329" t="str">
            <v>Engsel Kupu2 Ring Nylon Jendela</v>
          </cell>
          <cell r="C329" t="str">
            <v>Pas</v>
          </cell>
          <cell r="D329">
            <v>15000</v>
          </cell>
        </row>
        <row r="330">
          <cell r="B330" t="str">
            <v>Door Closer</v>
          </cell>
          <cell r="C330" t="str">
            <v>bh</v>
          </cell>
          <cell r="D330">
            <v>13000</v>
          </cell>
        </row>
        <row r="331">
          <cell r="B331" t="str">
            <v>Door Stop</v>
          </cell>
          <cell r="C331" t="str">
            <v>bh</v>
          </cell>
          <cell r="D331">
            <v>19500</v>
          </cell>
        </row>
        <row r="332">
          <cell r="B332" t="str">
            <v>Handle Pintu ex Solid</v>
          </cell>
          <cell r="C332" t="str">
            <v>bh</v>
          </cell>
          <cell r="D332">
            <v>520000</v>
          </cell>
        </row>
        <row r="333">
          <cell r="B333" t="str">
            <v>Pull Handle Pintu ex Solid</v>
          </cell>
          <cell r="C333" t="str">
            <v>bh</v>
          </cell>
        </row>
        <row r="334">
          <cell r="B334" t="str">
            <v>Pull Handle Pintu Alm</v>
          </cell>
          <cell r="C334" t="str">
            <v>set</v>
          </cell>
        </row>
        <row r="335">
          <cell r="B335" t="str">
            <v>Ring Kunci ex Solid</v>
          </cell>
          <cell r="C335" t="str">
            <v>bh</v>
          </cell>
        </row>
        <row r="336">
          <cell r="B336" t="str">
            <v>Sepatu Kusen ( trasram )</v>
          </cell>
          <cell r="C336" t="str">
            <v>bh</v>
          </cell>
        </row>
        <row r="337">
          <cell r="B337" t="str">
            <v>Karet</v>
          </cell>
          <cell r="C337" t="str">
            <v>m</v>
          </cell>
        </row>
        <row r="338">
          <cell r="B338" t="str">
            <v xml:space="preserve">Angker </v>
          </cell>
          <cell r="C338" t="str">
            <v>bh</v>
          </cell>
        </row>
        <row r="339">
          <cell r="B339" t="str">
            <v>Slot Tanam</v>
          </cell>
          <cell r="C339" t="str">
            <v>bh</v>
          </cell>
          <cell r="D339">
            <v>45500</v>
          </cell>
        </row>
        <row r="340">
          <cell r="B340" t="str">
            <v>Hak Angin Biasa</v>
          </cell>
          <cell r="C340" t="str">
            <v>Pas</v>
          </cell>
          <cell r="D340">
            <v>6160</v>
          </cell>
        </row>
        <row r="341">
          <cell r="B341" t="str">
            <v>Hak Angin Lipat</v>
          </cell>
          <cell r="C341" t="str">
            <v>Pas</v>
          </cell>
          <cell r="D341">
            <v>25000</v>
          </cell>
        </row>
        <row r="342">
          <cell r="B342" t="str">
            <v>Kait Angin</v>
          </cell>
          <cell r="C342" t="str">
            <v>bh</v>
          </cell>
          <cell r="D342">
            <v>30000</v>
          </cell>
        </row>
        <row r="343">
          <cell r="B343" t="str">
            <v>Handel + Kunci bulat</v>
          </cell>
          <cell r="C343" t="str">
            <v>bh</v>
          </cell>
          <cell r="D343">
            <v>125000</v>
          </cell>
        </row>
        <row r="344">
          <cell r="B344" t="str">
            <v>Pull Handle Pintu</v>
          </cell>
          <cell r="C344" t="str">
            <v>set</v>
          </cell>
        </row>
        <row r="345">
          <cell r="B345" t="str">
            <v>Slot Besi</v>
          </cell>
          <cell r="C345" t="str">
            <v>bh</v>
          </cell>
          <cell r="D345">
            <v>10780</v>
          </cell>
        </row>
        <row r="346">
          <cell r="B346" t="str">
            <v>Tarikan jendela</v>
          </cell>
          <cell r="C346" t="str">
            <v>bh</v>
          </cell>
          <cell r="D346">
            <v>7700</v>
          </cell>
        </row>
        <row r="347">
          <cell r="B347" t="str">
            <v xml:space="preserve">Engsel sendok lurus </v>
          </cell>
          <cell r="C347" t="str">
            <v>bh</v>
          </cell>
          <cell r="D347">
            <v>18000</v>
          </cell>
        </row>
        <row r="348">
          <cell r="B348" t="str">
            <v>Engsel sendok lurus 1.5 HUK</v>
          </cell>
          <cell r="C348" t="str">
            <v>bh</v>
          </cell>
          <cell r="D348">
            <v>50000</v>
          </cell>
        </row>
        <row r="349">
          <cell r="B349" t="str">
            <v>Gembok kecil</v>
          </cell>
          <cell r="C349" t="str">
            <v>bh</v>
          </cell>
          <cell r="D349">
            <v>19000</v>
          </cell>
        </row>
        <row r="350">
          <cell r="B350" t="str">
            <v>Rel laci D soen</v>
          </cell>
          <cell r="C350" t="str">
            <v>bh</v>
          </cell>
          <cell r="D350">
            <v>24000</v>
          </cell>
        </row>
        <row r="351">
          <cell r="B351" t="str">
            <v>Magnet lemari</v>
          </cell>
          <cell r="C351" t="str">
            <v>bh</v>
          </cell>
          <cell r="D351">
            <v>2000</v>
          </cell>
        </row>
        <row r="352">
          <cell r="B352" t="str">
            <v xml:space="preserve">Kunci </v>
          </cell>
          <cell r="C352" t="str">
            <v>bh</v>
          </cell>
          <cell r="D352">
            <v>160000</v>
          </cell>
        </row>
        <row r="353">
          <cell r="B353" t="str">
            <v>Kunci Silinder</v>
          </cell>
          <cell r="C353" t="str">
            <v>bh</v>
          </cell>
          <cell r="D353">
            <v>13000</v>
          </cell>
        </row>
        <row r="354">
          <cell r="B354" t="str">
            <v>Spring Knip</v>
          </cell>
          <cell r="C354" t="str">
            <v>bh</v>
          </cell>
          <cell r="D354">
            <v>15600</v>
          </cell>
        </row>
        <row r="355">
          <cell r="B355" t="str">
            <v>Rel Pintu Dorong</v>
          </cell>
          <cell r="C355" t="str">
            <v>set</v>
          </cell>
          <cell r="D355">
            <v>513500</v>
          </cell>
        </row>
        <row r="356">
          <cell r="B356" t="str">
            <v>Kunci Gembok Globe</v>
          </cell>
          <cell r="C356" t="str">
            <v>bh</v>
          </cell>
          <cell r="D356">
            <v>40000</v>
          </cell>
        </row>
        <row r="357">
          <cell r="B357" t="str">
            <v>Kunci Gembok Royal</v>
          </cell>
          <cell r="C357" t="str">
            <v>bh</v>
          </cell>
          <cell r="D357">
            <v>50000</v>
          </cell>
        </row>
        <row r="358">
          <cell r="B358" t="str">
            <v>Kunci Tanam 1 Slag</v>
          </cell>
          <cell r="C358" t="str">
            <v>bh</v>
          </cell>
          <cell r="D358">
            <v>90000</v>
          </cell>
        </row>
        <row r="359">
          <cell r="B359" t="str">
            <v>Kunci Terbang 2 Slag</v>
          </cell>
          <cell r="C359" t="str">
            <v>bh</v>
          </cell>
          <cell r="D359">
            <v>175000</v>
          </cell>
        </row>
        <row r="360">
          <cell r="B360" t="str">
            <v>Kunci Yale 2 Slag</v>
          </cell>
          <cell r="C360" t="str">
            <v>bh</v>
          </cell>
          <cell r="D360">
            <v>140000</v>
          </cell>
        </row>
        <row r="361">
          <cell r="B361" t="str">
            <v>Kunci Royal Besar</v>
          </cell>
          <cell r="C361" t="str">
            <v>bh</v>
          </cell>
          <cell r="D361">
            <v>175000</v>
          </cell>
        </row>
        <row r="362">
          <cell r="B362" t="str">
            <v>Kunci Royal Kecil</v>
          </cell>
          <cell r="C362" t="str">
            <v>bh</v>
          </cell>
          <cell r="D362">
            <v>90000</v>
          </cell>
        </row>
        <row r="363">
          <cell r="B363" t="str">
            <v>Grendel Jendela (Kilip)</v>
          </cell>
          <cell r="C363" t="str">
            <v>bh</v>
          </cell>
          <cell r="D363">
            <v>10000</v>
          </cell>
        </row>
        <row r="364">
          <cell r="B364" t="str">
            <v>Grendel Lokal</v>
          </cell>
          <cell r="C364" t="str">
            <v>bh</v>
          </cell>
          <cell r="D364">
            <v>10000</v>
          </cell>
        </row>
        <row r="365">
          <cell r="B365" t="str">
            <v>Grendel Kecil</v>
          </cell>
          <cell r="C365" t="str">
            <v>bh</v>
          </cell>
          <cell r="D365">
            <v>10000</v>
          </cell>
        </row>
        <row r="366">
          <cell r="B366" t="str">
            <v>Grendel Sedang</v>
          </cell>
          <cell r="C366" t="str">
            <v>bh</v>
          </cell>
          <cell r="D366">
            <v>25000</v>
          </cell>
        </row>
        <row r="367">
          <cell r="B367" t="str">
            <v>Grendel Besar</v>
          </cell>
          <cell r="C367" t="str">
            <v>bh</v>
          </cell>
          <cell r="D367">
            <v>45000</v>
          </cell>
        </row>
        <row r="368">
          <cell r="B368" t="str">
            <v>Gembok kecil</v>
          </cell>
          <cell r="C368" t="str">
            <v>bh</v>
          </cell>
          <cell r="D368" t="str">
            <v xml:space="preserve"> </v>
          </cell>
        </row>
        <row r="370">
          <cell r="B370" t="str">
            <v>BAHAN PELAPIS :</v>
          </cell>
        </row>
        <row r="371">
          <cell r="B371" t="str">
            <v>Triplex  t. 3 mm</v>
          </cell>
          <cell r="C371" t="str">
            <v>lbr</v>
          </cell>
          <cell r="D371">
            <v>43000</v>
          </cell>
        </row>
        <row r="372">
          <cell r="B372" t="str">
            <v>Triplex  t. 4 mm</v>
          </cell>
          <cell r="C372" t="str">
            <v>lbr</v>
          </cell>
          <cell r="D372">
            <v>54000</v>
          </cell>
        </row>
        <row r="373">
          <cell r="B373" t="str">
            <v>Triplex  t. 6 mm</v>
          </cell>
          <cell r="C373" t="str">
            <v>lbr</v>
          </cell>
          <cell r="D373">
            <v>69000</v>
          </cell>
        </row>
        <row r="374">
          <cell r="B374" t="str">
            <v>Triplex  t. 9 mm</v>
          </cell>
          <cell r="C374" t="str">
            <v>lbr</v>
          </cell>
          <cell r="D374">
            <v>98000</v>
          </cell>
        </row>
        <row r="375">
          <cell r="B375" t="str">
            <v>Triplex  t. 12 mm</v>
          </cell>
          <cell r="C375" t="str">
            <v>lbr</v>
          </cell>
          <cell r="D375">
            <v>143000</v>
          </cell>
        </row>
        <row r="376">
          <cell r="B376" t="str">
            <v>Multiplex  t. 16 mm</v>
          </cell>
          <cell r="C376" t="str">
            <v>lbr</v>
          </cell>
          <cell r="D376">
            <v>175000</v>
          </cell>
        </row>
        <row r="377">
          <cell r="B377" t="str">
            <v>Multiplex  t. 18 mm</v>
          </cell>
          <cell r="C377" t="str">
            <v>lbr</v>
          </cell>
          <cell r="D377">
            <v>195000</v>
          </cell>
        </row>
        <row r="378">
          <cell r="B378" t="str">
            <v>Blockboard</v>
          </cell>
          <cell r="C378" t="str">
            <v>lbr</v>
          </cell>
          <cell r="D378">
            <v>198000</v>
          </cell>
        </row>
        <row r="379">
          <cell r="B379" t="str">
            <v>Teakwood  t. 3 mm</v>
          </cell>
          <cell r="C379" t="str">
            <v>lbr</v>
          </cell>
          <cell r="D379">
            <v>78000</v>
          </cell>
        </row>
        <row r="380">
          <cell r="B380" t="str">
            <v>Teakwood  t. 6 mm</v>
          </cell>
          <cell r="C380" t="str">
            <v>lbr</v>
          </cell>
          <cell r="D380">
            <v>60000</v>
          </cell>
        </row>
        <row r="381">
          <cell r="B381" t="str">
            <v>Multiplex  t. 4 mm</v>
          </cell>
          <cell r="C381" t="str">
            <v>lbr</v>
          </cell>
          <cell r="D381">
            <v>75000</v>
          </cell>
        </row>
        <row r="382">
          <cell r="B382" t="str">
            <v>Multiplex  t. 9 mm</v>
          </cell>
          <cell r="C382" t="str">
            <v>lbr</v>
          </cell>
          <cell r="D382">
            <v>100000</v>
          </cell>
        </row>
        <row r="383">
          <cell r="B383" t="str">
            <v>Multiplex  t. 12 mm</v>
          </cell>
          <cell r="C383" t="str">
            <v>lbr</v>
          </cell>
          <cell r="D383">
            <v>200000</v>
          </cell>
        </row>
        <row r="384">
          <cell r="B384" t="str">
            <v>Multiplex  t. 18 mm</v>
          </cell>
          <cell r="C384" t="str">
            <v>lbr</v>
          </cell>
          <cell r="D384">
            <v>312000</v>
          </cell>
        </row>
        <row r="385">
          <cell r="B385" t="str">
            <v>Teakblock t.18 mm</v>
          </cell>
          <cell r="C385" t="str">
            <v>lbr</v>
          </cell>
          <cell r="D385">
            <v>240000</v>
          </cell>
        </row>
        <row r="386">
          <cell r="B386" t="str">
            <v>HPL</v>
          </cell>
          <cell r="C386" t="str">
            <v>lbr</v>
          </cell>
          <cell r="D386">
            <v>145000</v>
          </cell>
        </row>
        <row r="387">
          <cell r="B387" t="str">
            <v>HPL motif serat</v>
          </cell>
          <cell r="D387">
            <v>185000</v>
          </cell>
        </row>
        <row r="388">
          <cell r="B388" t="str">
            <v>Melaminto Doff</v>
          </cell>
          <cell r="C388" t="str">
            <v>lbr</v>
          </cell>
          <cell r="D388">
            <v>95000</v>
          </cell>
        </row>
        <row r="389">
          <cell r="B389" t="str">
            <v>Melaminto Gloss</v>
          </cell>
          <cell r="C389" t="str">
            <v>lbr</v>
          </cell>
          <cell r="D389">
            <v>85000</v>
          </cell>
        </row>
        <row r="390">
          <cell r="B390" t="str">
            <v>Plywood</v>
          </cell>
          <cell r="C390" t="str">
            <v>lbr</v>
          </cell>
          <cell r="D390">
            <v>120000</v>
          </cell>
        </row>
        <row r="392">
          <cell r="B392" t="str">
            <v>BAHAN LANTAI &amp; DINDING</v>
          </cell>
        </row>
        <row r="393">
          <cell r="B393" t="str">
            <v>LANTAI</v>
          </cell>
        </row>
        <row r="394">
          <cell r="B394" t="str">
            <v>Keramik Lantai 20/20 cm Polished</v>
          </cell>
          <cell r="C394" t="str">
            <v>m2</v>
          </cell>
          <cell r="D394">
            <v>87000</v>
          </cell>
        </row>
        <row r="395">
          <cell r="B395" t="str">
            <v>Keramik Lantai 20/20 cm Unpolished</v>
          </cell>
          <cell r="C395" t="str">
            <v>m2</v>
          </cell>
          <cell r="D395">
            <v>90000</v>
          </cell>
        </row>
        <row r="396">
          <cell r="B396" t="str">
            <v>Keramik Lantai 30/30 cm Polished</v>
          </cell>
          <cell r="C396" t="str">
            <v>m2</v>
          </cell>
          <cell r="D396">
            <v>87000</v>
          </cell>
        </row>
        <row r="397">
          <cell r="B397" t="str">
            <v>Keramik Lantai 30/30 cm Unpolished</v>
          </cell>
          <cell r="C397" t="str">
            <v>m2</v>
          </cell>
          <cell r="D397">
            <v>90000</v>
          </cell>
        </row>
        <row r="398">
          <cell r="B398" t="str">
            <v>Keramik Lantai 33/33 cm Polished</v>
          </cell>
          <cell r="C398" t="str">
            <v>m2</v>
          </cell>
          <cell r="D398">
            <v>87000</v>
          </cell>
        </row>
        <row r="399">
          <cell r="B399" t="str">
            <v>Keramik Lantai 33/33 cm Unpolished</v>
          </cell>
          <cell r="C399" t="str">
            <v>m2</v>
          </cell>
          <cell r="D399">
            <v>137000</v>
          </cell>
        </row>
        <row r="400">
          <cell r="B400" t="str">
            <v>Keramik Lantai 40/40 cm Polished</v>
          </cell>
          <cell r="C400" t="str">
            <v>m2</v>
          </cell>
          <cell r="D400">
            <v>105000</v>
          </cell>
        </row>
        <row r="401">
          <cell r="B401" t="str">
            <v>Keramik Lantai 40/40 cm Unpolished</v>
          </cell>
          <cell r="C401" t="str">
            <v>m2</v>
          </cell>
          <cell r="D401">
            <v>112000</v>
          </cell>
        </row>
        <row r="402">
          <cell r="B402" t="str">
            <v>Keramik Lantai 50/50 cm Polished</v>
          </cell>
          <cell r="C402" t="str">
            <v>m2</v>
          </cell>
          <cell r="D402">
            <v>123500</v>
          </cell>
        </row>
        <row r="403">
          <cell r="B403" t="str">
            <v>Keramik Lantai 50/50 cm Unpolished</v>
          </cell>
          <cell r="C403" t="str">
            <v>m2</v>
          </cell>
          <cell r="D403">
            <v>150500</v>
          </cell>
        </row>
        <row r="404">
          <cell r="B404" t="str">
            <v>Keramik Lantai 60/60 cm Polished</v>
          </cell>
          <cell r="C404" t="str">
            <v>m2</v>
          </cell>
          <cell r="D404">
            <v>155000</v>
          </cell>
        </row>
        <row r="405">
          <cell r="B405" t="str">
            <v>Keramik Lantai 60/60 cm Unpolished</v>
          </cell>
          <cell r="C405" t="str">
            <v>m2</v>
          </cell>
          <cell r="D405">
            <v>200000</v>
          </cell>
        </row>
        <row r="406">
          <cell r="B406" t="str">
            <v>Keramik 30/30 IMP Rocky Black</v>
          </cell>
          <cell r="C406" t="str">
            <v>m2</v>
          </cell>
          <cell r="D406">
            <v>48000</v>
          </cell>
        </row>
        <row r="407">
          <cell r="B407" t="str">
            <v>Grassblok t. 8 cm (40x40 cm ) Natural</v>
          </cell>
          <cell r="C407" t="str">
            <v>bh</v>
          </cell>
        </row>
        <row r="408">
          <cell r="B408" t="str">
            <v>Marmer Putih 30/30</v>
          </cell>
          <cell r="C408" t="str">
            <v>bh</v>
          </cell>
          <cell r="D408">
            <v>165000</v>
          </cell>
        </row>
        <row r="409">
          <cell r="B409" t="str">
            <v>Marmer Putih 40/60</v>
          </cell>
          <cell r="C409" t="str">
            <v>bh</v>
          </cell>
          <cell r="D409">
            <v>200000</v>
          </cell>
        </row>
        <row r="410">
          <cell r="B410" t="str">
            <v>Marmer Hitam 40/60</v>
          </cell>
          <cell r="C410" t="str">
            <v>bh</v>
          </cell>
          <cell r="D410">
            <v>300000</v>
          </cell>
        </row>
        <row r="411">
          <cell r="B411" t="str">
            <v>Marmer Hitam 40/90</v>
          </cell>
          <cell r="C411" t="str">
            <v>bh</v>
          </cell>
          <cell r="D411">
            <v>900000</v>
          </cell>
        </row>
        <row r="412">
          <cell r="B412" t="str">
            <v>Stepnosing Keramik 10/30</v>
          </cell>
          <cell r="C412" t="str">
            <v>bh</v>
          </cell>
          <cell r="D412">
            <v>16000</v>
          </cell>
        </row>
        <row r="413">
          <cell r="B413" t="str">
            <v>Ubin Porselin 20/20</v>
          </cell>
          <cell r="C413" t="str">
            <v>m2</v>
          </cell>
          <cell r="D413">
            <v>65000</v>
          </cell>
        </row>
        <row r="414">
          <cell r="B414" t="str">
            <v>Ubin Porselin 30/30</v>
          </cell>
          <cell r="C414" t="str">
            <v>m2</v>
          </cell>
          <cell r="D414">
            <v>85000</v>
          </cell>
        </row>
        <row r="415">
          <cell r="B415" t="str">
            <v>Ubin Porselin 40/40</v>
          </cell>
          <cell r="C415" t="str">
            <v>m2</v>
          </cell>
          <cell r="D415">
            <v>90000</v>
          </cell>
        </row>
        <row r="416">
          <cell r="B416" t="str">
            <v>Plint Warna</v>
          </cell>
          <cell r="C416" t="str">
            <v>bh</v>
          </cell>
          <cell r="D416">
            <v>20000</v>
          </cell>
        </row>
        <row r="417">
          <cell r="B417" t="str">
            <v>Plint PC 10/20</v>
          </cell>
          <cell r="C417" t="str">
            <v>bh</v>
          </cell>
          <cell r="D417">
            <v>37000</v>
          </cell>
        </row>
        <row r="418">
          <cell r="B418" t="str">
            <v>ROMAN</v>
          </cell>
        </row>
        <row r="419">
          <cell r="B419" t="str">
            <v>Roman 20 x 20 Golongan A</v>
          </cell>
          <cell r="C419" t="str">
            <v>m2</v>
          </cell>
          <cell r="D419">
            <v>87000</v>
          </cell>
        </row>
        <row r="420">
          <cell r="B420" t="str">
            <v>Roman 20 x 20 Golongan B</v>
          </cell>
          <cell r="C420" t="str">
            <v>m2</v>
          </cell>
          <cell r="D420">
            <v>90000</v>
          </cell>
        </row>
        <row r="421">
          <cell r="B421" t="str">
            <v>Roman 20 x 20 Golongan D</v>
          </cell>
          <cell r="C421" t="str">
            <v>m2</v>
          </cell>
          <cell r="D421">
            <v>100000</v>
          </cell>
        </row>
        <row r="422">
          <cell r="B422" t="str">
            <v>Roman 30 x 30 Golongan B</v>
          </cell>
          <cell r="C422" t="str">
            <v>m2</v>
          </cell>
          <cell r="D422">
            <v>87000</v>
          </cell>
        </row>
        <row r="423">
          <cell r="B423" t="str">
            <v>Roman 30 x 30 Golongan C</v>
          </cell>
          <cell r="C423" t="str">
            <v>m2</v>
          </cell>
          <cell r="D423">
            <v>91000</v>
          </cell>
        </row>
        <row r="424">
          <cell r="B424" t="str">
            <v>Roman 33.3 x 33.3 Golongan A</v>
          </cell>
          <cell r="C424" t="str">
            <v>m2</v>
          </cell>
          <cell r="D424">
            <v>97000</v>
          </cell>
        </row>
        <row r="425">
          <cell r="B425" t="str">
            <v>Roman 33.3 x 33.3 Golongan C</v>
          </cell>
          <cell r="C425" t="str">
            <v>m2</v>
          </cell>
          <cell r="D425">
            <v>137500</v>
          </cell>
        </row>
        <row r="426">
          <cell r="B426" t="str">
            <v>Roman 40 x 40 Golongan A</v>
          </cell>
          <cell r="C426" t="str">
            <v>m2</v>
          </cell>
          <cell r="D426">
            <v>97000</v>
          </cell>
        </row>
        <row r="427">
          <cell r="B427" t="str">
            <v>Roman 40 x 40 Golongan B</v>
          </cell>
          <cell r="C427" t="str">
            <v>m2</v>
          </cell>
          <cell r="D427">
            <v>105000</v>
          </cell>
        </row>
        <row r="428">
          <cell r="B428" t="str">
            <v>Roman 40 x 40 Golongan C</v>
          </cell>
          <cell r="C428" t="str">
            <v>m2</v>
          </cell>
          <cell r="D428">
            <v>107000</v>
          </cell>
        </row>
        <row r="429">
          <cell r="B429" t="str">
            <v>Roman 40 x 40 Golongan D</v>
          </cell>
          <cell r="C429" t="str">
            <v>m2</v>
          </cell>
          <cell r="D429">
            <v>112000</v>
          </cell>
        </row>
        <row r="430">
          <cell r="B430" t="str">
            <v>Roman 45 x 45 Golongan A</v>
          </cell>
          <cell r="C430" t="str">
            <v>m2</v>
          </cell>
          <cell r="D430">
            <v>107000</v>
          </cell>
        </row>
        <row r="431">
          <cell r="B431" t="str">
            <v>Roman 45 x 45 Golongan B</v>
          </cell>
          <cell r="C431" t="str">
            <v>m2</v>
          </cell>
          <cell r="D431">
            <v>113000</v>
          </cell>
        </row>
        <row r="432">
          <cell r="B432" t="str">
            <v>Roman 45 x 45 Golongan E</v>
          </cell>
          <cell r="C432" t="str">
            <v>m2</v>
          </cell>
          <cell r="D432">
            <v>150000</v>
          </cell>
        </row>
        <row r="433">
          <cell r="B433" t="str">
            <v>Roman 50 x 50 Golongan A</v>
          </cell>
          <cell r="C433" t="str">
            <v>m2</v>
          </cell>
          <cell r="D433">
            <v>123500</v>
          </cell>
        </row>
        <row r="434">
          <cell r="B434" t="str">
            <v>Roman 50 x 50 Golongan B</v>
          </cell>
          <cell r="C434" t="str">
            <v>m2</v>
          </cell>
          <cell r="D434">
            <v>132500</v>
          </cell>
        </row>
        <row r="435">
          <cell r="B435" t="str">
            <v>Roman 50 x 50 Golongan C</v>
          </cell>
          <cell r="C435" t="str">
            <v>m2</v>
          </cell>
          <cell r="D435">
            <v>150500</v>
          </cell>
        </row>
        <row r="436">
          <cell r="B436" t="str">
            <v>Roman 60 x 60 Golongan A</v>
          </cell>
          <cell r="C436" t="str">
            <v>m2</v>
          </cell>
          <cell r="D436">
            <v>155000</v>
          </cell>
        </row>
        <row r="437">
          <cell r="B437" t="str">
            <v>Roman 60 x 60 Golongan B</v>
          </cell>
          <cell r="C437" t="str">
            <v>m2</v>
          </cell>
          <cell r="D437">
            <v>175000</v>
          </cell>
        </row>
        <row r="438">
          <cell r="B438" t="str">
            <v>Roman 60 x 60 Golongan C</v>
          </cell>
          <cell r="C438" t="str">
            <v>m2</v>
          </cell>
          <cell r="D438">
            <v>200000</v>
          </cell>
        </row>
        <row r="439">
          <cell r="B439" t="str">
            <v>Roman 16.5 x 66.6 Golongan A </v>
          </cell>
          <cell r="C439" t="str">
            <v>m2</v>
          </cell>
          <cell r="D439">
            <v>192000</v>
          </cell>
        </row>
        <row r="440">
          <cell r="B440" t="str">
            <v>Roman 33.3 x 66.6 Golongan A</v>
          </cell>
          <cell r="C440" t="str">
            <v>m2</v>
          </cell>
          <cell r="D440">
            <v>172500</v>
          </cell>
        </row>
        <row r="441">
          <cell r="B441" t="str">
            <v>Roman 33.3 x 66.6 Golongan B</v>
          </cell>
          <cell r="C441" t="str">
            <v>m2</v>
          </cell>
          <cell r="D441">
            <v>193000</v>
          </cell>
        </row>
        <row r="442">
          <cell r="B442" t="str">
            <v>Roman 33.3 x 66.6 Golongan C</v>
          </cell>
          <cell r="C442" t="str">
            <v>m2</v>
          </cell>
          <cell r="D442">
            <v>212500</v>
          </cell>
        </row>
        <row r="443">
          <cell r="B443" t="str">
            <v>Roman 8 x 30 Hospital Skirting</v>
          </cell>
          <cell r="C443" t="str">
            <v>m2</v>
          </cell>
          <cell r="D443">
            <v>474000</v>
          </cell>
        </row>
        <row r="444">
          <cell r="B444" t="str">
            <v>Roman 10 x 20 Step Nosing</v>
          </cell>
          <cell r="C444" t="str">
            <v>m2</v>
          </cell>
          <cell r="D444">
            <v>515000</v>
          </cell>
        </row>
        <row r="445">
          <cell r="B445" t="str">
            <v>Roman 10 x 30 Step Nosing Golongan A </v>
          </cell>
          <cell r="C445" t="str">
            <v>m2</v>
          </cell>
          <cell r="D445">
            <v>521400</v>
          </cell>
        </row>
        <row r="446">
          <cell r="B446" t="str">
            <v>Ubin PC abu2</v>
          </cell>
          <cell r="C446" t="str">
            <v>Bh</v>
          </cell>
          <cell r="D446">
            <v>4800.0000000000009</v>
          </cell>
        </row>
        <row r="447">
          <cell r="B447" t="str">
            <v>Ubin PC warna</v>
          </cell>
          <cell r="C447" t="str">
            <v>Bh</v>
          </cell>
          <cell r="D447">
            <v>5120.0000000000009</v>
          </cell>
        </row>
        <row r="448">
          <cell r="B448" t="str">
            <v>Ubin warna</v>
          </cell>
          <cell r="C448" t="str">
            <v>Bh</v>
          </cell>
          <cell r="D448">
            <v>5760.0000000000009</v>
          </cell>
        </row>
        <row r="449">
          <cell r="B449" t="str">
            <v>Ubin teraso</v>
          </cell>
          <cell r="C449" t="str">
            <v>Bh</v>
          </cell>
          <cell r="D449">
            <v>4000.0000000000005</v>
          </cell>
        </row>
        <row r="450">
          <cell r="B450" t="str">
            <v>Ubin granit</v>
          </cell>
          <cell r="C450" t="str">
            <v>Bh</v>
          </cell>
          <cell r="D450">
            <v>4480.0000000000009</v>
          </cell>
        </row>
        <row r="451">
          <cell r="B451" t="str">
            <v>Internal Cove (Plint)</v>
          </cell>
          <cell r="C451" t="str">
            <v>m1</v>
          </cell>
          <cell r="D451">
            <v>27500</v>
          </cell>
        </row>
        <row r="452">
          <cell r="B452" t="str">
            <v>Lantai Marmer</v>
          </cell>
          <cell r="C452" t="str">
            <v>m2</v>
          </cell>
          <cell r="D452">
            <v>190000</v>
          </cell>
        </row>
        <row r="453">
          <cell r="B453" t="str">
            <v>Karpet Lantai Roll</v>
          </cell>
          <cell r="C453" t="str">
            <v>m2</v>
          </cell>
          <cell r="D453">
            <v>76000</v>
          </cell>
        </row>
        <row r="454">
          <cell r="B454" t="str">
            <v>Karpet Lantai Tile</v>
          </cell>
          <cell r="C454" t="str">
            <v>m2</v>
          </cell>
          <cell r="D454">
            <v>97000</v>
          </cell>
        </row>
        <row r="455">
          <cell r="B455" t="str">
            <v>Underlayer/rubber corrugated</v>
          </cell>
          <cell r="C455" t="str">
            <v>m2</v>
          </cell>
          <cell r="D455">
            <v>12000</v>
          </cell>
        </row>
        <row r="456">
          <cell r="B456" t="str">
            <v>Lantai Parquette Laminated</v>
          </cell>
          <cell r="C456" t="str">
            <v>m2</v>
          </cell>
          <cell r="D456">
            <v>176000</v>
          </cell>
        </row>
        <row r="457">
          <cell r="B457" t="str">
            <v>Lantai Vynil Tile</v>
          </cell>
          <cell r="C457" t="str">
            <v>m2</v>
          </cell>
          <cell r="D457">
            <v>65000</v>
          </cell>
        </row>
        <row r="458">
          <cell r="B458" t="str">
            <v>Lantai Vinyl Roll</v>
          </cell>
          <cell r="C458" t="str">
            <v>m2</v>
          </cell>
          <cell r="D458">
            <v>35000</v>
          </cell>
        </row>
        <row r="459">
          <cell r="B459" t="str">
            <v>Plint Lantai Kayu Jati</v>
          </cell>
          <cell r="C459" t="str">
            <v>m1</v>
          </cell>
          <cell r="D459">
            <v>45000</v>
          </cell>
        </row>
        <row r="460">
          <cell r="B460" t="str">
            <v>Plint Lantai Vinyl</v>
          </cell>
          <cell r="C460" t="str">
            <v>m1</v>
          </cell>
          <cell r="D460">
            <v>15000</v>
          </cell>
        </row>
        <row r="461">
          <cell r="B461" t="str">
            <v>Floor Hardener</v>
          </cell>
          <cell r="C461" t="str">
            <v>Kg</v>
          </cell>
          <cell r="D461">
            <v>4480</v>
          </cell>
        </row>
        <row r="462">
          <cell r="B462" t="str">
            <v>Lantai Tegel Polos</v>
          </cell>
          <cell r="C462" t="str">
            <v>m2</v>
          </cell>
          <cell r="D462">
            <v>55000</v>
          </cell>
        </row>
        <row r="463">
          <cell r="B463" t="str">
            <v>Lantai Tegel Warna</v>
          </cell>
          <cell r="C463" t="str">
            <v>m2</v>
          </cell>
          <cell r="D463">
            <v>60000</v>
          </cell>
        </row>
        <row r="464">
          <cell r="B464" t="str">
            <v>Paving, Grass &amp; Kanstein Block</v>
          </cell>
        </row>
        <row r="465">
          <cell r="B465" t="str">
            <v>Paving Block (M) t.6cm Natural</v>
          </cell>
          <cell r="C465" t="str">
            <v>m2</v>
          </cell>
          <cell r="D465">
            <v>45000</v>
          </cell>
        </row>
        <row r="466">
          <cell r="B466" t="str">
            <v>Paving Block (M) t.6cm Warna</v>
          </cell>
          <cell r="C466" t="str">
            <v>m2</v>
          </cell>
          <cell r="D466">
            <v>50000</v>
          </cell>
        </row>
        <row r="467">
          <cell r="B467" t="str">
            <v>Paving Block KW 2 t.6cm Natural</v>
          </cell>
          <cell r="C467" t="str">
            <v>m2</v>
          </cell>
          <cell r="D467">
            <v>70000</v>
          </cell>
        </row>
        <row r="468">
          <cell r="B468" t="str">
            <v>Paving Block KW 2 t.6cm Warna</v>
          </cell>
          <cell r="C468" t="str">
            <v>m2</v>
          </cell>
          <cell r="D468">
            <v>80000</v>
          </cell>
        </row>
        <row r="469">
          <cell r="B469" t="str">
            <v>Paving Block KW 2 t.8cm Natural</v>
          </cell>
          <cell r="C469" t="str">
            <v>m2</v>
          </cell>
          <cell r="D469">
            <v>80000</v>
          </cell>
        </row>
        <row r="470">
          <cell r="B470" t="str">
            <v>Paving Block KW 2 t.8cm Warna</v>
          </cell>
          <cell r="C470" t="str">
            <v>m2</v>
          </cell>
          <cell r="D470">
            <v>90000</v>
          </cell>
        </row>
        <row r="471">
          <cell r="B471" t="str">
            <v>Paving Block KW 1 t.6cm Natural</v>
          </cell>
          <cell r="C471" t="str">
            <v>m2</v>
          </cell>
          <cell r="D471">
            <v>87000</v>
          </cell>
        </row>
        <row r="472">
          <cell r="B472" t="str">
            <v>Paving Block KW 1 t.6cm Warna</v>
          </cell>
          <cell r="C472" t="str">
            <v>m2</v>
          </cell>
          <cell r="D472">
            <v>97000</v>
          </cell>
        </row>
        <row r="473">
          <cell r="B473" t="str">
            <v>Paving Block KW 1 t.8cm Natural</v>
          </cell>
          <cell r="C473" t="str">
            <v>m2</v>
          </cell>
          <cell r="D473">
            <v>102000</v>
          </cell>
        </row>
        <row r="474">
          <cell r="B474" t="str">
            <v>Paving Block KW 1 t.8cm Warna</v>
          </cell>
          <cell r="C474" t="str">
            <v>m2</v>
          </cell>
          <cell r="D474">
            <v>112000</v>
          </cell>
        </row>
        <row r="475">
          <cell r="B475" t="str">
            <v>Grass Block (M) t.6cm</v>
          </cell>
          <cell r="C475" t="str">
            <v>m2</v>
          </cell>
          <cell r="D475">
            <v>50000</v>
          </cell>
        </row>
        <row r="476">
          <cell r="B476" t="str">
            <v>Grass Block (M) t.7cm</v>
          </cell>
          <cell r="C476" t="str">
            <v>m2</v>
          </cell>
          <cell r="D476">
            <v>60000</v>
          </cell>
        </row>
        <row r="477">
          <cell r="B477" t="str">
            <v>Grass Block (M) t.8cm</v>
          </cell>
          <cell r="C477" t="str">
            <v>m2</v>
          </cell>
          <cell r="D477">
            <v>65000</v>
          </cell>
        </row>
        <row r="478">
          <cell r="B478" t="str">
            <v>Grass Block KW 2 t.6cm</v>
          </cell>
          <cell r="C478" t="str">
            <v>m2</v>
          </cell>
          <cell r="D478">
            <v>70000</v>
          </cell>
        </row>
        <row r="479">
          <cell r="B479" t="str">
            <v>Grass Block KW 2 t.8cm</v>
          </cell>
          <cell r="C479" t="str">
            <v>m2</v>
          </cell>
          <cell r="D479">
            <v>80000</v>
          </cell>
        </row>
        <row r="480">
          <cell r="B480" t="str">
            <v>Kanstein Taman 40x15x5/6</v>
          </cell>
          <cell r="C480" t="str">
            <v>Bh</v>
          </cell>
          <cell r="D480">
            <v>7000</v>
          </cell>
        </row>
        <row r="481">
          <cell r="B481" t="str">
            <v>Kanstein Taman 40x17x5/9</v>
          </cell>
          <cell r="C481" t="str">
            <v>Bh</v>
          </cell>
          <cell r="D481">
            <v>10000</v>
          </cell>
        </row>
        <row r="482">
          <cell r="B482" t="str">
            <v>Kanstein Taman 40x17x5/10</v>
          </cell>
          <cell r="C482" t="str">
            <v>Bh</v>
          </cell>
          <cell r="D482">
            <v>12000</v>
          </cell>
        </row>
        <row r="483">
          <cell r="B483" t="str">
            <v>Kanstein Type K3 40x18x5/15</v>
          </cell>
          <cell r="C483" t="str">
            <v>Bh</v>
          </cell>
          <cell r="D483">
            <v>15000</v>
          </cell>
        </row>
        <row r="484">
          <cell r="B484" t="str">
            <v>Kanstein Type K4 40x25x8/13</v>
          </cell>
          <cell r="C484" t="str">
            <v>Bh</v>
          </cell>
          <cell r="D484">
            <v>18000</v>
          </cell>
        </row>
        <row r="485">
          <cell r="B485" t="str">
            <v>Kanstein Type K28 60x28x12/16</v>
          </cell>
          <cell r="C485" t="str">
            <v>Bh</v>
          </cell>
          <cell r="D485">
            <v>27000</v>
          </cell>
        </row>
        <row r="486">
          <cell r="B486" t="str">
            <v>Kanstein Type K28 1/2 60x20x12/16</v>
          </cell>
          <cell r="C486" t="str">
            <v>Bh</v>
          </cell>
          <cell r="D486">
            <v>17000</v>
          </cell>
        </row>
        <row r="487">
          <cell r="B487" t="str">
            <v>Kanstein Type K30 1/2 60x30x22/25</v>
          </cell>
          <cell r="C487" t="str">
            <v>Bh</v>
          </cell>
          <cell r="D487">
            <v>32000</v>
          </cell>
        </row>
        <row r="488">
          <cell r="B488" t="str">
            <v>Kanstein Type K40 1/2 60x40x12/16</v>
          </cell>
          <cell r="C488" t="str">
            <v>Bh</v>
          </cell>
          <cell r="D488">
            <v>37000</v>
          </cell>
        </row>
        <row r="489">
          <cell r="B489" t="str">
            <v>Kanstein Type KS (spoon) 1/2 50x30x10x15</v>
          </cell>
          <cell r="C489" t="str">
            <v>Bh</v>
          </cell>
          <cell r="D489">
            <v>23000</v>
          </cell>
        </row>
        <row r="490">
          <cell r="B490" t="str">
            <v>Marmer slab</v>
          </cell>
          <cell r="C490" t="str">
            <v>m2</v>
          </cell>
        </row>
        <row r="491">
          <cell r="B491" t="str">
            <v>Ubin PC abu2</v>
          </cell>
          <cell r="C491" t="str">
            <v>Bh</v>
          </cell>
          <cell r="D491">
            <v>4800.0000000000009</v>
          </cell>
        </row>
        <row r="492">
          <cell r="B492" t="str">
            <v>Ubin PC warna</v>
          </cell>
          <cell r="C492" t="str">
            <v>Bh</v>
          </cell>
          <cell r="D492">
            <v>5120.0000000000009</v>
          </cell>
        </row>
        <row r="493">
          <cell r="B493" t="str">
            <v>Ubin warna</v>
          </cell>
          <cell r="C493" t="str">
            <v>Bh</v>
          </cell>
          <cell r="D493">
            <v>5760.0000000000009</v>
          </cell>
        </row>
        <row r="494">
          <cell r="B494" t="str">
            <v>Ubin teraso</v>
          </cell>
          <cell r="C494" t="str">
            <v>Bh</v>
          </cell>
          <cell r="D494">
            <v>4000.0000000000005</v>
          </cell>
        </row>
        <row r="495">
          <cell r="B495" t="str">
            <v>Ubin granit</v>
          </cell>
          <cell r="C495" t="str">
            <v>Bh</v>
          </cell>
          <cell r="D495">
            <v>4480.0000000000009</v>
          </cell>
        </row>
        <row r="496">
          <cell r="B496" t="str">
            <v>Internal Cove (Plint)</v>
          </cell>
          <cell r="C496" t="str">
            <v>m1</v>
          </cell>
          <cell r="D496">
            <v>27500</v>
          </cell>
        </row>
        <row r="497">
          <cell r="B497" t="str">
            <v>Lantai Marmer</v>
          </cell>
          <cell r="C497" t="str">
            <v>m2</v>
          </cell>
          <cell r="D497">
            <v>190000</v>
          </cell>
        </row>
        <row r="498">
          <cell r="B498" t="str">
            <v>Karpet Lantai Roll</v>
          </cell>
          <cell r="C498" t="str">
            <v>m2</v>
          </cell>
          <cell r="D498">
            <v>76000</v>
          </cell>
        </row>
        <row r="499">
          <cell r="B499" t="str">
            <v>Karpet Lantai Tile</v>
          </cell>
          <cell r="C499" t="str">
            <v>m2</v>
          </cell>
          <cell r="D499">
            <v>97000</v>
          </cell>
        </row>
        <row r="500">
          <cell r="B500" t="str">
            <v>Underlayer/rubber corrugated</v>
          </cell>
          <cell r="C500" t="str">
            <v>m2</v>
          </cell>
          <cell r="D500">
            <v>12000</v>
          </cell>
        </row>
        <row r="501">
          <cell r="B501" t="str">
            <v>Lantai Parquette</v>
          </cell>
          <cell r="C501" t="str">
            <v>m2</v>
          </cell>
          <cell r="D501">
            <v>176000</v>
          </cell>
        </row>
        <row r="502">
          <cell r="B502" t="str">
            <v>Lantai Vynil Tile</v>
          </cell>
          <cell r="C502" t="str">
            <v>m2</v>
          </cell>
          <cell r="D502">
            <v>65000</v>
          </cell>
        </row>
        <row r="503">
          <cell r="B503" t="str">
            <v>Lantai Vinyl Roll</v>
          </cell>
          <cell r="C503" t="str">
            <v>m2</v>
          </cell>
          <cell r="D503">
            <v>35000</v>
          </cell>
        </row>
        <row r="504">
          <cell r="B504" t="str">
            <v>Plint Lantai Vinyl</v>
          </cell>
          <cell r="C504" t="str">
            <v>m1</v>
          </cell>
          <cell r="D504">
            <v>15000</v>
          </cell>
        </row>
        <row r="505">
          <cell r="B505" t="str">
            <v>Floor Hardener</v>
          </cell>
          <cell r="C505" t="str">
            <v>Kg</v>
          </cell>
          <cell r="D505">
            <v>4480</v>
          </cell>
        </row>
        <row r="507">
          <cell r="B507" t="str">
            <v>DINDING</v>
          </cell>
        </row>
        <row r="508">
          <cell r="B508" t="str">
            <v>Keramik Dinding 20/20 cm Polished</v>
          </cell>
          <cell r="C508" t="str">
            <v>m2</v>
          </cell>
          <cell r="D508">
            <v>87000</v>
          </cell>
        </row>
        <row r="509">
          <cell r="B509" t="str">
            <v>Keramik Dinding 20/25 cm Polished</v>
          </cell>
          <cell r="C509" t="str">
            <v>m2</v>
          </cell>
          <cell r="D509">
            <v>90000</v>
          </cell>
        </row>
        <row r="510">
          <cell r="B510" t="str">
            <v>Keramik Dinding 30/30 cm Polished</v>
          </cell>
          <cell r="C510" t="str">
            <v>m2</v>
          </cell>
          <cell r="D510">
            <v>118000</v>
          </cell>
        </row>
        <row r="511">
          <cell r="B511" t="str">
            <v>Skirting Keramik 8/30 cm</v>
          </cell>
          <cell r="C511" t="str">
            <v>bh</v>
          </cell>
          <cell r="D511" t="str">
            <v>-</v>
          </cell>
        </row>
        <row r="512">
          <cell r="B512" t="str">
            <v>Dinding Porselen 11/11 cm</v>
          </cell>
          <cell r="C512" t="str">
            <v>m2</v>
          </cell>
          <cell r="D512">
            <v>32500</v>
          </cell>
        </row>
        <row r="513">
          <cell r="B513" t="str">
            <v>Dinding Porselen 10/20 cm</v>
          </cell>
          <cell r="C513" t="str">
            <v>m2</v>
          </cell>
          <cell r="D513">
            <v>36400</v>
          </cell>
        </row>
        <row r="514">
          <cell r="B514" t="str">
            <v>Dinding Porselen 20/20 cm</v>
          </cell>
          <cell r="C514" t="str">
            <v>m2</v>
          </cell>
          <cell r="D514">
            <v>38350</v>
          </cell>
        </row>
        <row r="515">
          <cell r="B515" t="str">
            <v>Keramik Dinding Artistik 10/20 cm Polished</v>
          </cell>
          <cell r="C515" t="str">
            <v>m2</v>
          </cell>
          <cell r="D515">
            <v>260000</v>
          </cell>
        </row>
        <row r="516">
          <cell r="B516" t="str">
            <v>Keramik Dinding Artistik 5/20 cm Polished</v>
          </cell>
          <cell r="C516" t="str">
            <v>m2</v>
          </cell>
          <cell r="D516">
            <v>312000</v>
          </cell>
        </row>
        <row r="517">
          <cell r="B517" t="str">
            <v>Dinding Marmer 100/100 cm</v>
          </cell>
          <cell r="C517" t="str">
            <v>m2</v>
          </cell>
          <cell r="D517">
            <v>280800</v>
          </cell>
        </row>
        <row r="518">
          <cell r="B518" t="str">
            <v>Bata pelapis (3x7x24cm)</v>
          </cell>
          <cell r="C518" t="str">
            <v>m2</v>
          </cell>
          <cell r="D518">
            <v>117000</v>
          </cell>
        </row>
        <row r="519">
          <cell r="B519" t="str">
            <v>Batu paras tempel</v>
          </cell>
          <cell r="C519" t="str">
            <v>m2</v>
          </cell>
          <cell r="D519">
            <v>162500</v>
          </cell>
        </row>
        <row r="520">
          <cell r="B520" t="str">
            <v>Batu tempel</v>
          </cell>
          <cell r="C520" t="str">
            <v>m2</v>
          </cell>
          <cell r="D520">
            <v>45500</v>
          </cell>
        </row>
        <row r="521">
          <cell r="B521" t="str">
            <v>Wallpaper standar</v>
          </cell>
          <cell r="C521" t="str">
            <v>roll</v>
          </cell>
          <cell r="D521">
            <v>71500</v>
          </cell>
        </row>
        <row r="522">
          <cell r="B522" t="str">
            <v>Wallpaper artistik</v>
          </cell>
          <cell r="C522" t="str">
            <v>roll</v>
          </cell>
          <cell r="D522">
            <v>123500</v>
          </cell>
        </row>
        <row r="523">
          <cell r="B523" t="str">
            <v>Wallpaper tebal</v>
          </cell>
          <cell r="C523" t="str">
            <v>roll</v>
          </cell>
          <cell r="D523">
            <v>189800</v>
          </cell>
        </row>
        <row r="524">
          <cell r="B524" t="str">
            <v>Ornamen Tempel Minimalis 400x200 (garis Besar)</v>
          </cell>
          <cell r="C524" t="str">
            <v>m2</v>
          </cell>
          <cell r="D524">
            <v>71500</v>
          </cell>
        </row>
        <row r="525">
          <cell r="B525" t="str">
            <v>Ornamen Tempel Minimalis 300x150 (garis Sedang)</v>
          </cell>
          <cell r="C525" t="str">
            <v>m2</v>
          </cell>
          <cell r="D525">
            <v>71500</v>
          </cell>
        </row>
        <row r="526">
          <cell r="B526" t="str">
            <v>Ornamen Tempel Minimalis 400x200 (garis Kecil)</v>
          </cell>
          <cell r="C526" t="str">
            <v>m2</v>
          </cell>
          <cell r="D526">
            <v>71500</v>
          </cell>
        </row>
        <row r="527">
          <cell r="B527" t="str">
            <v>Plint Warna</v>
          </cell>
          <cell r="C527" t="str">
            <v>bh</v>
          </cell>
          <cell r="D527">
            <v>20000</v>
          </cell>
        </row>
        <row r="528">
          <cell r="B528" t="str">
            <v>Plint PC 10/20</v>
          </cell>
          <cell r="C528" t="str">
            <v>bh</v>
          </cell>
          <cell r="D528">
            <v>37000</v>
          </cell>
        </row>
        <row r="529">
          <cell r="B529" t="str">
            <v>ROMAN</v>
          </cell>
        </row>
        <row r="530">
          <cell r="B530" t="str">
            <v>Roman 20 x 20 Golongan A</v>
          </cell>
          <cell r="C530" t="str">
            <v>m2</v>
          </cell>
          <cell r="D530">
            <v>84000</v>
          </cell>
        </row>
        <row r="531">
          <cell r="B531" t="str">
            <v>Roman 20 x 20 Golongan B</v>
          </cell>
          <cell r="C531" t="str">
            <v>m2</v>
          </cell>
          <cell r="D531">
            <v>90000</v>
          </cell>
        </row>
        <row r="532">
          <cell r="B532" t="str">
            <v>Roman 20 x 25 Golongan A</v>
          </cell>
          <cell r="C532" t="str">
            <v>m2</v>
          </cell>
          <cell r="D532">
            <v>84000</v>
          </cell>
        </row>
        <row r="533">
          <cell r="B533" t="str">
            <v>Roman 20 x 25 Golongan B</v>
          </cell>
          <cell r="C533" t="str">
            <v>m2</v>
          </cell>
          <cell r="D533">
            <v>90000</v>
          </cell>
        </row>
        <row r="534">
          <cell r="B534" t="str">
            <v>Roman 20 x 25 Golongan C</v>
          </cell>
          <cell r="C534" t="str">
            <v>m2</v>
          </cell>
          <cell r="D534">
            <v>93500</v>
          </cell>
        </row>
        <row r="535">
          <cell r="B535" t="str">
            <v>Roman 25 x 25 Golongan A</v>
          </cell>
          <cell r="C535" t="str">
            <v>m2</v>
          </cell>
          <cell r="D535">
            <v>85000</v>
          </cell>
        </row>
        <row r="536">
          <cell r="B536" t="str">
            <v>Roman 25 x 25 Golongan B</v>
          </cell>
          <cell r="C536" t="str">
            <v>m2</v>
          </cell>
          <cell r="D536">
            <v>91500</v>
          </cell>
        </row>
        <row r="537">
          <cell r="B537" t="str">
            <v>Roman 25 x 25 Golongan C</v>
          </cell>
          <cell r="C537" t="str">
            <v>m2</v>
          </cell>
          <cell r="D537">
            <v>103000</v>
          </cell>
        </row>
        <row r="538">
          <cell r="B538" t="str">
            <v>Roman 30 x 30 Golongan B (match 20 x 60)</v>
          </cell>
          <cell r="C538" t="str">
            <v>m2</v>
          </cell>
          <cell r="D538">
            <v>118000</v>
          </cell>
        </row>
        <row r="539">
          <cell r="B539" t="str">
            <v>Roman 30 x 30 Golongan C (match 20 x 60)</v>
          </cell>
          <cell r="C539" t="str">
            <v>m2</v>
          </cell>
          <cell r="D539">
            <v>128000</v>
          </cell>
        </row>
        <row r="540">
          <cell r="B540" t="str">
            <v>Roman 30 x 30 Golongan D (match 20 x 60)</v>
          </cell>
          <cell r="C540" t="str">
            <v>m2</v>
          </cell>
          <cell r="D540">
            <v>143000</v>
          </cell>
        </row>
        <row r="541">
          <cell r="B541" t="str">
            <v>Roman 30 x 30 Golongan A (match 30 x 60)</v>
          </cell>
          <cell r="C541" t="str">
            <v>m2</v>
          </cell>
          <cell r="D541">
            <v>113000</v>
          </cell>
        </row>
        <row r="542">
          <cell r="B542" t="str">
            <v>Roman 30 x 30 Golongan B (match 30 x 60)</v>
          </cell>
          <cell r="C542" t="str">
            <v>m2</v>
          </cell>
          <cell r="D542">
            <v>118000</v>
          </cell>
        </row>
        <row r="543">
          <cell r="B543" t="str">
            <v>Roman 30 x 30 Golongan C (match 30 x 60)</v>
          </cell>
          <cell r="C543" t="str">
            <v>m2</v>
          </cell>
          <cell r="D543">
            <v>128000</v>
          </cell>
        </row>
        <row r="544">
          <cell r="B544" t="str">
            <v>Roman 30 x 30 Golongan D (match 30 x 60)</v>
          </cell>
          <cell r="C544" t="str">
            <v>m2</v>
          </cell>
          <cell r="D544">
            <v>143000</v>
          </cell>
        </row>
        <row r="545">
          <cell r="B545" t="str">
            <v>Roman 25 x 33.3 Golongan A</v>
          </cell>
          <cell r="C545" t="str">
            <v>m2</v>
          </cell>
          <cell r="D545">
            <v>84000</v>
          </cell>
        </row>
        <row r="546">
          <cell r="B546" t="str">
            <v>Roman 25 x 33.3 Golongan B</v>
          </cell>
          <cell r="C546" t="str">
            <v>m2</v>
          </cell>
          <cell r="D546">
            <v>90000</v>
          </cell>
        </row>
        <row r="547">
          <cell r="B547" t="str">
            <v>Roman 25 x 33.3 Golongan C</v>
          </cell>
          <cell r="C547" t="str">
            <v>m2</v>
          </cell>
          <cell r="D547">
            <v>93500</v>
          </cell>
        </row>
        <row r="548">
          <cell r="B548" t="str">
            <v>Roman 20 x 40 Golongan A</v>
          </cell>
          <cell r="C548" t="str">
            <v>m2</v>
          </cell>
          <cell r="D548">
            <v>84000</v>
          </cell>
        </row>
        <row r="549">
          <cell r="B549" t="str">
            <v>Roman 20 x 40 Golongan B</v>
          </cell>
          <cell r="C549" t="str">
            <v>m2</v>
          </cell>
          <cell r="D549">
            <v>90000</v>
          </cell>
        </row>
        <row r="550">
          <cell r="B550" t="str">
            <v>Roman 25 x 45 Golongan A</v>
          </cell>
          <cell r="C550" t="str">
            <v>m2</v>
          </cell>
          <cell r="D550">
            <v>92500</v>
          </cell>
        </row>
        <row r="551">
          <cell r="B551" t="str">
            <v>Roman 25 x 45 Golongan B</v>
          </cell>
          <cell r="C551" t="str">
            <v>m2</v>
          </cell>
          <cell r="D551">
            <v>103500</v>
          </cell>
        </row>
        <row r="552">
          <cell r="B552" t="str">
            <v>Roman 25 x 45 Golongan D</v>
          </cell>
          <cell r="C552" t="str">
            <v>m2</v>
          </cell>
          <cell r="D552">
            <v>122500</v>
          </cell>
        </row>
        <row r="553">
          <cell r="B553" t="str">
            <v>Roman 32.5 x 32.5 Golongan A match 32.5 x 65.6</v>
          </cell>
          <cell r="C553" t="str">
            <v>m2</v>
          </cell>
          <cell r="D553">
            <v>126000</v>
          </cell>
        </row>
        <row r="554">
          <cell r="B554" t="str">
            <v>Roman 32.5 x 32.5 Golongan B match 32.5 x 65.6</v>
          </cell>
          <cell r="C554" t="str">
            <v>m2</v>
          </cell>
          <cell r="D554">
            <v>131000</v>
          </cell>
        </row>
        <row r="555">
          <cell r="B555" t="str">
            <v>Roman 32.5 x 32.5 Golongan A match 32.5 x 97.5</v>
          </cell>
          <cell r="C555" t="str">
            <v>m2</v>
          </cell>
          <cell r="D555">
            <v>126000</v>
          </cell>
        </row>
        <row r="556">
          <cell r="B556" t="str">
            <v>Roman 20 x 60 Golongan A</v>
          </cell>
          <cell r="C556" t="str">
            <v>m2</v>
          </cell>
          <cell r="D556">
            <v>128500</v>
          </cell>
        </row>
        <row r="557">
          <cell r="B557" t="str">
            <v>Roman 20 x 60 Golongan B</v>
          </cell>
          <cell r="C557" t="str">
            <v>m2</v>
          </cell>
          <cell r="D557">
            <v>140000</v>
          </cell>
        </row>
        <row r="558">
          <cell r="B558" t="str">
            <v>Roman 20 x 60 Golongan C</v>
          </cell>
          <cell r="C558" t="str">
            <v>m2</v>
          </cell>
          <cell r="D558">
            <v>155000</v>
          </cell>
        </row>
        <row r="559">
          <cell r="B559" t="str">
            <v>Roman 20 x 60 Golongan D</v>
          </cell>
          <cell r="C559" t="str">
            <v>m2</v>
          </cell>
          <cell r="D559">
            <v>175000</v>
          </cell>
        </row>
        <row r="560">
          <cell r="B560" t="str">
            <v>Roman 30 x 60 Golongan A</v>
          </cell>
          <cell r="C560" t="str">
            <v>m2</v>
          </cell>
          <cell r="D560">
            <v>128500</v>
          </cell>
        </row>
        <row r="561">
          <cell r="B561" t="str">
            <v>Roman 30 x 60 Golongan B</v>
          </cell>
          <cell r="C561" t="str">
            <v>m2</v>
          </cell>
          <cell r="D561">
            <v>140000</v>
          </cell>
        </row>
        <row r="562">
          <cell r="B562" t="str">
            <v>Roman 30 x 60 Golongan C</v>
          </cell>
          <cell r="C562" t="str">
            <v>m2</v>
          </cell>
          <cell r="D562">
            <v>155000</v>
          </cell>
        </row>
        <row r="563">
          <cell r="B563" t="str">
            <v>Roman 30 x 60 Golongan D</v>
          </cell>
          <cell r="C563" t="str">
            <v>m2</v>
          </cell>
          <cell r="D563">
            <v>175000</v>
          </cell>
        </row>
        <row r="564">
          <cell r="B564" t="str">
            <v>Roman 30 x 60 Golongan E</v>
          </cell>
          <cell r="C564" t="str">
            <v>m2</v>
          </cell>
          <cell r="D564">
            <v>185000</v>
          </cell>
        </row>
        <row r="565">
          <cell r="B565" t="str">
            <v>Roman 32.5 x 65.6 Golongan A Rectified</v>
          </cell>
          <cell r="C565" t="str">
            <v>m2</v>
          </cell>
          <cell r="D565">
            <v>191500</v>
          </cell>
        </row>
        <row r="566">
          <cell r="B566" t="str">
            <v>Roman 32.5 x 65.6 Golongan B Rectified</v>
          </cell>
          <cell r="C566" t="str">
            <v>m2</v>
          </cell>
          <cell r="D566">
            <v>207000</v>
          </cell>
        </row>
        <row r="567">
          <cell r="B567" t="str">
            <v>Roman 32.5 x 65.6 Golongan C Rectified</v>
          </cell>
          <cell r="C567" t="str">
            <v>m2</v>
          </cell>
          <cell r="D567">
            <v>226000</v>
          </cell>
        </row>
        <row r="568">
          <cell r="B568" t="str">
            <v>Roman 32.5 x 97.5 Golongan A Rectified</v>
          </cell>
          <cell r="C568" t="str">
            <v>m2</v>
          </cell>
          <cell r="D568">
            <v>283000</v>
          </cell>
        </row>
        <row r="569">
          <cell r="B569" t="str">
            <v>Roman 32.5 x 97.5 Golongan B Rectified</v>
          </cell>
          <cell r="C569" t="str">
            <v>m2</v>
          </cell>
          <cell r="D569">
            <v>323000</v>
          </cell>
        </row>
        <row r="570">
          <cell r="B570" t="str">
            <v>Skirting Keramik 8/30 cm</v>
          </cell>
          <cell r="C570" t="str">
            <v>bh</v>
          </cell>
          <cell r="D570">
            <v>0</v>
          </cell>
        </row>
        <row r="571">
          <cell r="B571" t="str">
            <v>Dinding Porselen 11/11 cm</v>
          </cell>
          <cell r="C571" t="str">
            <v>m2</v>
          </cell>
          <cell r="D571">
            <v>25000</v>
          </cell>
        </row>
        <row r="572">
          <cell r="B572" t="str">
            <v>Dinding Porselen 10/20 cm</v>
          </cell>
          <cell r="C572" t="str">
            <v>m2</v>
          </cell>
          <cell r="D572">
            <v>28000</v>
          </cell>
        </row>
        <row r="573">
          <cell r="B573" t="str">
            <v>Dinding Porselen 20/20 cm</v>
          </cell>
          <cell r="C573" t="str">
            <v>m2</v>
          </cell>
          <cell r="D573">
            <v>29500</v>
          </cell>
        </row>
        <row r="574">
          <cell r="B574" t="str">
            <v>Keramik Dinding Artistik 10/20 cm Polished</v>
          </cell>
          <cell r="C574" t="str">
            <v>m2</v>
          </cell>
          <cell r="D574">
            <v>112000</v>
          </cell>
        </row>
        <row r="575">
          <cell r="B575" t="str">
            <v>Keramik Dinding Artistik 5/20 cm Polished</v>
          </cell>
          <cell r="C575" t="str">
            <v>m2</v>
          </cell>
          <cell r="D575">
            <v>123500</v>
          </cell>
        </row>
        <row r="576">
          <cell r="B576" t="str">
            <v>Dinding Marmer 30/60 cm</v>
          </cell>
          <cell r="C576" t="str">
            <v>m2</v>
          </cell>
          <cell r="D576">
            <v>190000</v>
          </cell>
        </row>
        <row r="577">
          <cell r="B577" t="str">
            <v>Bata pelapis (3x7x24cm)</v>
          </cell>
          <cell r="C577" t="str">
            <v>m2</v>
          </cell>
          <cell r="D577">
            <v>90000</v>
          </cell>
        </row>
        <row r="578">
          <cell r="B578" t="str">
            <v>Batu paras tempel</v>
          </cell>
          <cell r="C578" t="str">
            <v>m2</v>
          </cell>
          <cell r="D578">
            <v>125000</v>
          </cell>
        </row>
        <row r="579">
          <cell r="B579" t="str">
            <v>Batu tempel</v>
          </cell>
          <cell r="C579" t="str">
            <v>m2</v>
          </cell>
          <cell r="D579">
            <v>35000</v>
          </cell>
        </row>
        <row r="580">
          <cell r="B580" t="str">
            <v>Wallpaper standar</v>
          </cell>
          <cell r="C580" t="str">
            <v>roll</v>
          </cell>
          <cell r="D580">
            <v>55000</v>
          </cell>
        </row>
        <row r="581">
          <cell r="B581" t="str">
            <v>Wallpaper artistik</v>
          </cell>
          <cell r="C581" t="str">
            <v>roll</v>
          </cell>
          <cell r="D581">
            <v>95000</v>
          </cell>
        </row>
        <row r="582">
          <cell r="B582" t="str">
            <v>Wallpaper tebal</v>
          </cell>
          <cell r="C582" t="str">
            <v>roll</v>
          </cell>
          <cell r="D582">
            <v>146000</v>
          </cell>
        </row>
        <row r="583">
          <cell r="B583" t="str">
            <v>Ornamen Tempel Minimalis 400x200 (garis Besar)</v>
          </cell>
          <cell r="C583" t="str">
            <v>m2</v>
          </cell>
          <cell r="D583">
            <v>55000</v>
          </cell>
        </row>
        <row r="584">
          <cell r="B584" t="str">
            <v>Ornamen Tempel Minimalis 300x150 (garis Sedang)</v>
          </cell>
          <cell r="C584" t="str">
            <v>m2</v>
          </cell>
          <cell r="D584">
            <v>55000</v>
          </cell>
        </row>
        <row r="585">
          <cell r="B585" t="str">
            <v>Ornamen Tempel Minimalis 400x200 (garis Kecil)</v>
          </cell>
          <cell r="C585" t="str">
            <v>m2</v>
          </cell>
          <cell r="D585">
            <v>55000</v>
          </cell>
        </row>
        <row r="587">
          <cell r="B587" t="str">
            <v>BAHAN PENUTUP ATAP</v>
          </cell>
        </row>
        <row r="588">
          <cell r="B588" t="str">
            <v>Steel Corregouted Zincalum t. 0,45 mm Colorcoat</v>
          </cell>
          <cell r="C588" t="str">
            <v>m2</v>
          </cell>
          <cell r="D588">
            <v>152100</v>
          </cell>
        </row>
        <row r="589">
          <cell r="B589" t="str">
            <v>Genteng Metal stone chip</v>
          </cell>
          <cell r="C589" t="str">
            <v>m2</v>
          </cell>
          <cell r="D589">
            <v>169000</v>
          </cell>
        </row>
        <row r="590">
          <cell r="B590" t="str">
            <v>Nok Metal stone chip</v>
          </cell>
          <cell r="C590" t="str">
            <v>bh</v>
          </cell>
          <cell r="D590">
            <v>71000</v>
          </cell>
        </row>
        <row r="591">
          <cell r="B591" t="str">
            <v>Nok Steel Sheet Zincalum  t. 0,45 mm Colorcoat</v>
          </cell>
          <cell r="C591" t="str">
            <v>m'</v>
          </cell>
          <cell r="D591">
            <v>109850</v>
          </cell>
        </row>
        <row r="592">
          <cell r="B592" t="str">
            <v>Skrup 12 x 45 HWTG</v>
          </cell>
          <cell r="C592" t="str">
            <v>bh</v>
          </cell>
        </row>
        <row r="593">
          <cell r="B593" t="str">
            <v>Zincoated BJLS 30</v>
          </cell>
          <cell r="C593" t="str">
            <v>m2</v>
          </cell>
        </row>
        <row r="594">
          <cell r="B594" t="str">
            <v>Seng Plat BJLS 0,30</v>
          </cell>
          <cell r="C594" t="str">
            <v>m'</v>
          </cell>
          <cell r="D594">
            <v>84700</v>
          </cell>
        </row>
        <row r="595">
          <cell r="B595" t="str">
            <v>Seng Plat BJLS 0,20</v>
          </cell>
          <cell r="C595" t="str">
            <v>m'</v>
          </cell>
          <cell r="D595">
            <v>60060</v>
          </cell>
        </row>
        <row r="596">
          <cell r="B596" t="str">
            <v>Seng Gelombang BJLS 0,3</v>
          </cell>
          <cell r="C596" t="str">
            <v>lbr</v>
          </cell>
          <cell r="D596">
            <v>100100</v>
          </cell>
        </row>
        <row r="597">
          <cell r="B597" t="str">
            <v>Seng Gelombang BJLS 0,2</v>
          </cell>
          <cell r="C597" t="str">
            <v>lbr</v>
          </cell>
          <cell r="D597">
            <v>56210</v>
          </cell>
        </row>
        <row r="598">
          <cell r="B598" t="str">
            <v>Nok Seng Gelombang</v>
          </cell>
          <cell r="C598" t="str">
            <v>Lbr</v>
          </cell>
          <cell r="D598">
            <v>15000</v>
          </cell>
        </row>
        <row r="599">
          <cell r="B599" t="str">
            <v>Metal deck</v>
          </cell>
          <cell r="C599" t="str">
            <v>m2</v>
          </cell>
          <cell r="D599">
            <v>295750</v>
          </cell>
        </row>
        <row r="600">
          <cell r="B600" t="str">
            <v>Seng Plat BJLS 0,30</v>
          </cell>
          <cell r="C600" t="str">
            <v>m'</v>
          </cell>
          <cell r="D600">
            <v>70000</v>
          </cell>
        </row>
        <row r="601">
          <cell r="B601" t="str">
            <v>Seng Plat BJLS 0,20</v>
          </cell>
          <cell r="C601" t="str">
            <v>m'</v>
          </cell>
          <cell r="D601">
            <v>57000</v>
          </cell>
        </row>
        <row r="602">
          <cell r="B602" t="str">
            <v>Seng Gelombang BJLS 0,3</v>
          </cell>
          <cell r="C602" t="str">
            <v>lbr</v>
          </cell>
          <cell r="D602">
            <v>59000</v>
          </cell>
        </row>
        <row r="603">
          <cell r="B603" t="str">
            <v>Seng Gelombang BJLS 0,3</v>
          </cell>
          <cell r="C603" t="str">
            <v>lbr</v>
          </cell>
          <cell r="D603">
            <v>67000</v>
          </cell>
        </row>
        <row r="604">
          <cell r="B604" t="str">
            <v>Seng Gelombang BJLS 0,2</v>
          </cell>
          <cell r="C604" t="str">
            <v>lbr</v>
          </cell>
          <cell r="D604">
            <v>36000</v>
          </cell>
        </row>
        <row r="605">
          <cell r="B605" t="str">
            <v>Seng Gelombang BJLS 0,2</v>
          </cell>
          <cell r="C605" t="str">
            <v>lbr</v>
          </cell>
          <cell r="D605">
            <v>42000</v>
          </cell>
        </row>
        <row r="606">
          <cell r="B606" t="str">
            <v>Seng Gelombang BJLS 0,2</v>
          </cell>
          <cell r="C606" t="str">
            <v>lbr</v>
          </cell>
          <cell r="D606">
            <v>50000</v>
          </cell>
        </row>
        <row r="607">
          <cell r="B607" t="str">
            <v>Seng Talang BJLS 0,3</v>
          </cell>
          <cell r="C607" t="str">
            <v>lbr</v>
          </cell>
          <cell r="D607">
            <v>50000</v>
          </cell>
        </row>
        <row r="608">
          <cell r="B608" t="str">
            <v>Seng Gajah Mas</v>
          </cell>
        </row>
        <row r="609">
          <cell r="B609" t="str">
            <v>Seng Datar BJLS 30 uk (0,.90 x 1.00)</v>
          </cell>
          <cell r="C609" t="str">
            <v>lbr</v>
          </cell>
          <cell r="D609">
            <v>31500</v>
          </cell>
        </row>
        <row r="610">
          <cell r="B610" t="str">
            <v>Seng Gelombang BJLS (180 x 80)</v>
          </cell>
          <cell r="C610" t="str">
            <v>lbr</v>
          </cell>
          <cell r="D610">
            <v>41100</v>
          </cell>
        </row>
        <row r="611">
          <cell r="B611" t="str">
            <v>Seng Gelombang BJLS (120 x 80)</v>
          </cell>
          <cell r="C611" t="str">
            <v>lbr</v>
          </cell>
          <cell r="D611">
            <v>47700</v>
          </cell>
        </row>
        <row r="612">
          <cell r="B612" t="str">
            <v>Seng Gelombang BJLS (240x 80)</v>
          </cell>
          <cell r="C612" t="str">
            <v>lbr</v>
          </cell>
          <cell r="D612">
            <v>54300</v>
          </cell>
        </row>
        <row r="613">
          <cell r="B613" t="str">
            <v>Seng Gelombang BJLS (300 x 80)</v>
          </cell>
          <cell r="C613" t="str">
            <v>lbr</v>
          </cell>
          <cell r="D613">
            <v>67500</v>
          </cell>
        </row>
        <row r="614">
          <cell r="B614" t="str">
            <v>Seng Plat BJLS 30 L = 0,45 M</v>
          </cell>
          <cell r="C614" t="str">
            <v>M1</v>
          </cell>
          <cell r="D614">
            <v>34800</v>
          </cell>
        </row>
        <row r="615">
          <cell r="B615" t="str">
            <v>Seng Plat BJLS 30 L = 0,60 M</v>
          </cell>
          <cell r="C615" t="str">
            <v>M1</v>
          </cell>
          <cell r="D615">
            <v>39600</v>
          </cell>
        </row>
        <row r="616">
          <cell r="B616" t="str">
            <v>Seng Plat BJLS 30 L = 0,90 M</v>
          </cell>
          <cell r="C616" t="str">
            <v>M1</v>
          </cell>
          <cell r="D616">
            <v>49800</v>
          </cell>
        </row>
        <row r="617">
          <cell r="B617" t="str">
            <v>Seng Plat BJLS 28 (90 x 180) cm</v>
          </cell>
          <cell r="C617" t="str">
            <v>lbr</v>
          </cell>
          <cell r="D617">
            <v>83100</v>
          </cell>
        </row>
        <row r="618">
          <cell r="B618" t="str">
            <v>Bubung Seng Gelombang</v>
          </cell>
          <cell r="C618" t="str">
            <v>lbr</v>
          </cell>
          <cell r="D618">
            <v>93600</v>
          </cell>
        </row>
        <row r="619">
          <cell r="B619" t="str">
            <v>T=3.5 mm</v>
          </cell>
        </row>
        <row r="620">
          <cell r="B620" t="str">
            <v>Asbes/Harflex gelombang uk. 3000X800x3.5 mm</v>
          </cell>
          <cell r="C620" t="str">
            <v>lbr</v>
          </cell>
          <cell r="D620">
            <v>54700</v>
          </cell>
        </row>
        <row r="621">
          <cell r="B621" t="str">
            <v>Asbes/Harflex gelombang uk. 2700X800x3.5 mm</v>
          </cell>
          <cell r="C621" t="str">
            <v>lbr</v>
          </cell>
          <cell r="D621">
            <v>49250</v>
          </cell>
        </row>
        <row r="622">
          <cell r="B622" t="str">
            <v>Asbes/Harflex gelombang uk. 2400X800x3.5 mm</v>
          </cell>
          <cell r="C622" t="str">
            <v>lbr</v>
          </cell>
          <cell r="D622">
            <v>36450</v>
          </cell>
        </row>
        <row r="623">
          <cell r="B623" t="str">
            <v>Asbes/Harflex gelombang uk. 2000X800x3.5 mm</v>
          </cell>
          <cell r="C623" t="str">
            <v>lbr</v>
          </cell>
          <cell r="D623">
            <v>32350</v>
          </cell>
        </row>
        <row r="624">
          <cell r="B624" t="str">
            <v>Asbes/Harflex gelombang uk. 1800X800x3.5 mm</v>
          </cell>
          <cell r="C624" t="str">
            <v>lbr</v>
          </cell>
          <cell r="D624">
            <v>27450</v>
          </cell>
        </row>
        <row r="625">
          <cell r="B625" t="str">
            <v>Asbes/Harflex gelombang uk. 1500X800x3.5 mm</v>
          </cell>
          <cell r="C625" t="str">
            <v>lbr</v>
          </cell>
          <cell r="D625">
            <v>23050</v>
          </cell>
        </row>
        <row r="626">
          <cell r="B626" t="str">
            <v>T=4 mm</v>
          </cell>
        </row>
        <row r="627">
          <cell r="B627" t="str">
            <v>Asbes/Harflex gelombang uk. 3000x1050x4 mm</v>
          </cell>
          <cell r="C627" t="str">
            <v>lbr</v>
          </cell>
          <cell r="D627">
            <v>73000</v>
          </cell>
        </row>
        <row r="628">
          <cell r="B628" t="str">
            <v>Asbes/Harflex gelombang uk. 2700x1050x4 mm</v>
          </cell>
          <cell r="C628" t="str">
            <v>lbr</v>
          </cell>
          <cell r="D628">
            <v>65750</v>
          </cell>
        </row>
        <row r="629">
          <cell r="B629" t="str">
            <v>Asbes/Harflex gelombang uk. 2400x1050x4 mm</v>
          </cell>
          <cell r="C629" t="str">
            <v>lbr</v>
          </cell>
          <cell r="D629">
            <v>58450</v>
          </cell>
        </row>
        <row r="630">
          <cell r="B630" t="str">
            <v>Asbes/Harflex gelombang uk. 2000x1050x4 mm</v>
          </cell>
          <cell r="C630" t="str">
            <v>lbr</v>
          </cell>
          <cell r="D630">
            <v>51150</v>
          </cell>
        </row>
        <row r="631">
          <cell r="B631" t="str">
            <v>Asbes/Harflex gelombang uk. 1800x1050x4 mm</v>
          </cell>
          <cell r="C631" t="str">
            <v>lbr</v>
          </cell>
          <cell r="D631">
            <v>43850</v>
          </cell>
        </row>
        <row r="632">
          <cell r="B632" t="str">
            <v>Asbes/Harflex gelombang uk. 1500x1050x4 mm</v>
          </cell>
          <cell r="C632" t="str">
            <v>lbr</v>
          </cell>
          <cell r="D632">
            <v>36800</v>
          </cell>
        </row>
        <row r="633">
          <cell r="B633" t="str">
            <v>T=5 mm</v>
          </cell>
        </row>
        <row r="634">
          <cell r="B634" t="str">
            <v>Asbes/Harflex gelombang uk. 3000x1080x5 mm</v>
          </cell>
          <cell r="C634" t="str">
            <v>lbr</v>
          </cell>
          <cell r="D634">
            <v>98550</v>
          </cell>
        </row>
        <row r="635">
          <cell r="B635" t="str">
            <v>Asbes/Harflex gelombang uk. 2700x1080x5 mm</v>
          </cell>
          <cell r="C635" t="str">
            <v>lbr</v>
          </cell>
          <cell r="D635">
            <v>88700</v>
          </cell>
        </row>
        <row r="636">
          <cell r="B636" t="str">
            <v>Asbes/Harflex gelombang uk. 2400x1080x5 mm</v>
          </cell>
          <cell r="C636" t="str">
            <v>lbr</v>
          </cell>
          <cell r="D636">
            <v>78850</v>
          </cell>
        </row>
        <row r="637">
          <cell r="B637" t="str">
            <v>Asbes/Harflex gelombang uk. 2000x1080x5 mm</v>
          </cell>
          <cell r="C637" t="str">
            <v>lbr</v>
          </cell>
          <cell r="D637">
            <v>69000</v>
          </cell>
        </row>
        <row r="638">
          <cell r="B638" t="str">
            <v>Asbes/Harflex gelombang uk. 1800x1080x5 mm</v>
          </cell>
          <cell r="C638" t="str">
            <v>lbr</v>
          </cell>
          <cell r="D638">
            <v>59150</v>
          </cell>
        </row>
        <row r="639">
          <cell r="B639" t="str">
            <v>Asbes/Harflex gelombang uk. 1500x1080x5 mm</v>
          </cell>
          <cell r="C639" t="str">
            <v>lbr</v>
          </cell>
          <cell r="D639">
            <v>49300</v>
          </cell>
        </row>
        <row r="640">
          <cell r="B640" t="str">
            <v>T=6 mm</v>
          </cell>
        </row>
        <row r="641">
          <cell r="B641" t="str">
            <v>Asbes/Harflex gelombang uk. 3000x1080x6 mm</v>
          </cell>
          <cell r="C641" t="str">
            <v>lbr</v>
          </cell>
          <cell r="D641">
            <v>116500</v>
          </cell>
        </row>
        <row r="642">
          <cell r="B642" t="str">
            <v>Asbes/Harflex gelombang uk. 2700x1080x6 mm</v>
          </cell>
          <cell r="C642" t="str">
            <v>lbr</v>
          </cell>
          <cell r="D642">
            <v>104850</v>
          </cell>
        </row>
        <row r="643">
          <cell r="B643" t="str">
            <v>Asbes/Harflex gelombang uk. 2400x1080x6 mm</v>
          </cell>
          <cell r="C643" t="str">
            <v>lbr</v>
          </cell>
          <cell r="D643">
            <v>93250</v>
          </cell>
        </row>
        <row r="644">
          <cell r="B644" t="str">
            <v>Asbes/Harflex gelombang uk. 2000x1080x6 mm</v>
          </cell>
          <cell r="C644" t="str">
            <v>lbr</v>
          </cell>
          <cell r="D644">
            <v>81600</v>
          </cell>
        </row>
        <row r="645">
          <cell r="B645" t="str">
            <v>Asbes/Harflex gelombang uk. 1800x1080x6 mm</v>
          </cell>
          <cell r="C645" t="str">
            <v>lbr</v>
          </cell>
          <cell r="D645">
            <v>69900</v>
          </cell>
        </row>
        <row r="646">
          <cell r="B646" t="str">
            <v>Asbes/Harflex gelombang uk. 1500x1080x6 mm</v>
          </cell>
          <cell r="C646" t="str">
            <v>lbr</v>
          </cell>
          <cell r="D646">
            <v>58300</v>
          </cell>
        </row>
        <row r="647">
          <cell r="B647" t="str">
            <v>Aksesoris</v>
          </cell>
        </row>
        <row r="648">
          <cell r="B648" t="str">
            <v>Bubungan stel gelombang 920 mm</v>
          </cell>
          <cell r="C648" t="str">
            <v>lbr</v>
          </cell>
          <cell r="D648">
            <v>7100</v>
          </cell>
        </row>
        <row r="649">
          <cell r="B649" t="str">
            <v>Nok stel gelombang 800 mm</v>
          </cell>
          <cell r="C649" t="str">
            <v>lbr</v>
          </cell>
          <cell r="D649">
            <v>19000</v>
          </cell>
        </row>
        <row r="650">
          <cell r="B650" t="str">
            <v>Nok stel gelombang 1050 mm</v>
          </cell>
          <cell r="C650" t="str">
            <v>lbr</v>
          </cell>
          <cell r="D650">
            <v>25100</v>
          </cell>
        </row>
        <row r="651">
          <cell r="B651" t="str">
            <v>Nok stel gelombang 1080 mm</v>
          </cell>
          <cell r="C651" t="str">
            <v>lbr</v>
          </cell>
          <cell r="D651">
            <v>44700</v>
          </cell>
        </row>
        <row r="652">
          <cell r="B652" t="str">
            <v>Nok gel besar l.102 cm</v>
          </cell>
          <cell r="C652" t="str">
            <v>pcs</v>
          </cell>
          <cell r="D652">
            <v>25000</v>
          </cell>
        </row>
        <row r="653">
          <cell r="B653" t="str">
            <v>Nok gel kecil l.102 cm</v>
          </cell>
          <cell r="C653" t="str">
            <v>pcs</v>
          </cell>
          <cell r="D653">
            <v>23000</v>
          </cell>
        </row>
        <row r="654">
          <cell r="B654" t="str">
            <v>Rangka atap baja ringan</v>
          </cell>
          <cell r="C654" t="str">
            <v>m2</v>
          </cell>
          <cell r="D654">
            <v>180000</v>
          </cell>
        </row>
        <row r="655">
          <cell r="B655" t="str">
            <v>Polycarbonate Celar t. 8 mm</v>
          </cell>
          <cell r="C655" t="str">
            <v>m2</v>
          </cell>
        </row>
        <row r="656">
          <cell r="B656" t="str">
            <v>Bubungan stel gelombang 920 mm</v>
          </cell>
          <cell r="C656" t="str">
            <v>lbr</v>
          </cell>
          <cell r="D656">
            <v>9230</v>
          </cell>
        </row>
        <row r="657">
          <cell r="B657" t="str">
            <v>Nok stel gelombang 0.92 mm</v>
          </cell>
          <cell r="C657" t="str">
            <v>lbr</v>
          </cell>
          <cell r="D657">
            <v>8450</v>
          </cell>
        </row>
        <row r="658">
          <cell r="B658" t="str">
            <v>Nok stel gelombang 1050 mm</v>
          </cell>
          <cell r="C658" t="str">
            <v>lbr</v>
          </cell>
          <cell r="D658">
            <v>8450</v>
          </cell>
        </row>
        <row r="659">
          <cell r="B659" t="str">
            <v>Nok stel gelombang 1080 mm</v>
          </cell>
          <cell r="C659" t="str">
            <v>lbr</v>
          </cell>
          <cell r="D659">
            <v>8710</v>
          </cell>
        </row>
        <row r="660">
          <cell r="B660" t="str">
            <v>Nok gel besar l.102 cm</v>
          </cell>
          <cell r="C660" t="str">
            <v>pcs</v>
          </cell>
          <cell r="D660">
            <v>32500</v>
          </cell>
        </row>
        <row r="661">
          <cell r="B661" t="str">
            <v>Nok gel kecil l.102 cm</v>
          </cell>
          <cell r="C661" t="str">
            <v>pcs</v>
          </cell>
          <cell r="D661">
            <v>29900</v>
          </cell>
        </row>
        <row r="662">
          <cell r="B662" t="str">
            <v>Rangka atap baja ringan</v>
          </cell>
          <cell r="C662" t="str">
            <v>m2</v>
          </cell>
          <cell r="D662">
            <v>182000</v>
          </cell>
        </row>
        <row r="663">
          <cell r="B663" t="str">
            <v>Polycarbonate Celar t. 8 mm</v>
          </cell>
          <cell r="C663" t="str">
            <v>m2</v>
          </cell>
          <cell r="D663">
            <v>103048.4</v>
          </cell>
        </row>
        <row r="664">
          <cell r="B664" t="str">
            <v>Genteng Palentong Kecil</v>
          </cell>
          <cell r="C664" t="str">
            <v>Bh</v>
          </cell>
          <cell r="D664">
            <v>3500</v>
          </cell>
        </row>
        <row r="665">
          <cell r="B665" t="str">
            <v>Genteng Kodok</v>
          </cell>
          <cell r="C665" t="str">
            <v>Bh</v>
          </cell>
          <cell r="D665">
            <v>4700</v>
          </cell>
        </row>
        <row r="666">
          <cell r="B666" t="str">
            <v>Genteng Palentong Super</v>
          </cell>
          <cell r="C666" t="str">
            <v>Bh</v>
          </cell>
          <cell r="D666">
            <v>11000</v>
          </cell>
        </row>
        <row r="667">
          <cell r="B667" t="str">
            <v>Bubungan Genteng Palentong</v>
          </cell>
          <cell r="C667" t="str">
            <v>Bh</v>
          </cell>
          <cell r="D667">
            <v>4300</v>
          </cell>
        </row>
        <row r="668">
          <cell r="B668" t="str">
            <v>Bubungan Genteng Kodok</v>
          </cell>
          <cell r="C668" t="str">
            <v>Bh</v>
          </cell>
          <cell r="D668">
            <v>5200</v>
          </cell>
        </row>
        <row r="669">
          <cell r="B669" t="str">
            <v>Bubungan Palentong Super</v>
          </cell>
          <cell r="C669" t="str">
            <v>Bh</v>
          </cell>
          <cell r="D669">
            <v>13400</v>
          </cell>
        </row>
        <row r="670">
          <cell r="B670" t="str">
            <v>Atap Fiberglass</v>
          </cell>
          <cell r="C670" t="str">
            <v>Lbr</v>
          </cell>
          <cell r="D670">
            <v>170000</v>
          </cell>
        </row>
        <row r="671">
          <cell r="B671" t="str">
            <v>Genteng Beton Motif Natural</v>
          </cell>
          <cell r="C671" t="str">
            <v>Bh</v>
          </cell>
          <cell r="D671">
            <v>6000</v>
          </cell>
        </row>
        <row r="672">
          <cell r="B672" t="str">
            <v>Genteng Beton Motif Warna</v>
          </cell>
          <cell r="C672" t="str">
            <v>Bh</v>
          </cell>
          <cell r="D672">
            <v>6500</v>
          </cell>
        </row>
        <row r="673">
          <cell r="B673" t="str">
            <v>Genteng Beton Gelombang Natural</v>
          </cell>
          <cell r="C673" t="str">
            <v>Bh</v>
          </cell>
          <cell r="D673">
            <v>5000</v>
          </cell>
        </row>
        <row r="674">
          <cell r="B674" t="str">
            <v>Genteng Beton Gelombang Warna</v>
          </cell>
          <cell r="C674" t="str">
            <v>Bh</v>
          </cell>
          <cell r="D674">
            <v>5500</v>
          </cell>
        </row>
        <row r="675">
          <cell r="B675" t="str">
            <v>Nok Genteng Beton Motif Natural</v>
          </cell>
          <cell r="C675" t="str">
            <v>Bh</v>
          </cell>
          <cell r="D675">
            <v>7000</v>
          </cell>
        </row>
        <row r="676">
          <cell r="B676" t="str">
            <v>Nok Genteng Beton Motif Warna</v>
          </cell>
          <cell r="C676" t="str">
            <v>Bh</v>
          </cell>
          <cell r="D676">
            <v>7500</v>
          </cell>
        </row>
        <row r="677">
          <cell r="B677" t="str">
            <v>Nok Genteng Beton Gelombang Natural</v>
          </cell>
          <cell r="C677" t="str">
            <v>Bh</v>
          </cell>
          <cell r="D677">
            <v>6000</v>
          </cell>
        </row>
        <row r="678">
          <cell r="B678" t="str">
            <v>Nok Genteng Beton Gelombang Warna</v>
          </cell>
          <cell r="C678" t="str">
            <v>Bh</v>
          </cell>
          <cell r="D678">
            <v>6500</v>
          </cell>
        </row>
        <row r="679">
          <cell r="B679" t="str">
            <v>Genteng Beton</v>
          </cell>
          <cell r="C679" t="str">
            <v>Bh</v>
          </cell>
          <cell r="D679">
            <v>4680</v>
          </cell>
        </row>
        <row r="680">
          <cell r="B680" t="str">
            <v>Nok Genteng Beton</v>
          </cell>
          <cell r="C680" t="str">
            <v>Bh</v>
          </cell>
          <cell r="D680">
            <v>4681.3</v>
          </cell>
        </row>
        <row r="681">
          <cell r="B681" t="str">
            <v>Genteng Aspal</v>
          </cell>
          <cell r="C681" t="str">
            <v>Bh</v>
          </cell>
          <cell r="D681">
            <v>3602</v>
          </cell>
        </row>
        <row r="682">
          <cell r="B682" t="str">
            <v>Nok Genteng aspal</v>
          </cell>
          <cell r="C682" t="str">
            <v>Bh</v>
          </cell>
          <cell r="D682">
            <v>3603</v>
          </cell>
        </row>
        <row r="683">
          <cell r="B683" t="str">
            <v>Plastic Aerator</v>
          </cell>
          <cell r="C683" t="str">
            <v>Bh</v>
          </cell>
          <cell r="D683">
            <v>3000</v>
          </cell>
        </row>
        <row r="684">
          <cell r="B684" t="str">
            <v>Genteng Metal</v>
          </cell>
          <cell r="C684" t="str">
            <v>Lbr</v>
          </cell>
          <cell r="D684">
            <v>78000</v>
          </cell>
        </row>
        <row r="685">
          <cell r="B685" t="str">
            <v>Nok Genteng Metal</v>
          </cell>
          <cell r="C685" t="str">
            <v>Lbr</v>
          </cell>
          <cell r="D685">
            <v>65000</v>
          </cell>
        </row>
        <row r="686">
          <cell r="B686" t="str">
            <v>Atap Sirap</v>
          </cell>
          <cell r="C686" t="str">
            <v>Bh</v>
          </cell>
          <cell r="D686">
            <v>3606</v>
          </cell>
        </row>
        <row r="687">
          <cell r="B687" t="str">
            <v>Nok Atap Sirap</v>
          </cell>
          <cell r="C687" t="str">
            <v>m1</v>
          </cell>
          <cell r="D687">
            <v>3607</v>
          </cell>
        </row>
        <row r="688">
          <cell r="B688" t="str">
            <v>besi</v>
          </cell>
          <cell r="C688" t="str">
            <v>m2</v>
          </cell>
          <cell r="D688">
            <v>7800</v>
          </cell>
        </row>
        <row r="689">
          <cell r="B689" t="str">
            <v>Atap Plastik Gelombang Besar</v>
          </cell>
          <cell r="C689" t="str">
            <v>lbr</v>
          </cell>
          <cell r="D689">
            <v>55000</v>
          </cell>
        </row>
        <row r="690">
          <cell r="B690" t="str">
            <v>Atap Ardek Gelombang Kecil</v>
          </cell>
          <cell r="C690" t="str">
            <v>lbr</v>
          </cell>
          <cell r="D690">
            <v>55000</v>
          </cell>
        </row>
        <row r="691">
          <cell r="B691" t="str">
            <v>Atap Ardek Gelombang Besar</v>
          </cell>
          <cell r="C691" t="str">
            <v>lbr</v>
          </cell>
          <cell r="D691">
            <v>52000</v>
          </cell>
        </row>
        <row r="692">
          <cell r="B692" t="str">
            <v>Atep Sakura Roof 2 Susun</v>
          </cell>
          <cell r="C692" t="str">
            <v>lbr</v>
          </cell>
          <cell r="D692">
            <v>36000</v>
          </cell>
        </row>
        <row r="693">
          <cell r="B693" t="str">
            <v>Atep Sakura Roof 3 Susun</v>
          </cell>
          <cell r="C693" t="str">
            <v>bh</v>
          </cell>
          <cell r="D693">
            <v>50000</v>
          </cell>
        </row>
        <row r="694">
          <cell r="B694" t="str">
            <v>Nok Atap Sakura Roof</v>
          </cell>
          <cell r="C694" t="str">
            <v>bh</v>
          </cell>
          <cell r="D694">
            <v>27500</v>
          </cell>
        </row>
        <row r="695">
          <cell r="B695" t="str">
            <v>Genteng Plentong Super</v>
          </cell>
          <cell r="C695" t="str">
            <v>bh</v>
          </cell>
          <cell r="D695">
            <v>3000</v>
          </cell>
        </row>
        <row r="696">
          <cell r="B696" t="str">
            <v>Nok Genteng Plentong</v>
          </cell>
          <cell r="C696" t="str">
            <v>bh</v>
          </cell>
          <cell r="D696">
            <v>3000</v>
          </cell>
        </row>
        <row r="697">
          <cell r="B697" t="str">
            <v>Nok Genteng Kodok</v>
          </cell>
          <cell r="C697" t="str">
            <v>bh</v>
          </cell>
          <cell r="D697">
            <v>2800</v>
          </cell>
        </row>
        <row r="698">
          <cell r="B698" t="str">
            <v>Nok Plentong Super</v>
          </cell>
          <cell r="C698" t="str">
            <v>bh</v>
          </cell>
          <cell r="D698">
            <v>3400</v>
          </cell>
        </row>
        <row r="699">
          <cell r="B699" t="str">
            <v>Roof Fiberglass 6K</v>
          </cell>
          <cell r="C699" t="str">
            <v>bh</v>
          </cell>
          <cell r="D699">
            <v>35000</v>
          </cell>
        </row>
        <row r="700">
          <cell r="B700" t="str">
            <v>Roof Fiberglass 7K</v>
          </cell>
          <cell r="C700" t="str">
            <v>lbr</v>
          </cell>
          <cell r="D700">
            <v>40000</v>
          </cell>
        </row>
        <row r="701">
          <cell r="B701" t="str">
            <v>Roof Fiberglass 8K</v>
          </cell>
          <cell r="C701" t="str">
            <v>lbr</v>
          </cell>
          <cell r="D701">
            <v>50000</v>
          </cell>
        </row>
        <row r="702">
          <cell r="B702" t="str">
            <v>Nok Atap Alumunium</v>
          </cell>
          <cell r="C702" t="str">
            <v>lbr</v>
          </cell>
          <cell r="D702">
            <v>30000</v>
          </cell>
        </row>
        <row r="703">
          <cell r="B703" t="str">
            <v>Alumunium Bondex</v>
          </cell>
          <cell r="C703" t="str">
            <v>lbr</v>
          </cell>
          <cell r="D703">
            <v>140000</v>
          </cell>
        </row>
        <row r="704">
          <cell r="B704" t="str">
            <v>Alumunium Sirip</v>
          </cell>
          <cell r="C704" t="str">
            <v>m2</v>
          </cell>
          <cell r="D704">
            <v>175000</v>
          </cell>
        </row>
        <row r="705">
          <cell r="B705" t="str">
            <v>Alumunium Foil</v>
          </cell>
          <cell r="C705" t="str">
            <v>m2</v>
          </cell>
          <cell r="D705">
            <v>6000</v>
          </cell>
        </row>
        <row r="706">
          <cell r="B706" t="str">
            <v>Listplank</v>
          </cell>
          <cell r="C706" t="str">
            <v>m1</v>
          </cell>
          <cell r="D706">
            <v>78000</v>
          </cell>
        </row>
        <row r="707">
          <cell r="B707" t="str">
            <v>Roof Botton R33</v>
          </cell>
          <cell r="C707" t="str">
            <v>Btg</v>
          </cell>
          <cell r="D707">
            <v>35750</v>
          </cell>
        </row>
        <row r="708">
          <cell r="B708" t="str">
            <v>Self Drilling Screw</v>
          </cell>
        </row>
        <row r="710">
          <cell r="B710" t="str">
            <v>BAHAN PERLINDUNGAN</v>
          </cell>
        </row>
        <row r="711">
          <cell r="B711" t="str">
            <v>Waterproofing Coating</v>
          </cell>
          <cell r="C711" t="str">
            <v>m2</v>
          </cell>
          <cell r="D711">
            <v>125000</v>
          </cell>
        </row>
        <row r="712">
          <cell r="B712" t="str">
            <v>Adukan perekat FK101</v>
          </cell>
          <cell r="C712" t="str">
            <v>kg</v>
          </cell>
        </row>
        <row r="713">
          <cell r="B713" t="str">
            <v>Adukan perekat FK111</v>
          </cell>
          <cell r="C713" t="str">
            <v>kg</v>
          </cell>
        </row>
        <row r="714">
          <cell r="B714" t="str">
            <v>Pengisi Nat FS NAT</v>
          </cell>
          <cell r="C714" t="str">
            <v>kg</v>
          </cell>
        </row>
        <row r="715">
          <cell r="B715" t="str">
            <v>Hardener</v>
          </cell>
          <cell r="C715" t="str">
            <v>kg</v>
          </cell>
          <cell r="D715">
            <v>10140</v>
          </cell>
        </row>
        <row r="717">
          <cell r="B717" t="str">
            <v>KAWAT / MESH</v>
          </cell>
        </row>
        <row r="718">
          <cell r="B718" t="str">
            <v>Kawat Beton Hitam</v>
          </cell>
          <cell r="C718" t="str">
            <v>kg</v>
          </cell>
          <cell r="D718">
            <v>27000</v>
          </cell>
        </row>
        <row r="719">
          <cell r="B719" t="str">
            <v>Kawat Galvanisir</v>
          </cell>
          <cell r="C719" t="str">
            <v>Kg</v>
          </cell>
          <cell r="D719">
            <v>32000</v>
          </cell>
        </row>
        <row r="720">
          <cell r="B720" t="str">
            <v>Ram Kawat Ayam</v>
          </cell>
          <cell r="C720" t="str">
            <v>m2</v>
          </cell>
          <cell r="D720">
            <v>36000</v>
          </cell>
        </row>
        <row r="721">
          <cell r="B721" t="str">
            <v>Kawat Bronjong Galvanisir</v>
          </cell>
          <cell r="C721" t="str">
            <v>kg</v>
          </cell>
          <cell r="D721">
            <v>22000</v>
          </cell>
        </row>
        <row r="722">
          <cell r="B722" t="str">
            <v>Kawat Duri</v>
          </cell>
          <cell r="C722" t="str">
            <v>m2</v>
          </cell>
          <cell r="D722">
            <v>27500</v>
          </cell>
        </row>
        <row r="723">
          <cell r="B723" t="str">
            <v>Kawat Harmoni</v>
          </cell>
          <cell r="C723" t="str">
            <v>m'</v>
          </cell>
          <cell r="D723">
            <v>85000</v>
          </cell>
        </row>
        <row r="724">
          <cell r="B724" t="str">
            <v>Kawat Nyamuk Plastik</v>
          </cell>
          <cell r="C724" t="str">
            <v>m'</v>
          </cell>
          <cell r="D724">
            <v>10000</v>
          </cell>
        </row>
        <row r="725">
          <cell r="B725" t="str">
            <v>Kawat Nyamuk Besi</v>
          </cell>
          <cell r="C725" t="str">
            <v>m'</v>
          </cell>
          <cell r="D725">
            <v>28000</v>
          </cell>
        </row>
        <row r="726">
          <cell r="B726" t="str">
            <v>Kawat Las 2,6</v>
          </cell>
          <cell r="C726" t="str">
            <v>Kg</v>
          </cell>
          <cell r="D726">
            <v>27500</v>
          </cell>
        </row>
        <row r="727">
          <cell r="B727" t="str">
            <v>Pagar Kawat Jaring Galv.</v>
          </cell>
          <cell r="C727" t="str">
            <v>Glg</v>
          </cell>
          <cell r="D727">
            <v>210000</v>
          </cell>
        </row>
        <row r="729">
          <cell r="B729" t="str">
            <v>BAHAN KACA :</v>
          </cell>
        </row>
        <row r="730">
          <cell r="B730" t="str">
            <v>Kaca Polos 3 mm</v>
          </cell>
          <cell r="C730" t="str">
            <v>m2</v>
          </cell>
          <cell r="D730">
            <v>70000</v>
          </cell>
        </row>
        <row r="731">
          <cell r="B731" t="str">
            <v>Kaca Polos 5 mm</v>
          </cell>
          <cell r="C731" t="str">
            <v>m2</v>
          </cell>
          <cell r="D731">
            <v>95000</v>
          </cell>
        </row>
        <row r="732">
          <cell r="B732" t="str">
            <v>Kaca Polos 6 mm</v>
          </cell>
          <cell r="C732" t="str">
            <v>m2</v>
          </cell>
          <cell r="D732">
            <v>125000</v>
          </cell>
        </row>
        <row r="733">
          <cell r="B733" t="str">
            <v>Kaca Polos 8 mm</v>
          </cell>
          <cell r="C733" t="str">
            <v>m2</v>
          </cell>
          <cell r="D733">
            <v>180000</v>
          </cell>
        </row>
        <row r="734">
          <cell r="B734" t="str">
            <v>Kaca Polos 10 mm</v>
          </cell>
          <cell r="C734" t="str">
            <v>m2</v>
          </cell>
          <cell r="D734">
            <v>260000</v>
          </cell>
        </row>
        <row r="735">
          <cell r="B735" t="str">
            <v>Kaca Polos 12 mm</v>
          </cell>
          <cell r="C735" t="str">
            <v>m2</v>
          </cell>
          <cell r="D735">
            <v>290000</v>
          </cell>
        </row>
        <row r="736">
          <cell r="B736" t="str">
            <v>Kaca Polos 15 mm</v>
          </cell>
          <cell r="C736" t="str">
            <v>m2</v>
          </cell>
          <cell r="D736">
            <v>1300000</v>
          </cell>
        </row>
        <row r="737">
          <cell r="B737" t="str">
            <v>Kaca Polos 19 mm</v>
          </cell>
          <cell r="C737" t="str">
            <v>m2</v>
          </cell>
          <cell r="D737">
            <v>1600000</v>
          </cell>
        </row>
        <row r="738">
          <cell r="B738" t="str">
            <v>Kaca Rayben 3 mm</v>
          </cell>
          <cell r="C738" t="str">
            <v>lbr</v>
          </cell>
          <cell r="D738">
            <v>133000</v>
          </cell>
        </row>
        <row r="739">
          <cell r="B739" t="str">
            <v>Kaca Rayben 5 mm</v>
          </cell>
          <cell r="C739" t="str">
            <v>lbr</v>
          </cell>
          <cell r="D739">
            <v>210000</v>
          </cell>
        </row>
        <row r="740">
          <cell r="B740" t="str">
            <v>Kaca Tempered 5 mm</v>
          </cell>
          <cell r="C740" t="str">
            <v>m2</v>
          </cell>
          <cell r="D740">
            <v>200000</v>
          </cell>
        </row>
        <row r="741">
          <cell r="B741" t="str">
            <v>Kaca Tempered 6 mm</v>
          </cell>
          <cell r="C741" t="str">
            <v>m2</v>
          </cell>
          <cell r="D741">
            <v>250000</v>
          </cell>
        </row>
        <row r="742">
          <cell r="B742" t="str">
            <v>Kaca Tempered 8 mm</v>
          </cell>
          <cell r="C742" t="str">
            <v>m2</v>
          </cell>
          <cell r="D742">
            <v>375000</v>
          </cell>
        </row>
        <row r="743">
          <cell r="B743" t="str">
            <v>Kaca Tempered 10 mm</v>
          </cell>
          <cell r="C743" t="str">
            <v>m2</v>
          </cell>
          <cell r="D743">
            <v>400000</v>
          </cell>
        </row>
        <row r="744">
          <cell r="B744" t="str">
            <v>Kaca Tempered 12 mm</v>
          </cell>
          <cell r="C744" t="str">
            <v>m2</v>
          </cell>
          <cell r="D744">
            <v>450000</v>
          </cell>
        </row>
        <row r="745">
          <cell r="B745" t="str">
            <v>Kaca Tempered 15 mm</v>
          </cell>
          <cell r="C745" t="str">
            <v>m2</v>
          </cell>
          <cell r="D745">
            <v>1950000</v>
          </cell>
        </row>
        <row r="746">
          <cell r="B746" t="str">
            <v>Kaca Tempered 19 mm</v>
          </cell>
          <cell r="C746" t="str">
            <v>m2</v>
          </cell>
          <cell r="D746">
            <v>2450000</v>
          </cell>
        </row>
        <row r="747">
          <cell r="B747" t="str">
            <v>Kaca nako polos 5 mm</v>
          </cell>
          <cell r="C747" t="str">
            <v>daun</v>
          </cell>
          <cell r="D747">
            <v>215000</v>
          </cell>
        </row>
        <row r="748">
          <cell r="B748" t="str">
            <v>Kaca nako rayben 5 mm</v>
          </cell>
          <cell r="C748" t="str">
            <v>daun</v>
          </cell>
          <cell r="D748">
            <v>192500</v>
          </cell>
        </row>
        <row r="749">
          <cell r="B749" t="str">
            <v>Rangka nako</v>
          </cell>
          <cell r="C749" t="str">
            <v>daun</v>
          </cell>
          <cell r="D749">
            <v>18000</v>
          </cell>
        </row>
        <row r="750">
          <cell r="B750" t="str">
            <v>Besi nako</v>
          </cell>
          <cell r="C750" t="str">
            <v>m</v>
          </cell>
        </row>
        <row r="751">
          <cell r="B751" t="str">
            <v>Kaca nako t.6 mm + rangka</v>
          </cell>
          <cell r="C751" t="str">
            <v>m2</v>
          </cell>
          <cell r="D751">
            <v>75000</v>
          </cell>
        </row>
        <row r="752">
          <cell r="B752" t="str">
            <v>Kaca Cermin 5 mm</v>
          </cell>
          <cell r="C752" t="str">
            <v>m2</v>
          </cell>
          <cell r="D752">
            <v>162500</v>
          </cell>
        </row>
        <row r="753">
          <cell r="B753" t="str">
            <v>KacaCermin 6 mm</v>
          </cell>
          <cell r="C753" t="str">
            <v>m2</v>
          </cell>
          <cell r="D753">
            <v>266500</v>
          </cell>
        </row>
        <row r="754">
          <cell r="B754" t="str">
            <v>Kaca Buram 12mm</v>
          </cell>
          <cell r="C754" t="str">
            <v>m2</v>
          </cell>
          <cell r="D754">
            <v>390000</v>
          </cell>
        </row>
        <row r="755">
          <cell r="B755" t="str">
            <v>Kaca nako dengan Trali 6 klip</v>
          </cell>
          <cell r="C755" t="str">
            <v>Set</v>
          </cell>
          <cell r="D755">
            <v>195000</v>
          </cell>
        </row>
        <row r="756">
          <cell r="B756" t="str">
            <v>Kaca nako dengan Trali 7 klip</v>
          </cell>
          <cell r="C756" t="str">
            <v>Set</v>
          </cell>
          <cell r="D756">
            <v>220000</v>
          </cell>
        </row>
        <row r="757">
          <cell r="B757" t="str">
            <v>Kaca nako dengan Trali 8 klip</v>
          </cell>
          <cell r="C757" t="str">
            <v>Set</v>
          </cell>
          <cell r="D757">
            <v>240000</v>
          </cell>
        </row>
        <row r="758">
          <cell r="B758" t="str">
            <v>Kaca nako dengan Trali 9 klip</v>
          </cell>
          <cell r="C758" t="str">
            <v>Set</v>
          </cell>
          <cell r="D758">
            <v>270000</v>
          </cell>
        </row>
        <row r="759">
          <cell r="B759" t="str">
            <v>Kaca nako dengan Trali 10 klip</v>
          </cell>
          <cell r="C759" t="str">
            <v>Set</v>
          </cell>
          <cell r="D759">
            <v>290000</v>
          </cell>
        </row>
        <row r="760">
          <cell r="B760" t="str">
            <v>Stang Lovers 5 klip</v>
          </cell>
          <cell r="C760" t="str">
            <v>Pas</v>
          </cell>
          <cell r="D760">
            <v>75000</v>
          </cell>
        </row>
        <row r="761">
          <cell r="B761" t="str">
            <v>Stang Lovers 6 klip</v>
          </cell>
          <cell r="C761" t="str">
            <v>Pas</v>
          </cell>
          <cell r="D761">
            <v>115000</v>
          </cell>
        </row>
        <row r="762">
          <cell r="B762" t="str">
            <v>Stang Lovers 7 klip</v>
          </cell>
          <cell r="C762" t="str">
            <v>Pas</v>
          </cell>
          <cell r="D762">
            <v>105000</v>
          </cell>
        </row>
        <row r="763">
          <cell r="B763" t="str">
            <v>Stang Lovers 8 klip</v>
          </cell>
          <cell r="C763" t="str">
            <v>Pas</v>
          </cell>
          <cell r="D763">
            <v>120000</v>
          </cell>
        </row>
        <row r="764">
          <cell r="B764" t="str">
            <v>Stang Lovers 9 klip</v>
          </cell>
          <cell r="C764" t="str">
            <v>Pas</v>
          </cell>
          <cell r="D764">
            <v>135000</v>
          </cell>
        </row>
        <row r="765">
          <cell r="B765" t="str">
            <v>Stang Lovers 10 klip</v>
          </cell>
          <cell r="C765" t="str">
            <v>Pas</v>
          </cell>
          <cell r="D765">
            <v>150000</v>
          </cell>
        </row>
        <row r="766">
          <cell r="B766" t="str">
            <v>Besi tralis nako</v>
          </cell>
          <cell r="C766" t="str">
            <v>bh</v>
          </cell>
          <cell r="D766">
            <v>22000</v>
          </cell>
        </row>
        <row r="767">
          <cell r="B767" t="str">
            <v>Kaca Lover Bening</v>
          </cell>
          <cell r="C767" t="str">
            <v>lbr</v>
          </cell>
          <cell r="D767">
            <v>12000</v>
          </cell>
        </row>
        <row r="768">
          <cell r="B768" t="str">
            <v>Kaca Lover Buram</v>
          </cell>
          <cell r="C768" t="str">
            <v>lbr</v>
          </cell>
          <cell r="D768">
            <v>23000</v>
          </cell>
        </row>
        <row r="769">
          <cell r="B769" t="str">
            <v>Kaca Lover Rayben</v>
          </cell>
          <cell r="C769" t="str">
            <v>lbr</v>
          </cell>
          <cell r="D769">
            <v>15000</v>
          </cell>
        </row>
        <row r="771">
          <cell r="B771" t="str">
            <v>BAHAN PAKU DAN MUR BAUT :</v>
          </cell>
        </row>
        <row r="772">
          <cell r="B772" t="str">
            <v>Paku 1 s/d 3 cm</v>
          </cell>
          <cell r="C772" t="str">
            <v>kg</v>
          </cell>
          <cell r="D772">
            <v>20020</v>
          </cell>
        </row>
        <row r="773">
          <cell r="B773" t="str">
            <v>Paku 4 s/d 7 cm</v>
          </cell>
          <cell r="C773" t="str">
            <v>kg</v>
          </cell>
          <cell r="D773">
            <v>36000</v>
          </cell>
        </row>
        <row r="774">
          <cell r="B774" t="str">
            <v>Paku 8 s/d 12 cm</v>
          </cell>
          <cell r="C774" t="str">
            <v>kg</v>
          </cell>
          <cell r="D774">
            <v>36000</v>
          </cell>
        </row>
        <row r="775">
          <cell r="B775" t="str">
            <v>Paku payung</v>
          </cell>
          <cell r="C775" t="str">
            <v>bh</v>
          </cell>
          <cell r="D775">
            <v>500</v>
          </cell>
        </row>
        <row r="776">
          <cell r="B776" t="str">
            <v>Besi Begel Kuda-kuda</v>
          </cell>
          <cell r="C776" t="str">
            <v>kg</v>
          </cell>
        </row>
        <row r="777">
          <cell r="B777" t="str">
            <v>Duk angker</v>
          </cell>
          <cell r="C777" t="str">
            <v>kg</v>
          </cell>
        </row>
        <row r="778">
          <cell r="B778" t="str">
            <v>Angker Mur Bout 19 mm p. 90 cm</v>
          </cell>
          <cell r="C778" t="str">
            <v>bh</v>
          </cell>
        </row>
        <row r="779">
          <cell r="B779" t="str">
            <v>Mur Baut HTB dia 16 s/d 19 mm  p. 5 cm</v>
          </cell>
          <cell r="C779" t="str">
            <v>bh</v>
          </cell>
        </row>
        <row r="780">
          <cell r="B780" t="str">
            <v>Mur Baut Biasa dia 16 s/d 19 mm  p. 5 cm</v>
          </cell>
          <cell r="C780" t="str">
            <v>bh</v>
          </cell>
        </row>
        <row r="781">
          <cell r="B781" t="str">
            <v>Wartermur 12 mm</v>
          </cell>
          <cell r="C781" t="str">
            <v>bh</v>
          </cell>
        </row>
        <row r="782">
          <cell r="B782" t="str">
            <v>Klem Alm</v>
          </cell>
          <cell r="C782" t="str">
            <v>bh</v>
          </cell>
          <cell r="D782" t="str">
            <v>-</v>
          </cell>
        </row>
        <row r="783">
          <cell r="B783" t="str">
            <v>Skrup</v>
          </cell>
          <cell r="C783" t="str">
            <v>bh</v>
          </cell>
          <cell r="D783">
            <v>333.66666666666669</v>
          </cell>
        </row>
        <row r="784">
          <cell r="B784" t="str">
            <v>Paku Skrup</v>
          </cell>
          <cell r="C784" t="str">
            <v>Kg</v>
          </cell>
          <cell r="D784">
            <v>20000</v>
          </cell>
        </row>
        <row r="785">
          <cell r="B785" t="str">
            <v>Paku Pancing</v>
          </cell>
          <cell r="C785" t="str">
            <v>Kg</v>
          </cell>
          <cell r="D785">
            <v>18700</v>
          </cell>
        </row>
        <row r="786">
          <cell r="B786" t="str">
            <v>Paku Biasa</v>
          </cell>
          <cell r="C786" t="str">
            <v>kg</v>
          </cell>
          <cell r="D786">
            <v>15000</v>
          </cell>
        </row>
        <row r="787">
          <cell r="B787" t="str">
            <v>Paku Seng</v>
          </cell>
          <cell r="C787" t="str">
            <v>kg</v>
          </cell>
          <cell r="D787">
            <v>25000</v>
          </cell>
        </row>
        <row r="788">
          <cell r="B788" t="str">
            <v>Paku Triplex</v>
          </cell>
          <cell r="C788" t="str">
            <v>kg</v>
          </cell>
          <cell r="D788">
            <v>22500</v>
          </cell>
        </row>
        <row r="789">
          <cell r="B789" t="str">
            <v>Paku Persegi</v>
          </cell>
          <cell r="C789" t="str">
            <v>kg</v>
          </cell>
          <cell r="D789">
            <v>22500</v>
          </cell>
        </row>
        <row r="790">
          <cell r="B790" t="str">
            <v>Paku Ardex</v>
          </cell>
          <cell r="C790" t="str">
            <v>kg</v>
          </cell>
          <cell r="D790">
            <v>25000</v>
          </cell>
        </row>
        <row r="791">
          <cell r="B791" t="str">
            <v>Paku Asbes</v>
          </cell>
          <cell r="C791" t="str">
            <v>kg</v>
          </cell>
          <cell r="D791">
            <v>25000</v>
          </cell>
        </row>
        <row r="792">
          <cell r="B792" t="str">
            <v>Paku Tembok 7-10 cm</v>
          </cell>
          <cell r="C792" t="str">
            <v>kg</v>
          </cell>
          <cell r="D792">
            <v>25000</v>
          </cell>
        </row>
        <row r="793">
          <cell r="B793" t="str">
            <v>Paku Jembatan</v>
          </cell>
          <cell r="C793" t="str">
            <v>kg</v>
          </cell>
          <cell r="D793">
            <v>25000</v>
          </cell>
        </row>
        <row r="794">
          <cell r="B794" t="str">
            <v>Mur Baut ID.3/8" - 7" s/d 14"</v>
          </cell>
          <cell r="C794" t="str">
            <v>bh</v>
          </cell>
          <cell r="D794">
            <v>10000</v>
          </cell>
        </row>
        <row r="795">
          <cell r="B795" t="str">
            <v>Skrup</v>
          </cell>
          <cell r="C795" t="str">
            <v>bh</v>
          </cell>
          <cell r="D795">
            <v>500</v>
          </cell>
        </row>
        <row r="797">
          <cell r="B797" t="str">
            <v xml:space="preserve">BAHAN FINISHING : </v>
          </cell>
        </row>
        <row r="798">
          <cell r="B798" t="str">
            <v>Besi:</v>
          </cell>
        </row>
        <row r="799">
          <cell r="B799" t="str">
            <v>Dempul Besi</v>
          </cell>
          <cell r="C799" t="str">
            <v>Kg</v>
          </cell>
          <cell r="D799">
            <v>24640</v>
          </cell>
        </row>
        <row r="800">
          <cell r="B800" t="str">
            <v>Cat Dasar / meni besi</v>
          </cell>
          <cell r="C800" t="str">
            <v>Kg</v>
          </cell>
          <cell r="D800">
            <v>28336</v>
          </cell>
        </row>
        <row r="801">
          <cell r="B801" t="str">
            <v>Cat Besi</v>
          </cell>
          <cell r="C801" t="str">
            <v>Kg</v>
          </cell>
          <cell r="D801">
            <v>30800</v>
          </cell>
        </row>
        <row r="802">
          <cell r="B802" t="str">
            <v>Thinner</v>
          </cell>
          <cell r="C802" t="str">
            <v>Ltr</v>
          </cell>
          <cell r="D802">
            <v>27720</v>
          </cell>
        </row>
        <row r="803">
          <cell r="B803" t="str">
            <v>Terpentin</v>
          </cell>
          <cell r="C803" t="str">
            <v>Ltr</v>
          </cell>
          <cell r="D803">
            <v>7500</v>
          </cell>
        </row>
        <row r="805">
          <cell r="B805" t="str">
            <v>Kayu :</v>
          </cell>
        </row>
        <row r="806">
          <cell r="B806" t="str">
            <v>Dempul Kayu</v>
          </cell>
          <cell r="C806" t="str">
            <v>Kg</v>
          </cell>
          <cell r="D806">
            <v>24640</v>
          </cell>
        </row>
        <row r="807">
          <cell r="B807" t="str">
            <v>Cat Dasar / meni kayu</v>
          </cell>
          <cell r="C807" t="str">
            <v>Kg</v>
          </cell>
          <cell r="D807">
            <v>28336</v>
          </cell>
        </row>
        <row r="808">
          <cell r="B808" t="str">
            <v>Cat Kayu</v>
          </cell>
          <cell r="C808" t="str">
            <v>Kg</v>
          </cell>
          <cell r="D808">
            <v>30800</v>
          </cell>
        </row>
        <row r="809">
          <cell r="B809" t="str">
            <v>Plamir Kayu</v>
          </cell>
          <cell r="C809" t="str">
            <v>Kg</v>
          </cell>
          <cell r="D809">
            <v>17890</v>
          </cell>
        </row>
        <row r="810">
          <cell r="B810" t="str">
            <v>Teak Oil</v>
          </cell>
          <cell r="C810" t="str">
            <v>Ltr</v>
          </cell>
          <cell r="D810">
            <v>15000</v>
          </cell>
        </row>
        <row r="811">
          <cell r="B811" t="str">
            <v>Politur</v>
          </cell>
          <cell r="C811" t="str">
            <v>Ltr</v>
          </cell>
          <cell r="D811">
            <v>7000</v>
          </cell>
        </row>
        <row r="812">
          <cell r="B812" t="str">
            <v>Politur Dasar</v>
          </cell>
          <cell r="C812" t="str">
            <v>Ltr</v>
          </cell>
          <cell r="D812">
            <v>5000</v>
          </cell>
        </row>
        <row r="813">
          <cell r="B813" t="str">
            <v>Vernis Kayu</v>
          </cell>
          <cell r="C813" t="str">
            <v>Ltr</v>
          </cell>
          <cell r="D813">
            <v>11500</v>
          </cell>
        </row>
        <row r="814">
          <cell r="B814" t="str">
            <v>Edging ED 300L2/2</v>
          </cell>
          <cell r="D814">
            <v>450000</v>
          </cell>
        </row>
        <row r="815">
          <cell r="B815" t="str">
            <v>Cat Alumunium</v>
          </cell>
          <cell r="C815" t="str">
            <v>Kg</v>
          </cell>
          <cell r="D815">
            <v>46000</v>
          </cell>
        </row>
        <row r="816">
          <cell r="B816" t="str">
            <v>Cat Atap Ardex</v>
          </cell>
          <cell r="C816" t="str">
            <v>Kg</v>
          </cell>
          <cell r="D816">
            <v>108000</v>
          </cell>
        </row>
        <row r="817">
          <cell r="B817" t="str">
            <v>Meni Kayu</v>
          </cell>
          <cell r="C817" t="str">
            <v>Kg</v>
          </cell>
          <cell r="D817">
            <v>28000</v>
          </cell>
        </row>
        <row r="818">
          <cell r="B818" t="str">
            <v>Sirlak</v>
          </cell>
          <cell r="C818" t="str">
            <v>kg</v>
          </cell>
          <cell r="D818">
            <v>175000</v>
          </cell>
        </row>
        <row r="819">
          <cell r="B819" t="str">
            <v>Plamur Besi</v>
          </cell>
          <cell r="C819" t="str">
            <v>kg</v>
          </cell>
          <cell r="D819">
            <v>78000</v>
          </cell>
        </row>
        <row r="820">
          <cell r="B820" t="str">
            <v>Plamur Tembok</v>
          </cell>
          <cell r="C820" t="str">
            <v>kg</v>
          </cell>
          <cell r="D820">
            <v>52000</v>
          </cell>
        </row>
        <row r="821">
          <cell r="B821" t="str">
            <v>Plamur Kayu</v>
          </cell>
          <cell r="C821" t="str">
            <v>kg</v>
          </cell>
          <cell r="D821">
            <v>7800</v>
          </cell>
        </row>
        <row r="822">
          <cell r="B822" t="str">
            <v>Meni Besi</v>
          </cell>
          <cell r="C822" t="str">
            <v>Ltr</v>
          </cell>
          <cell r="D822">
            <v>36400</v>
          </cell>
        </row>
        <row r="823">
          <cell r="B823" t="str">
            <v>Meni Kayu</v>
          </cell>
          <cell r="C823" t="str">
            <v>kg</v>
          </cell>
          <cell r="D823">
            <v>36400</v>
          </cell>
        </row>
        <row r="824">
          <cell r="B824" t="str">
            <v>Thinner</v>
          </cell>
          <cell r="C824" t="str">
            <v>kg</v>
          </cell>
          <cell r="D824">
            <v>36400</v>
          </cell>
        </row>
        <row r="825">
          <cell r="B825" t="str">
            <v>Residu</v>
          </cell>
          <cell r="C825" t="str">
            <v>Ltr</v>
          </cell>
          <cell r="D825">
            <v>78000</v>
          </cell>
        </row>
        <row r="827">
          <cell r="B827" t="str">
            <v xml:space="preserve">Tembok  </v>
          </cell>
        </row>
        <row r="828">
          <cell r="B828" t="str">
            <v>Cat dasar emulsion</v>
          </cell>
          <cell r="C828" t="str">
            <v>Ltr</v>
          </cell>
          <cell r="D828">
            <v>46550</v>
          </cell>
        </row>
        <row r="829">
          <cell r="B829" t="str">
            <v>Cat akhir emulsion</v>
          </cell>
          <cell r="C829" t="str">
            <v>Ltr</v>
          </cell>
          <cell r="D829">
            <v>62500</v>
          </cell>
        </row>
        <row r="830">
          <cell r="B830" t="str">
            <v>Cat akhir Wheathersield</v>
          </cell>
          <cell r="C830" t="str">
            <v>Ltr</v>
          </cell>
          <cell r="D830">
            <v>100000</v>
          </cell>
        </row>
        <row r="831">
          <cell r="B831" t="str">
            <v>Cat  Dasar Alkali Resistant Primer</v>
          </cell>
          <cell r="C831" t="str">
            <v>Kg</v>
          </cell>
          <cell r="D831">
            <v>60409.999999999993</v>
          </cell>
        </row>
        <row r="832">
          <cell r="B832" t="str">
            <v xml:space="preserve">Plamir Tembok </v>
          </cell>
          <cell r="C832" t="str">
            <v>Kg</v>
          </cell>
          <cell r="D832">
            <v>30939.999999999996</v>
          </cell>
        </row>
        <row r="833">
          <cell r="B833" t="str">
            <v>Soligneum</v>
          </cell>
          <cell r="C833" t="str">
            <v>Kg</v>
          </cell>
        </row>
        <row r="834">
          <cell r="B834" t="str">
            <v xml:space="preserve">Finish Melamik </v>
          </cell>
          <cell r="C834" t="str">
            <v>m2</v>
          </cell>
          <cell r="D834">
            <v>110500</v>
          </cell>
        </row>
        <row r="835">
          <cell r="B835" t="str">
            <v>Cat Tembok  (25 kg)</v>
          </cell>
          <cell r="C835" t="str">
            <v>kg</v>
          </cell>
          <cell r="D835">
            <v>22100</v>
          </cell>
        </row>
        <row r="836">
          <cell r="B836" t="str">
            <v>PRODUK NIPPON PAINT</v>
          </cell>
        </row>
        <row r="837">
          <cell r="B837" t="str">
            <v>MATEX PUTTY</v>
          </cell>
          <cell r="C837" t="str">
            <v>Ltr</v>
          </cell>
          <cell r="D837">
            <v>6190.4761904761908</v>
          </cell>
        </row>
        <row r="838">
          <cell r="B838" t="str">
            <v>VINILEX 5180WALL SEALER</v>
          </cell>
          <cell r="C838" t="str">
            <v>Ltr</v>
          </cell>
          <cell r="D838">
            <v>14228.571428571429</v>
          </cell>
        </row>
        <row r="839">
          <cell r="B839" t="str">
            <v>NIPPON ALKALI PRIMER 3 IN 1</v>
          </cell>
          <cell r="C839" t="str">
            <v>Kg</v>
          </cell>
          <cell r="D839">
            <v>46200</v>
          </cell>
        </row>
        <row r="840">
          <cell r="B840" t="str">
            <v>CAT INTERIOR</v>
          </cell>
        </row>
        <row r="841">
          <cell r="B841" t="str">
            <v>Q-LUC</v>
          </cell>
          <cell r="C841" t="str">
            <v>Ltr</v>
          </cell>
          <cell r="D841">
            <v>5714.2857142857147</v>
          </cell>
        </row>
        <row r="842">
          <cell r="B842" t="str">
            <v>MATEX </v>
          </cell>
          <cell r="C842" t="str">
            <v>Ltr</v>
          </cell>
          <cell r="D842">
            <v>9200</v>
          </cell>
        </row>
        <row r="843">
          <cell r="B843" t="str">
            <v>VINILEX 5000</v>
          </cell>
          <cell r="C843" t="str">
            <v>Ltr</v>
          </cell>
          <cell r="D843">
            <v>12371.428571428572</v>
          </cell>
        </row>
        <row r="844">
          <cell r="B844" t="str">
            <v>SUPER VINILEX 5000</v>
          </cell>
          <cell r="C844" t="str">
            <v>Ltr</v>
          </cell>
          <cell r="D844">
            <v>14228.571428571429</v>
          </cell>
        </row>
        <row r="845">
          <cell r="B845" t="str">
            <v>CAT EXTERIOR</v>
          </cell>
        </row>
        <row r="846">
          <cell r="B846" t="str">
            <v>KIMEX WEATHERBOND</v>
          </cell>
          <cell r="C846" t="str">
            <v>Ltr</v>
          </cell>
          <cell r="D846">
            <v>7971.4285714285716</v>
          </cell>
        </row>
        <row r="847">
          <cell r="B847" t="str">
            <v>NIPPONWEATHERBOND
(warna  Briliant White)</v>
          </cell>
          <cell r="C847" t="str">
            <v>Ltr</v>
          </cell>
          <cell r="D847">
            <v>53500</v>
          </cell>
        </row>
        <row r="848">
          <cell r="B848" t="str">
            <v>PRODUK DULUX</v>
          </cell>
        </row>
        <row r="849">
          <cell r="B849" t="str">
            <v>Dulux Weathershield Pro (std)</v>
          </cell>
          <cell r="C849" t="str">
            <v>Ltr</v>
          </cell>
          <cell r="D849">
            <v>87750</v>
          </cell>
        </row>
        <row r="850">
          <cell r="B850" t="str">
            <v>Dulux Weathershield Pro (spc)</v>
          </cell>
          <cell r="C850" t="str">
            <v>Ltr</v>
          </cell>
          <cell r="D850">
            <v>95000</v>
          </cell>
        </row>
        <row r="851">
          <cell r="B851" t="str">
            <v>Dulux Weathershield Max (std)</v>
          </cell>
          <cell r="C851" t="str">
            <v>Ltr</v>
          </cell>
          <cell r="D851">
            <v>95000</v>
          </cell>
        </row>
        <row r="852">
          <cell r="B852" t="str">
            <v>Dulux Weathershield Max (spc)</v>
          </cell>
          <cell r="C852" t="str">
            <v>Ltr</v>
          </cell>
          <cell r="D852">
            <v>103750</v>
          </cell>
        </row>
        <row r="853">
          <cell r="B853" t="str">
            <v>Dulux Weathershield Max (new)</v>
          </cell>
          <cell r="C853" t="str">
            <v>Ltr</v>
          </cell>
          <cell r="D853">
            <v>131500</v>
          </cell>
        </row>
        <row r="854">
          <cell r="B854" t="str">
            <v>Dulux Pentalite (std)</v>
          </cell>
          <cell r="C854" t="str">
            <v>Ltr</v>
          </cell>
          <cell r="D854">
            <v>54900</v>
          </cell>
        </row>
        <row r="855">
          <cell r="B855" t="str">
            <v>Dulux Pentalite (spc)</v>
          </cell>
          <cell r="C855" t="str">
            <v>Ltr</v>
          </cell>
          <cell r="D855">
            <v>62250</v>
          </cell>
        </row>
        <row r="856">
          <cell r="B856" t="str">
            <v>Dulux Easy Clean (std)</v>
          </cell>
          <cell r="C856" t="str">
            <v>Ltr</v>
          </cell>
          <cell r="D856">
            <v>37000</v>
          </cell>
        </row>
        <row r="857">
          <cell r="B857" t="str">
            <v>Dulux Easy Clean (spc)</v>
          </cell>
          <cell r="C857" t="str">
            <v>Ltr</v>
          </cell>
          <cell r="D857">
            <v>53350</v>
          </cell>
        </row>
        <row r="858">
          <cell r="B858" t="str">
            <v>Dulux Pearl Glo</v>
          </cell>
          <cell r="C858" t="str">
            <v>Ltr</v>
          </cell>
          <cell r="D858">
            <v>69100</v>
          </cell>
        </row>
        <row r="859">
          <cell r="B859" t="str">
            <v>Dulux Wallfiller</v>
          </cell>
          <cell r="C859" t="str">
            <v>Kg</v>
          </cell>
          <cell r="D859">
            <v>21250</v>
          </cell>
        </row>
        <row r="860">
          <cell r="B860" t="str">
            <v>Dulux Alkali Killer</v>
          </cell>
          <cell r="C860" t="str">
            <v>Ltr</v>
          </cell>
          <cell r="D860">
            <v>60800</v>
          </cell>
        </row>
        <row r="861">
          <cell r="B861" t="str">
            <v>Dulux Alkali Killer</v>
          </cell>
          <cell r="C861" t="str">
            <v>Ltr</v>
          </cell>
          <cell r="D861">
            <v>53250</v>
          </cell>
        </row>
        <row r="862">
          <cell r="B862" t="str">
            <v>Dulux Alkali Resisting Primer</v>
          </cell>
          <cell r="C862" t="str">
            <v>Ltr</v>
          </cell>
          <cell r="D862">
            <v>43150</v>
          </cell>
        </row>
        <row r="863">
          <cell r="B863" t="str">
            <v>Dulux Weathershield Putty</v>
          </cell>
          <cell r="C863" t="str">
            <v>Kg</v>
          </cell>
          <cell r="D863">
            <v>21250</v>
          </cell>
        </row>
        <row r="864">
          <cell r="B864" t="str">
            <v>Dulux Weathershield Primer</v>
          </cell>
          <cell r="C864" t="str">
            <v>Ltr</v>
          </cell>
          <cell r="D864">
            <v>49600</v>
          </cell>
        </row>
        <row r="865">
          <cell r="B865" t="str">
            <v>Dulux Weathershield Primer</v>
          </cell>
          <cell r="C865" t="str">
            <v>Ltr</v>
          </cell>
          <cell r="D865">
            <v>46550</v>
          </cell>
        </row>
        <row r="866">
          <cell r="B866" t="str">
            <v>PRODUK MOWILEX</v>
          </cell>
        </row>
        <row r="867">
          <cell r="B867" t="str">
            <v>Mowilex Emulsion (standar)</v>
          </cell>
          <cell r="C867" t="str">
            <v>Ltr</v>
          </cell>
          <cell r="D867">
            <v>49200</v>
          </cell>
        </row>
        <row r="868">
          <cell r="B868" t="str">
            <v>Mowilex Emulsion (khusus)</v>
          </cell>
          <cell r="C868" t="str">
            <v>Ltr</v>
          </cell>
          <cell r="D868">
            <v>73200</v>
          </cell>
        </row>
        <row r="869">
          <cell r="B869" t="str">
            <v>Mowilex Emulsion (pastel)</v>
          </cell>
          <cell r="C869" t="str">
            <v>Ltr</v>
          </cell>
          <cell r="D869">
            <v>51600</v>
          </cell>
        </row>
        <row r="870">
          <cell r="B870" t="str">
            <v>Mowilex Emulsion (VIP)</v>
          </cell>
          <cell r="C870" t="str">
            <v>Ltr</v>
          </cell>
          <cell r="D870">
            <v>51200</v>
          </cell>
        </row>
        <row r="871">
          <cell r="B871" t="str">
            <v>Mowilex Weathercoat</v>
          </cell>
          <cell r="C871" t="str">
            <v>Ltr</v>
          </cell>
          <cell r="D871">
            <v>75200</v>
          </cell>
        </row>
        <row r="872">
          <cell r="B872" t="str">
            <v>Mowilex Elastomeric
Wall coating</v>
          </cell>
          <cell r="C872" t="str">
            <v>Ltr</v>
          </cell>
          <cell r="D872">
            <v>76400</v>
          </cell>
        </row>
        <row r="874">
          <cell r="B874" t="str">
            <v>BAHAN PEMBANTU</v>
          </cell>
          <cell r="D874">
            <v>6000</v>
          </cell>
        </row>
        <row r="875">
          <cell r="B875" t="str">
            <v>Amplas Kayu / Besi</v>
          </cell>
          <cell r="C875" t="str">
            <v>Lbr</v>
          </cell>
          <cell r="D875">
            <v>8624</v>
          </cell>
        </row>
        <row r="876">
          <cell r="B876" t="str">
            <v>Kuas Cat rata2</v>
          </cell>
          <cell r="C876" t="str">
            <v>Bh</v>
          </cell>
          <cell r="D876">
            <v>11211.2</v>
          </cell>
        </row>
        <row r="877">
          <cell r="B877" t="str">
            <v>Kuas Cat 2"</v>
          </cell>
          <cell r="C877" t="str">
            <v>Bh</v>
          </cell>
          <cell r="D877">
            <v>7000</v>
          </cell>
        </row>
        <row r="878">
          <cell r="B878" t="str">
            <v>Kuas Cat 3"</v>
          </cell>
          <cell r="C878" t="str">
            <v>Bh</v>
          </cell>
          <cell r="D878">
            <v>12000</v>
          </cell>
        </row>
        <row r="879">
          <cell r="B879" t="str">
            <v>Roll Cat</v>
          </cell>
          <cell r="C879" t="str">
            <v>Bh</v>
          </cell>
          <cell r="D879">
            <v>20713</v>
          </cell>
        </row>
        <row r="880">
          <cell r="B880" t="str">
            <v>Lem Kayu</v>
          </cell>
          <cell r="C880" t="str">
            <v>Kg</v>
          </cell>
          <cell r="D880">
            <v>62500</v>
          </cell>
        </row>
        <row r="881">
          <cell r="B881" t="str">
            <v>Lem Karpet</v>
          </cell>
          <cell r="C881" t="str">
            <v>Kg</v>
          </cell>
          <cell r="D881">
            <v>27500</v>
          </cell>
        </row>
        <row r="882">
          <cell r="B882" t="str">
            <v>Lem Vinyl</v>
          </cell>
          <cell r="C882" t="str">
            <v>Kg</v>
          </cell>
          <cell r="D882">
            <v>15000</v>
          </cell>
        </row>
        <row r="883">
          <cell r="B883" t="str">
            <v>Lem Wallpaper</v>
          </cell>
          <cell r="C883" t="str">
            <v>Kg</v>
          </cell>
          <cell r="D883">
            <v>9000</v>
          </cell>
        </row>
        <row r="884">
          <cell r="B884" t="str">
            <v>Sealant Kaca</v>
          </cell>
          <cell r="C884" t="str">
            <v>kg</v>
          </cell>
          <cell r="D884">
            <v>45000</v>
          </cell>
        </row>
        <row r="886">
          <cell r="B886" t="str">
            <v>BAHAN SANITARI</v>
          </cell>
        </row>
        <row r="887">
          <cell r="B887" t="str">
            <v>Kloset duduk TOTO CST412MF</v>
          </cell>
          <cell r="C887" t="str">
            <v>unt</v>
          </cell>
          <cell r="D887">
            <v>6712695</v>
          </cell>
        </row>
        <row r="888">
          <cell r="B888" t="str">
            <v>Kloset Duduk Porselen</v>
          </cell>
          <cell r="C888" t="str">
            <v>unt</v>
          </cell>
          <cell r="D888">
            <v>2000000</v>
          </cell>
        </row>
        <row r="889">
          <cell r="B889" t="str">
            <v>Kloset Jongkok Porselen Putih</v>
          </cell>
          <cell r="C889" t="str">
            <v>unt</v>
          </cell>
          <cell r="D889">
            <v>450000</v>
          </cell>
        </row>
        <row r="890">
          <cell r="B890" t="str">
            <v>Kloset Jongkok Keramik</v>
          </cell>
          <cell r="C890" t="str">
            <v>unt</v>
          </cell>
          <cell r="D890">
            <v>425000</v>
          </cell>
        </row>
        <row r="891">
          <cell r="B891" t="str">
            <v>Kloset Duduk; Toilet bowl; komplit acc</v>
          </cell>
          <cell r="C891" t="str">
            <v>unt</v>
          </cell>
          <cell r="D891">
            <v>2140000</v>
          </cell>
        </row>
        <row r="892">
          <cell r="B892" t="str">
            <v>Kloset Duduk; Single Toilet bowl; komplit acc</v>
          </cell>
          <cell r="C892" t="str">
            <v>unt</v>
          </cell>
          <cell r="D892">
            <v>2500000</v>
          </cell>
        </row>
        <row r="893">
          <cell r="B893" t="str">
            <v>Kloset Duduk; Single Toilet bowl; 'Euro" komplit acc</v>
          </cell>
          <cell r="C893" t="str">
            <v>unt</v>
          </cell>
          <cell r="D893">
            <v>2140000</v>
          </cell>
        </row>
        <row r="894">
          <cell r="B894" t="str">
            <v>Kloset Duduk; Toilet bowl; komplit acc</v>
          </cell>
          <cell r="C894" t="str">
            <v>unt</v>
          </cell>
          <cell r="D894">
            <v>3295500</v>
          </cell>
        </row>
        <row r="895">
          <cell r="B895" t="str">
            <v>Kloset Duduk; Single Toilet bowl; komplit acc</v>
          </cell>
          <cell r="C895" t="str">
            <v>unt</v>
          </cell>
          <cell r="D895">
            <v>5695300</v>
          </cell>
        </row>
        <row r="896">
          <cell r="B896" t="str">
            <v>Kloset Duduk; Single Toilet bowl; 'Euro" komplit acc</v>
          </cell>
          <cell r="C896" t="str">
            <v>unt</v>
          </cell>
          <cell r="D896">
            <v>3295500</v>
          </cell>
        </row>
        <row r="897">
          <cell r="B897" t="str">
            <v>Kloset Duduk Toto CW 421 J</v>
          </cell>
          <cell r="C897" t="str">
            <v>unt</v>
          </cell>
          <cell r="D897">
            <v>3616600</v>
          </cell>
        </row>
        <row r="898">
          <cell r="B898" t="str">
            <v xml:space="preserve">Washlet </v>
          </cell>
          <cell r="C898" t="str">
            <v>unt</v>
          </cell>
          <cell r="D898">
            <v>794300</v>
          </cell>
        </row>
        <row r="899">
          <cell r="B899" t="str">
            <v>Kloset Jongkok 440x550x280</v>
          </cell>
          <cell r="C899" t="str">
            <v>unt</v>
          </cell>
          <cell r="D899">
            <v>392000</v>
          </cell>
        </row>
        <row r="900">
          <cell r="B900" t="str">
            <v>Kloset Jongkok 400x500x200</v>
          </cell>
          <cell r="C900" t="str">
            <v>unt</v>
          </cell>
          <cell r="D900">
            <v>215000</v>
          </cell>
        </row>
        <row r="901">
          <cell r="B901" t="str">
            <v>Kloset Jongkok + instalasi Flush</v>
          </cell>
          <cell r="C901" t="str">
            <v>unt</v>
          </cell>
          <cell r="D901">
            <v>2840000</v>
          </cell>
        </row>
        <row r="902">
          <cell r="B902" t="str">
            <v>Kloset Jongkok</v>
          </cell>
          <cell r="C902" t="str">
            <v>unt</v>
          </cell>
          <cell r="D902">
            <v>599950</v>
          </cell>
        </row>
        <row r="903">
          <cell r="B903" t="str">
            <v>Urinoir keramik komplit acc</v>
          </cell>
          <cell r="C903" t="str">
            <v>unt</v>
          </cell>
          <cell r="D903">
            <v>2120000</v>
          </cell>
        </row>
        <row r="904">
          <cell r="B904" t="str">
            <v xml:space="preserve">Urinoir Partisi Keramik </v>
          </cell>
          <cell r="C904" t="str">
            <v>unt</v>
          </cell>
          <cell r="D904">
            <v>961000</v>
          </cell>
        </row>
        <row r="905">
          <cell r="B905" t="str">
            <v>Wastafel Dinding komplit acc; uk. 430x435 mm</v>
          </cell>
          <cell r="C905" t="str">
            <v>unt</v>
          </cell>
          <cell r="D905">
            <v>189280</v>
          </cell>
        </row>
        <row r="906">
          <cell r="B906" t="str">
            <v>Wastafel Console komplit acc; uk. Dia. 430 mm</v>
          </cell>
          <cell r="C906" t="str">
            <v>unt</v>
          </cell>
          <cell r="D906">
            <v>5468840</v>
          </cell>
        </row>
        <row r="907">
          <cell r="B907" t="str">
            <v>Wastafel Topcounter Self Rumming; uk 445x365 mm</v>
          </cell>
          <cell r="C907" t="str">
            <v>unt</v>
          </cell>
          <cell r="D907">
            <v>2256150</v>
          </cell>
        </row>
        <row r="908">
          <cell r="B908" t="str">
            <v>Wastafel Topcounter Semi Recessed; uk 415x485 mm</v>
          </cell>
          <cell r="C908" t="str">
            <v>unt</v>
          </cell>
          <cell r="D908">
            <v>4765410</v>
          </cell>
        </row>
        <row r="909">
          <cell r="B909" t="str">
            <v>Wastafel Undercounter; uk 630x345 mm</v>
          </cell>
          <cell r="C909" t="str">
            <v>unt</v>
          </cell>
          <cell r="D909">
            <v>3699410</v>
          </cell>
        </row>
        <row r="910">
          <cell r="B910" t="str">
            <v>Washtafel Pedestal; uk. 500x350 mm</v>
          </cell>
          <cell r="C910" t="str">
            <v>unt</v>
          </cell>
          <cell r="D910">
            <v>916000</v>
          </cell>
        </row>
        <row r="911">
          <cell r="B911" t="str">
            <v>Washtafel Keramik (lengkap)</v>
          </cell>
          <cell r="C911" t="str">
            <v>unt</v>
          </cell>
          <cell r="D911">
            <v>750000</v>
          </cell>
        </row>
        <row r="912">
          <cell r="B912" t="str">
            <v>Bak air fibreglass  uk. 55x55x60 cm</v>
          </cell>
          <cell r="C912" t="str">
            <v>bh</v>
          </cell>
          <cell r="D912">
            <v>523900</v>
          </cell>
        </row>
        <row r="913">
          <cell r="B913" t="str">
            <v>Kran dinding acrilyc bulat</v>
          </cell>
          <cell r="C913" t="str">
            <v>bh</v>
          </cell>
          <cell r="D913">
            <v>196000</v>
          </cell>
        </row>
        <row r="914">
          <cell r="B914" t="str">
            <v>Kran dinding 4 jari</v>
          </cell>
          <cell r="C914" t="str">
            <v>bh</v>
          </cell>
          <cell r="D914">
            <v>188000</v>
          </cell>
        </row>
        <row r="915">
          <cell r="B915" t="str">
            <v>Kran dinding</v>
          </cell>
          <cell r="C915" t="str">
            <v>bh</v>
          </cell>
        </row>
        <row r="916">
          <cell r="B916" t="str">
            <v>Kran zink lever handle</v>
          </cell>
          <cell r="C916" t="str">
            <v>bh</v>
          </cell>
          <cell r="D916">
            <v>314000</v>
          </cell>
        </row>
        <row r="917">
          <cell r="B917" t="str">
            <v>Kran Air 1/2"</v>
          </cell>
          <cell r="C917" t="str">
            <v>bh</v>
          </cell>
          <cell r="D917">
            <v>17500</v>
          </cell>
        </row>
        <row r="918">
          <cell r="B918" t="str">
            <v>Kran Air 3/4"</v>
          </cell>
          <cell r="C918" t="str">
            <v>bh</v>
          </cell>
          <cell r="D918">
            <v>35000</v>
          </cell>
        </row>
        <row r="919">
          <cell r="B919" t="str">
            <v>Kitchenzink  stainless steel 1 lubang</v>
          </cell>
          <cell r="C919" t="str">
            <v>unt</v>
          </cell>
          <cell r="D919">
            <v>450000</v>
          </cell>
        </row>
        <row r="920">
          <cell r="B920" t="str">
            <v>Kitchenzink  stainless steel 2 lubang</v>
          </cell>
          <cell r="C920" t="str">
            <v>unt</v>
          </cell>
          <cell r="D920">
            <v>600000</v>
          </cell>
        </row>
        <row r="921">
          <cell r="B921" t="str">
            <v>Kitchenzink  teraso 1 lubang</v>
          </cell>
          <cell r="C921" t="str">
            <v>bh</v>
          </cell>
          <cell r="D921">
            <v>130000</v>
          </cell>
        </row>
        <row r="922">
          <cell r="B922" t="str">
            <v>Floordrain</v>
          </cell>
          <cell r="C922" t="str">
            <v>unt</v>
          </cell>
          <cell r="D922">
            <v>367000</v>
          </cell>
        </row>
        <row r="923">
          <cell r="B923" t="str">
            <v>Shower</v>
          </cell>
          <cell r="C923" t="str">
            <v>bh</v>
          </cell>
          <cell r="D923">
            <v>245000</v>
          </cell>
        </row>
        <row r="924">
          <cell r="B924" t="str">
            <v>Bath Tube fibreglass</v>
          </cell>
          <cell r="C924" t="str">
            <v>unt</v>
          </cell>
          <cell r="D924">
            <v>6100000</v>
          </cell>
        </row>
        <row r="925">
          <cell r="B925" t="str">
            <v>Shower head</v>
          </cell>
          <cell r="C925" t="str">
            <v>bh</v>
          </cell>
          <cell r="D925">
            <v>457990</v>
          </cell>
        </row>
        <row r="926">
          <cell r="B926" t="str">
            <v>Mix Shower Set</v>
          </cell>
          <cell r="C926" t="str">
            <v>unt</v>
          </cell>
          <cell r="D926">
            <v>1499030</v>
          </cell>
        </row>
        <row r="927">
          <cell r="B927" t="str">
            <v>Toilet Shower</v>
          </cell>
          <cell r="C927" t="str">
            <v>unt</v>
          </cell>
          <cell r="D927">
            <v>326000</v>
          </cell>
        </row>
        <row r="928">
          <cell r="B928" t="str">
            <v>Toilet Shower</v>
          </cell>
          <cell r="C928" t="str">
            <v>unt</v>
          </cell>
          <cell r="D928">
            <v>267000</v>
          </cell>
        </row>
        <row r="929">
          <cell r="B929" t="str">
            <v>Tempat Tissue Inbow</v>
          </cell>
          <cell r="C929" t="str">
            <v>unt</v>
          </cell>
          <cell r="D929">
            <v>209000</v>
          </cell>
        </row>
        <row r="930">
          <cell r="B930" t="str">
            <v xml:space="preserve">Tempat Tissue SST outbow TX720ACRB
</v>
          </cell>
          <cell r="C930" t="str">
            <v>unt</v>
          </cell>
          <cell r="D930">
            <v>314000</v>
          </cell>
        </row>
        <row r="931">
          <cell r="B931" t="str">
            <v>Tempat Sabun dinding (Kecil)</v>
          </cell>
          <cell r="C931" t="str">
            <v>unt</v>
          </cell>
          <cell r="D931">
            <v>61000</v>
          </cell>
        </row>
        <row r="932">
          <cell r="B932" t="str">
            <v>Tempat Sabun dinding (Panjang)</v>
          </cell>
          <cell r="C932" t="str">
            <v>unt</v>
          </cell>
          <cell r="D932">
            <v>87000</v>
          </cell>
        </row>
        <row r="933">
          <cell r="B933" t="str">
            <v>Tempat Sabun wastavel</v>
          </cell>
          <cell r="C933" t="str">
            <v>unt</v>
          </cell>
          <cell r="D933">
            <v>211250</v>
          </cell>
        </row>
        <row r="934">
          <cell r="B934" t="str">
            <v>Gantungan baju doble</v>
          </cell>
          <cell r="C934" t="str">
            <v>bh</v>
          </cell>
          <cell r="D934">
            <v>375000</v>
          </cell>
        </row>
        <row r="935">
          <cell r="B935" t="str">
            <v>Towel ring</v>
          </cell>
          <cell r="C935" t="str">
            <v>unt</v>
          </cell>
          <cell r="D935">
            <v>304200</v>
          </cell>
        </row>
        <row r="936">
          <cell r="B936" t="str">
            <v>Tissue Paper</v>
          </cell>
          <cell r="C936" t="str">
            <v>Bh</v>
          </cell>
          <cell r="D936">
            <v>1604937.1</v>
          </cell>
        </row>
        <row r="937">
          <cell r="B937" t="str">
            <v>Bakdip</v>
          </cell>
          <cell r="C937" t="str">
            <v>Bh</v>
          </cell>
          <cell r="D937">
            <v>1950000</v>
          </cell>
        </row>
        <row r="938">
          <cell r="B938" t="str">
            <v>Water drain+aksesoris</v>
          </cell>
          <cell r="C938" t="str">
            <v>set</v>
          </cell>
          <cell r="D938">
            <v>195000</v>
          </cell>
        </row>
        <row r="939">
          <cell r="B939" t="str">
            <v>Bak mandi Teraso</v>
          </cell>
          <cell r="C939" t="str">
            <v>set</v>
          </cell>
          <cell r="D939">
            <v>650000</v>
          </cell>
        </row>
        <row r="940">
          <cell r="B940" t="str">
            <v xml:space="preserve">Jet washer </v>
          </cell>
          <cell r="C940" t="str">
            <v>bh</v>
          </cell>
          <cell r="D940">
            <v>347100</v>
          </cell>
        </row>
        <row r="941">
          <cell r="B941" t="str">
            <v>Roof drain</v>
          </cell>
          <cell r="C941" t="str">
            <v>bh</v>
          </cell>
          <cell r="D941">
            <v>234000</v>
          </cell>
        </row>
        <row r="942">
          <cell r="B942" t="str">
            <v>Toilet Partition</v>
          </cell>
          <cell r="C942" t="str">
            <v>unt</v>
          </cell>
          <cell r="D942">
            <v>8190000</v>
          </cell>
        </row>
        <row r="943">
          <cell r="B943" t="str">
            <v>Kran dan Hand Shower</v>
          </cell>
          <cell r="C943" t="str">
            <v>unt</v>
          </cell>
          <cell r="D943">
            <v>1275300</v>
          </cell>
        </row>
        <row r="944">
          <cell r="B944" t="str">
            <v>Shower tray</v>
          </cell>
          <cell r="D944">
            <v>745000</v>
          </cell>
        </row>
        <row r="945">
          <cell r="B945" t="str">
            <v>Jet washer  THX20NB</v>
          </cell>
          <cell r="C945" t="str">
            <v>unt</v>
          </cell>
          <cell r="D945">
            <v>212000</v>
          </cell>
        </row>
        <row r="946">
          <cell r="B946" t="str">
            <v>Roof drain</v>
          </cell>
          <cell r="D946">
            <v>250000</v>
          </cell>
        </row>
        <row r="948">
          <cell r="B948" t="str">
            <v>BAHAN PARTISI DINDING /PLAFOND</v>
          </cell>
        </row>
        <row r="949">
          <cell r="B949" t="str">
            <v>Gypsumboard  t.9 mm</v>
          </cell>
          <cell r="C949" t="str">
            <v>lbr</v>
          </cell>
          <cell r="D949">
            <v>62980</v>
          </cell>
        </row>
        <row r="950">
          <cell r="B950" t="str">
            <v>Gypsumboard  t.12 mm</v>
          </cell>
          <cell r="C950" t="str">
            <v>lbr</v>
          </cell>
          <cell r="D950">
            <v>78000</v>
          </cell>
        </row>
        <row r="951">
          <cell r="B951" t="str">
            <v>Gypsumboard t.9 mm WR</v>
          </cell>
          <cell r="C951" t="str">
            <v>lbr</v>
          </cell>
          <cell r="D951">
            <v>105000</v>
          </cell>
        </row>
        <row r="952">
          <cell r="B952" t="str">
            <v>Gypsumboard t.13 mm WA</v>
          </cell>
          <cell r="C952" t="str">
            <v>lbr</v>
          </cell>
          <cell r="D952">
            <v>158600</v>
          </cell>
        </row>
        <row r="953">
          <cell r="B953" t="str">
            <v>Gypsumboard t.13 mm FS</v>
          </cell>
          <cell r="C953" t="str">
            <v>lbr</v>
          </cell>
          <cell r="D953">
            <v>154000</v>
          </cell>
        </row>
        <row r="954">
          <cell r="B954" t="str">
            <v>Gypsumboard t.16 mm FS</v>
          </cell>
          <cell r="C954" t="str">
            <v>lbr</v>
          </cell>
          <cell r="D954">
            <v>161500</v>
          </cell>
        </row>
        <row r="955">
          <cell r="B955" t="str">
            <v>Kalsium Silikat t. 4,5 mm</v>
          </cell>
          <cell r="C955" t="str">
            <v>lbr</v>
          </cell>
          <cell r="D955">
            <v>111540</v>
          </cell>
        </row>
        <row r="956">
          <cell r="B956" t="str">
            <v>Plafon GRC Tiles</v>
          </cell>
          <cell r="C956" t="str">
            <v>lbr</v>
          </cell>
          <cell r="D956">
            <v>180000</v>
          </cell>
        </row>
        <row r="957">
          <cell r="B957" t="str">
            <v>List</v>
          </cell>
        </row>
        <row r="958">
          <cell r="B958" t="str">
            <v>List Profil 5 cm Gypsum</v>
          </cell>
          <cell r="C958" t="str">
            <v>m1</v>
          </cell>
        </row>
        <row r="959">
          <cell r="B959" t="str">
            <v>List Profil 7 cm Gypsum</v>
          </cell>
          <cell r="C959" t="str">
            <v>m1</v>
          </cell>
          <cell r="D959">
            <v>12000</v>
          </cell>
        </row>
        <row r="960">
          <cell r="B960" t="str">
            <v>List Profil 10 cm Gypsum</v>
          </cell>
          <cell r="C960" t="str">
            <v>m1</v>
          </cell>
          <cell r="D960">
            <v>15700</v>
          </cell>
        </row>
        <row r="961">
          <cell r="B961" t="str">
            <v>List Profil 5 cm Kayu</v>
          </cell>
          <cell r="C961" t="str">
            <v>m1</v>
          </cell>
          <cell r="D961">
            <v>7500</v>
          </cell>
        </row>
        <row r="962">
          <cell r="B962" t="str">
            <v>Cement&amp; &amp; Silika Board</v>
          </cell>
        </row>
        <row r="963">
          <cell r="B963" t="str">
            <v>Papan Kalsium Silikat t. 4,5 mm</v>
          </cell>
          <cell r="C963" t="str">
            <v>lbr</v>
          </cell>
          <cell r="D963">
            <v>70160</v>
          </cell>
        </row>
        <row r="964">
          <cell r="B964" t="str">
            <v>Papan Kalsium Silikat t. 6 mm</v>
          </cell>
          <cell r="C964" t="str">
            <v>lbr</v>
          </cell>
          <cell r="D964">
            <v>100120</v>
          </cell>
        </row>
        <row r="965">
          <cell r="B965" t="str">
            <v>Papan Kalsium Silikat t. 8 mm</v>
          </cell>
          <cell r="C965" t="str">
            <v>lbr</v>
          </cell>
          <cell r="D965">
            <v>141000</v>
          </cell>
        </row>
        <row r="966">
          <cell r="B966" t="str">
            <v>KalsiBoard Ling 3.5®</v>
          </cell>
          <cell r="C966" t="str">
            <v>lbr</v>
          </cell>
          <cell r="D966">
            <v>50350</v>
          </cell>
        </row>
        <row r="967">
          <cell r="B967" t="str">
            <v>KalsiBoard Ling 4.5®</v>
          </cell>
          <cell r="C967" t="str">
            <v>lbr</v>
          </cell>
          <cell r="D967">
            <v>70160</v>
          </cell>
        </row>
        <row r="968">
          <cell r="B968" t="str">
            <v>KalsiBoard Ling 6®</v>
          </cell>
          <cell r="C968" t="str">
            <v>lbr</v>
          </cell>
          <cell r="D968">
            <v>100120</v>
          </cell>
        </row>
        <row r="969">
          <cell r="B969" t="str">
            <v>KalsiBoard Ling 6-R1®</v>
          </cell>
          <cell r="C969" t="str">
            <v>lbr</v>
          </cell>
          <cell r="D969">
            <v>102740</v>
          </cell>
        </row>
        <row r="970">
          <cell r="B970" t="str">
            <v>KalsiBoard Ling 6-R2®</v>
          </cell>
          <cell r="C970" t="str">
            <v>lbr</v>
          </cell>
          <cell r="D970">
            <v>103770</v>
          </cell>
        </row>
        <row r="971">
          <cell r="B971" t="str">
            <v>KalsiBoard Part 8®</v>
          </cell>
          <cell r="C971" t="str">
            <v>lbr</v>
          </cell>
          <cell r="D971">
            <v>136180</v>
          </cell>
        </row>
        <row r="972">
          <cell r="B972" t="str">
            <v>KalsiBoard Part 8® R-2</v>
          </cell>
          <cell r="C972" t="str">
            <v>lbr</v>
          </cell>
          <cell r="D972">
            <v>139640</v>
          </cell>
        </row>
        <row r="973">
          <cell r="B973" t="str">
            <v>KalsiBoard Part 8® R-4</v>
          </cell>
          <cell r="C973" t="str">
            <v>lbr</v>
          </cell>
          <cell r="D973">
            <v>140100</v>
          </cell>
        </row>
        <row r="974">
          <cell r="B974" t="str">
            <v>KalsiBoard Clad 10®</v>
          </cell>
          <cell r="C974" t="str">
            <v>lbr</v>
          </cell>
          <cell r="D974">
            <v>171850</v>
          </cell>
        </row>
        <row r="975">
          <cell r="B975" t="str">
            <v>KalsiBoard Clad 12®</v>
          </cell>
          <cell r="C975" t="str">
            <v>lbr</v>
          </cell>
          <cell r="D975">
            <v>208200</v>
          </cell>
        </row>
        <row r="976">
          <cell r="B976" t="str">
            <v>KalsiPlank 8®</v>
          </cell>
          <cell r="C976" t="str">
            <v>lbr</v>
          </cell>
          <cell r="D976">
            <v>26220</v>
          </cell>
        </row>
        <row r="977">
          <cell r="B977" t="str">
            <v>KalsiPlank 8® Jati</v>
          </cell>
          <cell r="C977" t="str">
            <v>lbr</v>
          </cell>
          <cell r="D977">
            <v>27500</v>
          </cell>
        </row>
        <row r="978">
          <cell r="B978" t="str">
            <v>KalsiPlank 12®</v>
          </cell>
          <cell r="C978" t="str">
            <v>lbr</v>
          </cell>
          <cell r="D978">
            <v>39470</v>
          </cell>
        </row>
        <row r="979">
          <cell r="B979" t="str">
            <v>GRC</v>
          </cell>
        </row>
        <row r="980">
          <cell r="B980" t="str">
            <v> GRC Board 6 mm (122x244)</v>
          </cell>
          <cell r="C980" t="str">
            <v>lbr</v>
          </cell>
          <cell r="D980" t="str">
            <v> 95.000</v>
          </cell>
        </row>
        <row r="981">
          <cell r="B981" t="str">
            <v> GRC Fiber Flat 4 mm (122x244)</v>
          </cell>
          <cell r="C981" t="str">
            <v>lbr</v>
          </cell>
          <cell r="D981" t="str">
            <v>50.000 </v>
          </cell>
        </row>
        <row r="982">
          <cell r="B982" t="str">
            <v> GRC Fiber Lux 5 mm (122x244)</v>
          </cell>
          <cell r="C982" t="str">
            <v>lbr</v>
          </cell>
          <cell r="D982" t="str">
            <v>70.000 </v>
          </cell>
        </row>
        <row r="983">
          <cell r="B983" t="str">
            <v>Super Panel 9 mm (122x244)</v>
          </cell>
          <cell r="C983" t="str">
            <v>lbr</v>
          </cell>
          <cell r="D983" t="str">
            <v>200.000 </v>
          </cell>
        </row>
        <row r="984">
          <cell r="B984" t="str">
            <v> Superplank 100 9 mm (10x244)</v>
          </cell>
          <cell r="C984" t="str">
            <v>lbr</v>
          </cell>
          <cell r="D984" t="str">
            <v>30.000 </v>
          </cell>
        </row>
        <row r="985">
          <cell r="B985" t="str">
            <v> Superplank 200 9 mm (20x244)</v>
          </cell>
          <cell r="C985" t="str">
            <v>lbr</v>
          </cell>
          <cell r="D985" t="str">
            <v>46.000 </v>
          </cell>
        </row>
        <row r="986">
          <cell r="B986" t="str">
            <v> Superplank 300 9 mm (30x244)</v>
          </cell>
          <cell r="C986" t="str">
            <v>lbr</v>
          </cell>
          <cell r="D986" t="str">
            <v>60.000 </v>
          </cell>
        </row>
        <row r="987">
          <cell r="B987" t="str">
            <v>Elephant Big Flat 4 mm (122x244)</v>
          </cell>
          <cell r="C987" t="str">
            <v>lbr</v>
          </cell>
          <cell r="D987">
            <v>44500</v>
          </cell>
        </row>
        <row r="988">
          <cell r="B988" t="str">
            <v>Elephant Big Flat 6 mm (122x244)</v>
          </cell>
          <cell r="C988" t="str">
            <v>lbr</v>
          </cell>
          <cell r="D988">
            <v>72000</v>
          </cell>
        </row>
        <row r="989">
          <cell r="B989" t="str">
            <v>Elephant Big Flat 8 mm (122x244)</v>
          </cell>
          <cell r="C989" t="str">
            <v>lbr</v>
          </cell>
          <cell r="D989">
            <v>98000</v>
          </cell>
        </row>
        <row r="990">
          <cell r="B990" t="str">
            <v>Elephant Wood Plank 8 mm (100x4.050)</v>
          </cell>
          <cell r="C990" t="str">
            <v>lbr</v>
          </cell>
          <cell r="D990">
            <v>50000</v>
          </cell>
        </row>
        <row r="991">
          <cell r="B991" t="str">
            <v>Elephant Wood Plank 8 mm (200x4.050)</v>
          </cell>
          <cell r="C991" t="str">
            <v>lbr</v>
          </cell>
          <cell r="D991">
            <v>65000</v>
          </cell>
        </row>
        <row r="992">
          <cell r="B992" t="str">
            <v>Elephant Wood Plank 10 mm (300x4.050)</v>
          </cell>
          <cell r="C992" t="str">
            <v>lbr</v>
          </cell>
          <cell r="D992">
            <v>70000</v>
          </cell>
        </row>
        <row r="993">
          <cell r="B993" t="str">
            <v>Akustik</v>
          </cell>
        </row>
        <row r="994">
          <cell r="B994" t="str">
            <v>Plafond akustik 60x60cm</v>
          </cell>
          <cell r="C994" t="str">
            <v>lbr</v>
          </cell>
          <cell r="D994">
            <v>17000</v>
          </cell>
        </row>
        <row r="995">
          <cell r="B995" t="str">
            <v>Plafond akustik 60x120cm</v>
          </cell>
          <cell r="C995" t="str">
            <v>lbr</v>
          </cell>
          <cell r="D995">
            <v>30000</v>
          </cell>
        </row>
        <row r="996">
          <cell r="B996" t="str">
            <v>Plafond Gyptile tipe Deko 60x60cm</v>
          </cell>
          <cell r="C996" t="str">
            <v>lbr</v>
          </cell>
          <cell r="D996">
            <v>9000</v>
          </cell>
        </row>
        <row r="997">
          <cell r="B997" t="str">
            <v>Plafond Gyptile tipe Deko 120x60cm</v>
          </cell>
          <cell r="C997" t="str">
            <v>lbr</v>
          </cell>
          <cell r="D997">
            <v>18000</v>
          </cell>
        </row>
        <row r="998">
          <cell r="B998" t="str">
            <v>Plafond Gyptile tipe Teksture 60x60cm</v>
          </cell>
          <cell r="C998" t="str">
            <v>lbr</v>
          </cell>
          <cell r="D998">
            <v>10000</v>
          </cell>
        </row>
        <row r="999">
          <cell r="B999" t="str">
            <v>Plafond Gyptile tipe Teksture 120x60cm</v>
          </cell>
          <cell r="C999" t="str">
            <v>lbr</v>
          </cell>
          <cell r="D999">
            <v>20000</v>
          </cell>
        </row>
        <row r="1000">
          <cell r="B1000" t="str">
            <v>Plafond Gyptile tipe Dura 60x60cm</v>
          </cell>
          <cell r="C1000" t="str">
            <v>lbr</v>
          </cell>
          <cell r="D1000">
            <v>14000</v>
          </cell>
        </row>
        <row r="1001">
          <cell r="B1001" t="str">
            <v>Plafond Gyptile tipe Dura 120x60cm</v>
          </cell>
          <cell r="C1001" t="str">
            <v>lbr</v>
          </cell>
          <cell r="D1001">
            <v>27500</v>
          </cell>
        </row>
        <row r="1002">
          <cell r="B1002" t="str">
            <v>Plafond Gyptile tipe Akustik 60x60cm</v>
          </cell>
          <cell r="C1002" t="str">
            <v>lbr</v>
          </cell>
          <cell r="D1002">
            <v>14500</v>
          </cell>
        </row>
        <row r="1003">
          <cell r="B1003" t="str">
            <v>Plafond Gyptile tipe Akustik 120x60cm</v>
          </cell>
          <cell r="C1003" t="str">
            <v>lbr</v>
          </cell>
          <cell r="D1003">
            <v>28500</v>
          </cell>
        </row>
        <row r="1006">
          <cell r="B1006" t="str">
            <v>FRAME</v>
          </cell>
        </row>
        <row r="1007">
          <cell r="B1007" t="str">
            <v>Atap onduline</v>
          </cell>
          <cell r="C1007" t="str">
            <v>m2</v>
          </cell>
          <cell r="D1007">
            <v>143000</v>
          </cell>
        </row>
        <row r="1008">
          <cell r="B1008" t="str">
            <v>Rangka Plafond Metal furing l. 4 cm; 60 x 60 cm</v>
          </cell>
          <cell r="C1008" t="str">
            <v>m2</v>
          </cell>
          <cell r="D1008">
            <v>92950</v>
          </cell>
        </row>
        <row r="1009">
          <cell r="B1009" t="str">
            <v>Rangka Partisi Metal furing l. 4 cm; 60 x 60 cm</v>
          </cell>
          <cell r="C1009" t="str">
            <v>m2</v>
          </cell>
          <cell r="D1009">
            <v>83131.944444444438</v>
          </cell>
        </row>
        <row r="1010">
          <cell r="B1010" t="str">
            <v>Rangka hollow galvanis t. 0,35</v>
          </cell>
          <cell r="C1010" t="str">
            <v>m2</v>
          </cell>
          <cell r="D1010">
            <v>84500</v>
          </cell>
        </row>
        <row r="1011">
          <cell r="B1011" t="str">
            <v>Profil Alumunium “T”</v>
          </cell>
          <cell r="C1011" t="str">
            <v>m1</v>
          </cell>
          <cell r="D1011">
            <v>19500</v>
          </cell>
        </row>
        <row r="1012">
          <cell r="B1012" t="str">
            <v>Besi Hollow 20x40mm (Sinchromated)</v>
          </cell>
          <cell r="C1012" t="str">
            <v>btg</v>
          </cell>
          <cell r="D1012">
            <v>20800</v>
          </cell>
        </row>
        <row r="1013">
          <cell r="B1013" t="str">
            <v>Besi Hollow 40x40mm (Sinchromated)</v>
          </cell>
          <cell r="C1013" t="str">
            <v>btg</v>
          </cell>
          <cell r="D1013">
            <v>41600</v>
          </cell>
        </row>
        <row r="1014">
          <cell r="B1014" t="str">
            <v>Besi Hollow 40x60mm (Sinchromated)</v>
          </cell>
          <cell r="C1014" t="str">
            <v>btg</v>
          </cell>
          <cell r="D1014">
            <v>62400</v>
          </cell>
        </row>
        <row r="1015">
          <cell r="B1015" t="str">
            <v>Besi Hollow 20x40mm (Galvanized)</v>
          </cell>
          <cell r="C1015" t="str">
            <v>btg</v>
          </cell>
          <cell r="D1015">
            <v>21450</v>
          </cell>
        </row>
        <row r="1016">
          <cell r="B1016" t="str">
            <v>Besi Hollow 40x40mm (Galvanized)</v>
          </cell>
          <cell r="C1016" t="str">
            <v>btg</v>
          </cell>
          <cell r="D1016">
            <v>25350</v>
          </cell>
        </row>
        <row r="1017">
          <cell r="B1017" t="str">
            <v>Besi Hollow 40x60mm (Galvanized)</v>
          </cell>
          <cell r="C1017" t="str">
            <v>btg</v>
          </cell>
          <cell r="D1017">
            <v>47450</v>
          </cell>
        </row>
        <row r="1018">
          <cell r="B1018" t="str">
            <v>Suspension rod</v>
          </cell>
          <cell r="C1018" t="str">
            <v>Bh</v>
          </cell>
          <cell r="D1018">
            <v>4550</v>
          </cell>
        </row>
        <row r="1019">
          <cell r="B1019" t="str">
            <v>Rangka Plafond Akustik 60 x 60 cm</v>
          </cell>
          <cell r="C1019" t="str">
            <v>m2</v>
          </cell>
          <cell r="D1019">
            <v>124861.11111111111</v>
          </cell>
        </row>
        <row r="1020">
          <cell r="B1020" t="str">
            <v>Rangka Plafond Akustik 60 x 120 cm</v>
          </cell>
          <cell r="C1020" t="str">
            <v>m2</v>
          </cell>
          <cell r="D1020">
            <v>85416.666666666672</v>
          </cell>
        </row>
        <row r="1021">
          <cell r="B1021" t="str">
            <v>Rangka Plafond Hollow 40x40cm</v>
          </cell>
          <cell r="C1021" t="str">
            <v>m2</v>
          </cell>
          <cell r="D1021">
            <v>73131.944444444438</v>
          </cell>
        </row>
        <row r="1022">
          <cell r="B1022" t="str">
            <v>Rangka Partisi Hollow 40x40cm</v>
          </cell>
          <cell r="C1022" t="str">
            <v>m2</v>
          </cell>
          <cell r="D1022">
            <v>86400</v>
          </cell>
        </row>
        <row r="1023">
          <cell r="B1023" t="str">
            <v>Rangka Partisi Metal Stud</v>
          </cell>
          <cell r="C1023" t="str">
            <v>m2</v>
          </cell>
          <cell r="D1023">
            <v>87900</v>
          </cell>
        </row>
        <row r="1024">
          <cell r="B1024" t="str">
            <v>Metal Furring</v>
          </cell>
        </row>
        <row r="1025">
          <cell r="B1025" t="str">
            <v>Top Cross</v>
          </cell>
          <cell r="C1025" t="str">
            <v>btg</v>
          </cell>
          <cell r="D1025">
            <v>34300</v>
          </cell>
        </row>
        <row r="1026">
          <cell r="B1026" t="str">
            <v>Furring Channel</v>
          </cell>
          <cell r="C1026" t="str">
            <v>btg</v>
          </cell>
          <cell r="D1026">
            <v>34900</v>
          </cell>
        </row>
        <row r="1027">
          <cell r="B1027" t="str">
            <v>Ceiling Batten / C section</v>
          </cell>
          <cell r="C1027" t="str">
            <v>btg</v>
          </cell>
          <cell r="D1027">
            <v>52100</v>
          </cell>
        </row>
        <row r="1028">
          <cell r="B1028" t="str">
            <v>Wal Angle</v>
          </cell>
          <cell r="C1028" t="str">
            <v>btg</v>
          </cell>
          <cell r="D1028">
            <v>9300</v>
          </cell>
        </row>
        <row r="1029">
          <cell r="B1029" t="str">
            <v>Top Cross Clip</v>
          </cell>
          <cell r="C1029" t="str">
            <v>Bh</v>
          </cell>
          <cell r="D1029">
            <v>4500</v>
          </cell>
        </row>
        <row r="1030">
          <cell r="B1030" t="str">
            <v>Suspension rod</v>
          </cell>
          <cell r="C1030" t="str">
            <v>Bh</v>
          </cell>
          <cell r="D1030">
            <v>9600</v>
          </cell>
        </row>
        <row r="1031">
          <cell r="B1031" t="str">
            <v>Akustik</v>
          </cell>
        </row>
        <row r="1032">
          <cell r="B1032" t="str">
            <v>Cross T 60</v>
          </cell>
          <cell r="C1032" t="str">
            <v>btg</v>
          </cell>
          <cell r="D1032">
            <v>5000</v>
          </cell>
        </row>
        <row r="1033">
          <cell r="B1033" t="str">
            <v>Cross T 120</v>
          </cell>
          <cell r="C1033" t="str">
            <v>btg</v>
          </cell>
          <cell r="D1033">
            <v>7500</v>
          </cell>
        </row>
        <row r="1034">
          <cell r="B1034" t="str">
            <v>Main T</v>
          </cell>
          <cell r="C1034" t="str">
            <v>btg</v>
          </cell>
          <cell r="D1034">
            <v>25000</v>
          </cell>
        </row>
        <row r="1035">
          <cell r="B1035" t="str">
            <v>Wal Angle</v>
          </cell>
          <cell r="C1035" t="str">
            <v>btg</v>
          </cell>
          <cell r="D1035">
            <v>14000</v>
          </cell>
        </row>
        <row r="1036">
          <cell r="B1036" t="str">
            <v>PN Clip</v>
          </cell>
          <cell r="C1036" t="str">
            <v>Bh</v>
          </cell>
          <cell r="D1036">
            <v>2900</v>
          </cell>
        </row>
        <row r="1037">
          <cell r="B1037" t="str">
            <v>Suspension Rod PN</v>
          </cell>
          <cell r="C1037" t="str">
            <v>Bh</v>
          </cell>
          <cell r="D1037">
            <v>3800</v>
          </cell>
        </row>
        <row r="1038">
          <cell r="B1038" t="str">
            <v>Hollow</v>
          </cell>
        </row>
        <row r="1039">
          <cell r="B1039" t="str">
            <v>Besi Hollow 20x40mm t.0.35mm</v>
          </cell>
          <cell r="C1039" t="str">
            <v>btg</v>
          </cell>
          <cell r="D1039">
            <v>16500</v>
          </cell>
        </row>
        <row r="1040">
          <cell r="B1040" t="str">
            <v>Besi Hollow 20x40mm t.0.4mm</v>
          </cell>
          <cell r="C1040" t="str">
            <v>btg</v>
          </cell>
          <cell r="D1040">
            <v>19500</v>
          </cell>
        </row>
        <row r="1041">
          <cell r="B1041" t="str">
            <v>Besi Hollow 20x40mm t.0.5mm</v>
          </cell>
          <cell r="C1041" t="str">
            <v>btg</v>
          </cell>
          <cell r="D1041">
            <v>22000</v>
          </cell>
        </row>
        <row r="1042">
          <cell r="B1042" t="str">
            <v>Besi Hollow 40x40mm t.0.35mm</v>
          </cell>
          <cell r="C1042" t="str">
            <v>btg</v>
          </cell>
          <cell r="D1042">
            <v>21500</v>
          </cell>
        </row>
        <row r="1043">
          <cell r="B1043" t="str">
            <v>Besi Hollow 40x40mm t.0.4mm</v>
          </cell>
          <cell r="C1043" t="str">
            <v>btg</v>
          </cell>
          <cell r="D1043">
            <v>24500</v>
          </cell>
        </row>
        <row r="1044">
          <cell r="B1044" t="str">
            <v>Besi Hollow 40x40mm t.0.5mm</v>
          </cell>
          <cell r="C1044" t="str">
            <v>btg</v>
          </cell>
          <cell r="D1044">
            <v>28500</v>
          </cell>
        </row>
        <row r="1045">
          <cell r="B1045" t="str">
            <v>Besi Hollow 40x60mm t.0.6mm</v>
          </cell>
          <cell r="C1045" t="str">
            <v>btg</v>
          </cell>
          <cell r="D1045">
            <v>85000</v>
          </cell>
        </row>
        <row r="1046">
          <cell r="B1046" t="str">
            <v>Besi Hollow 20x40mm (galvanized) t.0.35mm</v>
          </cell>
          <cell r="C1046" t="str">
            <v>btg</v>
          </cell>
          <cell r="D1046">
            <v>19500</v>
          </cell>
        </row>
        <row r="1047">
          <cell r="B1047" t="str">
            <v>Besi Hollow 20x40mm (galvanized) t.0.4mm</v>
          </cell>
          <cell r="C1047" t="str">
            <v>btg</v>
          </cell>
          <cell r="D1047">
            <v>23500</v>
          </cell>
        </row>
        <row r="1048">
          <cell r="B1048" t="str">
            <v>Besi Hollow 20x40mm (galvanized) t.0.5mm</v>
          </cell>
          <cell r="C1048" t="str">
            <v>btg</v>
          </cell>
          <cell r="D1048">
            <v>27000</v>
          </cell>
        </row>
        <row r="1049">
          <cell r="B1049" t="str">
            <v>Besi Hollow 20x40mm (galvanized) t.0.6mm</v>
          </cell>
          <cell r="C1049" t="str">
            <v>btg</v>
          </cell>
          <cell r="D1049">
            <v>29500</v>
          </cell>
        </row>
        <row r="1050">
          <cell r="B1050" t="str">
            <v>Besi Hollow 40x40mm (galvanized) t.0.35mm</v>
          </cell>
          <cell r="C1050" t="str">
            <v>btg</v>
          </cell>
          <cell r="D1050">
            <v>24500</v>
          </cell>
        </row>
        <row r="1051">
          <cell r="B1051" t="str">
            <v>Besi Hollow 40x40mm (galvanized) t.0.4mm</v>
          </cell>
          <cell r="C1051" t="str">
            <v>btg</v>
          </cell>
          <cell r="D1051">
            <v>28500</v>
          </cell>
        </row>
        <row r="1052">
          <cell r="B1052" t="str">
            <v>Besi Hollow 40x40mm (galvanized) t.0.5mm</v>
          </cell>
          <cell r="C1052" t="str">
            <v>btg</v>
          </cell>
          <cell r="D1052">
            <v>32500</v>
          </cell>
        </row>
        <row r="1053">
          <cell r="B1053" t="str">
            <v>Besi Hollow 40x40mm (galvanized) t.0.6mm</v>
          </cell>
          <cell r="C1053" t="str">
            <v>btg</v>
          </cell>
          <cell r="D1053">
            <v>35500</v>
          </cell>
        </row>
        <row r="1054">
          <cell r="B1054" t="str">
            <v>Metal Stud</v>
          </cell>
        </row>
        <row r="1055">
          <cell r="B1055" t="str">
            <v>Metal Stud 51 t.0.45mm</v>
          </cell>
          <cell r="C1055" t="str">
            <v>btg</v>
          </cell>
        </row>
        <row r="1056">
          <cell r="B1056" t="str">
            <v>Metal Stud 76 t.0.45mm</v>
          </cell>
          <cell r="C1056" t="str">
            <v>btg</v>
          </cell>
        </row>
        <row r="1057">
          <cell r="B1057" t="str">
            <v>Metal Stud 100 t.0.45mm</v>
          </cell>
          <cell r="C1057" t="str">
            <v>btg</v>
          </cell>
        </row>
        <row r="1058">
          <cell r="B1058" t="str">
            <v>Metal Track/Runner 51 t.0.45mm</v>
          </cell>
          <cell r="C1058" t="str">
            <v>btg</v>
          </cell>
        </row>
        <row r="1059">
          <cell r="B1059" t="str">
            <v>Metal Track/Runner 76 t.0.45mm</v>
          </cell>
          <cell r="C1059" t="str">
            <v>btg</v>
          </cell>
        </row>
        <row r="1060">
          <cell r="B1060" t="str">
            <v>Metal Track/Runner 100 t.0.45mm</v>
          </cell>
          <cell r="C1060" t="str">
            <v>btg</v>
          </cell>
        </row>
        <row r="1061">
          <cell r="B1061" t="str">
            <v>Besi Hollow 50x100mm (galvanized) t.0.5mm</v>
          </cell>
          <cell r="C1061" t="str">
            <v>btg</v>
          </cell>
          <cell r="D1061">
            <v>1170000</v>
          </cell>
        </row>
        <row r="1062">
          <cell r="B1062" t="str">
            <v>Pipa si hollow 8cm</v>
          </cell>
          <cell r="C1062" t="str">
            <v>btg</v>
          </cell>
        </row>
        <row r="1064">
          <cell r="B1064" t="str">
            <v xml:space="preserve">BAHAN SALURAN AIR </v>
          </cell>
        </row>
        <row r="1065">
          <cell r="B1065" t="str">
            <v>Greffel U20 p. 1,00 m</v>
          </cell>
          <cell r="C1065" t="str">
            <v>m'</v>
          </cell>
          <cell r="D1065">
            <v>46475</v>
          </cell>
        </row>
        <row r="1066">
          <cell r="B1066" t="str">
            <v>Kanstien 40x9x19 cm ex Ubin Alpen</v>
          </cell>
          <cell r="C1066" t="str">
            <v>bh</v>
          </cell>
          <cell r="D1066">
            <v>7605</v>
          </cell>
        </row>
        <row r="1068">
          <cell r="B1068" t="str">
            <v>PERALATAN / LAIN-LAIN</v>
          </cell>
        </row>
        <row r="1069">
          <cell r="B1069" t="str">
            <v>Kikir Nicholson 2 Kikir Lurus Besar</v>
          </cell>
          <cell r="C1069" t="str">
            <v>bh</v>
          </cell>
          <cell r="D1069">
            <v>225000</v>
          </cell>
        </row>
        <row r="1070">
          <cell r="B1070" t="str">
            <v>Kikir Nicholson 1.5 HUK</v>
          </cell>
          <cell r="C1070" t="str">
            <v>bh</v>
          </cell>
          <cell r="D1070">
            <v>275000</v>
          </cell>
        </row>
        <row r="1071">
          <cell r="B1071" t="str">
            <v>Kikir Nicholson Gergaji kecil</v>
          </cell>
          <cell r="C1071" t="str">
            <v>bh</v>
          </cell>
          <cell r="D1071">
            <v>25000</v>
          </cell>
        </row>
        <row r="1072">
          <cell r="B1072" t="str">
            <v>Sewa Alat Las</v>
          </cell>
          <cell r="C1072" t="str">
            <v>jam</v>
          </cell>
          <cell r="D1072">
            <v>20000</v>
          </cell>
        </row>
        <row r="1073">
          <cell r="B1073" t="str">
            <v>Sewa Stamper</v>
          </cell>
          <cell r="C1073" t="str">
            <v>jam</v>
          </cell>
          <cell r="D1073">
            <v>32500</v>
          </cell>
        </row>
        <row r="1074">
          <cell r="B1074" t="str">
            <v>Sewa Alat</v>
          </cell>
          <cell r="C1074" t="str">
            <v>jam</v>
          </cell>
          <cell r="D1074">
            <v>57000</v>
          </cell>
        </row>
        <row r="1075">
          <cell r="B1075" t="str">
            <v>Instalasi Listrik Sementara</v>
          </cell>
          <cell r="C1075" t="str">
            <v>ttk</v>
          </cell>
          <cell r="D1075">
            <v>97500</v>
          </cell>
        </row>
        <row r="1076">
          <cell r="B1076" t="str">
            <v>Lampu TL</v>
          </cell>
          <cell r="C1076" t="str">
            <v>bh</v>
          </cell>
          <cell r="D1076">
            <v>97500</v>
          </cell>
        </row>
        <row r="1077">
          <cell r="B1077" t="str">
            <v>Biaya Pemakaian Listrik</v>
          </cell>
          <cell r="C1077" t="str">
            <v>bln</v>
          </cell>
          <cell r="D1077">
            <v>195000</v>
          </cell>
        </row>
        <row r="1078">
          <cell r="B1078" t="str">
            <v>Excavatot kap. 0,5 m3</v>
          </cell>
          <cell r="C1078" t="str">
            <v>jam</v>
          </cell>
          <cell r="D1078">
            <v>500000</v>
          </cell>
        </row>
        <row r="1079">
          <cell r="B1079" t="str">
            <v>Dumptruck kap 3-4 m3</v>
          </cell>
          <cell r="C1079" t="str">
            <v>jam</v>
          </cell>
          <cell r="D1079">
            <v>500000</v>
          </cell>
        </row>
        <row r="1080">
          <cell r="B1080" t="str">
            <v>Solar</v>
          </cell>
          <cell r="C1080" t="str">
            <v>Ltr</v>
          </cell>
          <cell r="D1080">
            <v>5500</v>
          </cell>
        </row>
        <row r="1081">
          <cell r="B1081" t="str">
            <v>Bensin</v>
          </cell>
          <cell r="C1081" t="str">
            <v>Ltr</v>
          </cell>
          <cell r="D1081">
            <v>6500</v>
          </cell>
        </row>
        <row r="1082">
          <cell r="B1082" t="str">
            <v>Minyak Pelumas</v>
          </cell>
          <cell r="C1082" t="str">
            <v>Ltr</v>
          </cell>
          <cell r="D1082">
            <v>35000</v>
          </cell>
        </row>
        <row r="1083">
          <cell r="B1083" t="str">
            <v>Minyak Bekisting</v>
          </cell>
          <cell r="C1083" t="str">
            <v>Ltr</v>
          </cell>
          <cell r="D1083">
            <v>3000</v>
          </cell>
        </row>
        <row r="1084">
          <cell r="B1084" t="str">
            <v>Minyak Panas</v>
          </cell>
          <cell r="C1084" t="str">
            <v>Ltr</v>
          </cell>
          <cell r="D1084">
            <v>4500</v>
          </cell>
        </row>
        <row r="1085">
          <cell r="B1085" t="str">
            <v>Steiger</v>
          </cell>
          <cell r="C1085" t="str">
            <v>ls</v>
          </cell>
        </row>
        <row r="1086">
          <cell r="B1086" t="str">
            <v>Kawat las listrik</v>
          </cell>
          <cell r="C1086" t="str">
            <v>kg</v>
          </cell>
          <cell r="D1086">
            <v>25000</v>
          </cell>
        </row>
        <row r="1087">
          <cell r="B1087" t="str">
            <v>Sealant clear neutral (300 ml)</v>
          </cell>
          <cell r="C1087" t="str">
            <v>tb</v>
          </cell>
          <cell r="D1087">
            <v>35000</v>
          </cell>
        </row>
        <row r="1088">
          <cell r="B1088" t="str">
            <v>Seal tape</v>
          </cell>
          <cell r="C1088" t="str">
            <v>roll</v>
          </cell>
          <cell r="D1088">
            <v>10000</v>
          </cell>
        </row>
        <row r="1089">
          <cell r="B1089" t="str">
            <v>Lem pipa</v>
          </cell>
          <cell r="C1089" t="str">
            <v>tb</v>
          </cell>
          <cell r="D1089">
            <v>42250</v>
          </cell>
        </row>
        <row r="1090">
          <cell r="B1090" t="str">
            <v>Formiten/spacer bekisting</v>
          </cell>
          <cell r="C1090" t="str">
            <v>Bh</v>
          </cell>
          <cell r="D1090">
            <v>14300</v>
          </cell>
        </row>
        <row r="1091">
          <cell r="B1091" t="str">
            <v>Ramset</v>
          </cell>
          <cell r="C1091" t="str">
            <v>Bh</v>
          </cell>
          <cell r="D1091">
            <v>11000</v>
          </cell>
        </row>
        <row r="1092">
          <cell r="B1092" t="str">
            <v>Pembersih</v>
          </cell>
          <cell r="C1092" t="str">
            <v>kg</v>
          </cell>
          <cell r="D1092">
            <v>4500</v>
          </cell>
        </row>
        <row r="1093">
          <cell r="B1093" t="str">
            <v>Stempet</v>
          </cell>
          <cell r="C1093" t="str">
            <v>Pail</v>
          </cell>
          <cell r="D1093">
            <v>480000</v>
          </cell>
        </row>
        <row r="1094">
          <cell r="B1094" t="str">
            <v>Teak Oil</v>
          </cell>
          <cell r="C1094" t="str">
            <v>kg</v>
          </cell>
          <cell r="D1094">
            <v>35000</v>
          </cell>
        </row>
        <row r="1095">
          <cell r="B1095" t="str">
            <v>Sikat Besi</v>
          </cell>
          <cell r="C1095" t="str">
            <v>bh</v>
          </cell>
          <cell r="D1095">
            <v>15000</v>
          </cell>
        </row>
        <row r="1096">
          <cell r="B1096" t="str">
            <v>Aquistic Arm Strong</v>
          </cell>
          <cell r="C1096" t="str">
            <v>Lbr</v>
          </cell>
          <cell r="D1096">
            <v>105000</v>
          </cell>
        </row>
        <row r="1097">
          <cell r="B1097" t="str">
            <v>Panel beton Pra Cetak</v>
          </cell>
          <cell r="C1097" t="str">
            <v>Lbr</v>
          </cell>
          <cell r="D1097">
            <v>65000</v>
          </cell>
        </row>
        <row r="1098">
          <cell r="B1098" t="str">
            <v>Kolom beton Pra Cetak</v>
          </cell>
          <cell r="C1098" t="str">
            <v>Btg</v>
          </cell>
          <cell r="D1098">
            <v>44000</v>
          </cell>
        </row>
        <row r="1099">
          <cell r="B1099" t="str">
            <v>Water Stop 150 mm</v>
          </cell>
          <cell r="C1099" t="str">
            <v>m'</v>
          </cell>
          <cell r="D1099">
            <v>60000</v>
          </cell>
        </row>
        <row r="1100">
          <cell r="B1100" t="str">
            <v>Water Stop 200 mm</v>
          </cell>
          <cell r="C1100" t="str">
            <v>m'</v>
          </cell>
          <cell r="D1100">
            <v>93600</v>
          </cell>
        </row>
        <row r="1101">
          <cell r="B1101" t="str">
            <v>Vibrator</v>
          </cell>
          <cell r="C1101" t="str">
            <v>unt</v>
          </cell>
          <cell r="D1101">
            <v>300000</v>
          </cell>
        </row>
        <row r="1102">
          <cell r="B1102" t="str">
            <v xml:space="preserve">Hager Box MCB </v>
          </cell>
          <cell r="C1102" t="str">
            <v>Bh</v>
          </cell>
          <cell r="D1102">
            <v>985500</v>
          </cell>
        </row>
        <row r="1103">
          <cell r="B1103" t="str">
            <v>Stop kontak Panasonic AC</v>
          </cell>
          <cell r="C1103" t="str">
            <v>Bh</v>
          </cell>
          <cell r="D1103">
            <v>28000</v>
          </cell>
        </row>
        <row r="1104">
          <cell r="B1104" t="str">
            <v>Steker Panasonic AC</v>
          </cell>
          <cell r="C1104" t="str">
            <v>Bh</v>
          </cell>
          <cell r="D1104">
            <v>11000</v>
          </cell>
        </row>
        <row r="1105">
          <cell r="B1105" t="str">
            <v xml:space="preserve">Kabel 3x1.5 Prima </v>
          </cell>
          <cell r="C1105" t="str">
            <v>roll</v>
          </cell>
          <cell r="D1105">
            <v>320000</v>
          </cell>
        </row>
        <row r="1106">
          <cell r="B1106" t="str">
            <v>Tarikan Oxford 128-4057</v>
          </cell>
          <cell r="D1106">
            <v>25000</v>
          </cell>
        </row>
        <row r="1108">
          <cell r="B1108" t="str">
            <v>ELEKTRIKAL</v>
          </cell>
        </row>
        <row r="1109">
          <cell r="B1109" t="str">
            <v>Tiang Galvanis Oktagonal 8 m 1 Mikro</v>
          </cell>
          <cell r="C1109" t="str">
            <v>Btg</v>
          </cell>
          <cell r="D1109">
            <v>3150000</v>
          </cell>
        </row>
        <row r="1110">
          <cell r="B1110" t="str">
            <v>Tiang Besi Galvanis Oktagonal 8 m 2 Mikro</v>
          </cell>
          <cell r="C1110" t="str">
            <v>Btg</v>
          </cell>
          <cell r="D1110">
            <v>4250000</v>
          </cell>
        </row>
        <row r="1111">
          <cell r="B1111" t="str">
            <v>Tiang Galvanis Biasa 8 m 1 Mikro</v>
          </cell>
          <cell r="C1111" t="str">
            <v>Btg</v>
          </cell>
          <cell r="D1111">
            <v>2900000</v>
          </cell>
        </row>
        <row r="1112">
          <cell r="B1112" t="str">
            <v>Tiang Galvanis Biasa 8 m 2 Mikro</v>
          </cell>
          <cell r="C1112" t="str">
            <v>Btg</v>
          </cell>
          <cell r="D1112">
            <v>3200000</v>
          </cell>
        </row>
        <row r="1113">
          <cell r="B1113" t="str">
            <v>MCB 32A 1 Ph MG</v>
          </cell>
          <cell r="C1113" t="str">
            <v>bh</v>
          </cell>
          <cell r="D1113">
            <v>95000</v>
          </cell>
        </row>
        <row r="1114">
          <cell r="B1114" t="str">
            <v>MCB 6A 1 Ph MG</v>
          </cell>
          <cell r="C1114" t="str">
            <v>bh</v>
          </cell>
          <cell r="D1114">
            <v>75000</v>
          </cell>
        </row>
        <row r="1115">
          <cell r="B1115" t="str">
            <v>MCB 32A 3 Ph MG</v>
          </cell>
          <cell r="C1115" t="str">
            <v>bh</v>
          </cell>
          <cell r="D1115">
            <v>350000</v>
          </cell>
        </row>
        <row r="1116">
          <cell r="B1116" t="str">
            <v>MCB 50A MG</v>
          </cell>
          <cell r="C1116" t="str">
            <v>bh</v>
          </cell>
          <cell r="D1116">
            <v>350000</v>
          </cell>
        </row>
        <row r="1117">
          <cell r="B1117" t="str">
            <v>Time Switch Legran 30A</v>
          </cell>
          <cell r="C1117" t="str">
            <v>bh</v>
          </cell>
          <cell r="D1117">
            <v>550000</v>
          </cell>
        </row>
        <row r="1118">
          <cell r="B1118" t="str">
            <v>Kontaktor 3 P 80A LCID50M7</v>
          </cell>
          <cell r="C1118" t="str">
            <v>bh</v>
          </cell>
          <cell r="D1118">
            <v>700000</v>
          </cell>
        </row>
        <row r="1119">
          <cell r="B1119" t="str">
            <v>Kontaktor 1 P 40A LCID25M7</v>
          </cell>
          <cell r="C1119" t="str">
            <v>bh</v>
          </cell>
          <cell r="D1119">
            <v>550000</v>
          </cell>
        </row>
        <row r="1120">
          <cell r="B1120" t="str">
            <v>Foto Cell Seleon AS 10A</v>
          </cell>
          <cell r="C1120" t="str">
            <v>bh</v>
          </cell>
          <cell r="D1120">
            <v>200000</v>
          </cell>
        </row>
        <row r="1121">
          <cell r="B1121" t="str">
            <v>Foto Cell Seleon AS 6A</v>
          </cell>
          <cell r="C1121" t="str">
            <v>bh</v>
          </cell>
          <cell r="D1121">
            <v>175000</v>
          </cell>
        </row>
        <row r="1122">
          <cell r="B1122" t="str">
            <v>Bola Lampu SON T 250 W</v>
          </cell>
          <cell r="C1122" t="str">
            <v>bh</v>
          </cell>
          <cell r="D1122">
            <v>220000</v>
          </cell>
        </row>
        <row r="1123">
          <cell r="B1123" t="str">
            <v>Bola Lampu SON H 400 W</v>
          </cell>
          <cell r="C1123" t="str">
            <v>bh</v>
          </cell>
          <cell r="D1123">
            <v>295000</v>
          </cell>
        </row>
        <row r="1124">
          <cell r="B1124" t="str">
            <v>Trafo Philips 250 W</v>
          </cell>
          <cell r="C1124" t="str">
            <v>bh</v>
          </cell>
          <cell r="D1124">
            <v>300000</v>
          </cell>
        </row>
        <row r="1125">
          <cell r="B1125" t="str">
            <v>Trafo Philips 400 W</v>
          </cell>
          <cell r="C1125" t="str">
            <v>bh</v>
          </cell>
          <cell r="D1125">
            <v>450000</v>
          </cell>
        </row>
        <row r="1126">
          <cell r="B1126" t="str">
            <v>Lampu TL 20 Watt</v>
          </cell>
          <cell r="C1126" t="str">
            <v>bh</v>
          </cell>
          <cell r="D1126">
            <v>90000</v>
          </cell>
        </row>
        <row r="1127">
          <cell r="B1127" t="str">
            <v>Lampu TL 2x20 Watt</v>
          </cell>
          <cell r="C1127" t="str">
            <v>bh</v>
          </cell>
          <cell r="D1127">
            <v>110000</v>
          </cell>
        </row>
        <row r="1128">
          <cell r="B1128" t="str">
            <v>Lampu TL 1x40 Watt</v>
          </cell>
          <cell r="C1128" t="str">
            <v>bh</v>
          </cell>
          <cell r="D1128">
            <v>100000</v>
          </cell>
        </row>
        <row r="1129">
          <cell r="B1129" t="str">
            <v>Lampu TL 2x40 Watt</v>
          </cell>
          <cell r="C1129" t="str">
            <v>bh</v>
          </cell>
          <cell r="D1129">
            <v>150000</v>
          </cell>
        </row>
        <row r="1130">
          <cell r="B1130" t="str">
            <v>Lampu Pijar 60 Watt (S)</v>
          </cell>
          <cell r="C1130" t="str">
            <v>bh</v>
          </cell>
          <cell r="D1130">
            <v>7000</v>
          </cell>
        </row>
        <row r="1131">
          <cell r="B1131" t="str">
            <v>Lampu Pijar 100 Watt</v>
          </cell>
          <cell r="C1131" t="str">
            <v>bh</v>
          </cell>
          <cell r="D1131">
            <v>9000</v>
          </cell>
        </row>
        <row r="1132">
          <cell r="B1132" t="str">
            <v>Lampu Pijar 25 Watt</v>
          </cell>
          <cell r="C1132" t="str">
            <v>bh</v>
          </cell>
          <cell r="D1132">
            <v>5500</v>
          </cell>
        </row>
        <row r="1133">
          <cell r="B1133" t="str">
            <v>Lampu Pijar 40 Watt</v>
          </cell>
          <cell r="C1133" t="str">
            <v>bh</v>
          </cell>
          <cell r="D1133">
            <v>6000</v>
          </cell>
        </row>
        <row r="1134">
          <cell r="B1134" t="str">
            <v>Lampu Pijar 75 Watt</v>
          </cell>
          <cell r="C1134" t="str">
            <v>bh</v>
          </cell>
          <cell r="D1134">
            <v>8000</v>
          </cell>
        </row>
        <row r="1135">
          <cell r="B1135" t="str">
            <v>Lampu SL 25 Watt</v>
          </cell>
          <cell r="C1135" t="str">
            <v>bh</v>
          </cell>
          <cell r="D1135">
            <v>61000</v>
          </cell>
        </row>
        <row r="1136">
          <cell r="B1136" t="str">
            <v>Lampu SL 50 Watt</v>
          </cell>
          <cell r="C1136" t="str">
            <v>bh</v>
          </cell>
          <cell r="D1136">
            <v>135000</v>
          </cell>
        </row>
        <row r="1137">
          <cell r="B1137" t="str">
            <v>Lampu SL 65 Watt</v>
          </cell>
          <cell r="C1137" t="str">
            <v>bh</v>
          </cell>
          <cell r="D1137">
            <v>150000</v>
          </cell>
        </row>
        <row r="1138">
          <cell r="B1138" t="str">
            <v>Lampu SL 85 Watt</v>
          </cell>
          <cell r="C1138" t="str">
            <v>bh</v>
          </cell>
          <cell r="D1138">
            <v>180000</v>
          </cell>
        </row>
        <row r="1139">
          <cell r="B1139" t="str">
            <v>Sekring Otomat</v>
          </cell>
          <cell r="C1139" t="str">
            <v>bh</v>
          </cell>
          <cell r="D1139">
            <v>20000</v>
          </cell>
        </row>
        <row r="1140">
          <cell r="B1140" t="str">
            <v>Stop Kontak (kontak)</v>
          </cell>
          <cell r="C1140" t="str">
            <v>bh</v>
          </cell>
          <cell r="D1140">
            <v>25000</v>
          </cell>
        </row>
        <row r="1141">
          <cell r="B1141" t="str">
            <v>Saklar Engkel Tanam</v>
          </cell>
          <cell r="C1141" t="str">
            <v>bh</v>
          </cell>
          <cell r="D1141">
            <v>20000</v>
          </cell>
        </row>
        <row r="1142">
          <cell r="B1142" t="str">
            <v>Saklar Double Tanam</v>
          </cell>
          <cell r="C1142" t="str">
            <v>bh</v>
          </cell>
          <cell r="D1142">
            <v>25000</v>
          </cell>
        </row>
        <row r="1143">
          <cell r="B1143" t="str">
            <v>Box Sekring Otomat 1 Group</v>
          </cell>
          <cell r="C1143" t="str">
            <v>bh</v>
          </cell>
          <cell r="D1143">
            <v>22000</v>
          </cell>
        </row>
        <row r="1144">
          <cell r="B1144" t="str">
            <v>Box Sekring Otomat 2 Group</v>
          </cell>
          <cell r="C1144" t="str">
            <v>bh</v>
          </cell>
          <cell r="D1144">
            <v>45000</v>
          </cell>
        </row>
        <row r="1145">
          <cell r="B1145" t="str">
            <v>Box Sekring Otomat 4 Group</v>
          </cell>
          <cell r="C1145" t="str">
            <v>bh</v>
          </cell>
          <cell r="D1145">
            <v>50000</v>
          </cell>
        </row>
        <row r="1146">
          <cell r="B1146" t="str">
            <v>Fitting DC</v>
          </cell>
          <cell r="C1146" t="str">
            <v>bh</v>
          </cell>
          <cell r="D1146">
            <v>55000</v>
          </cell>
        </row>
        <row r="1147">
          <cell r="B1147" t="str">
            <v>Flaser Fire Work Lamp</v>
          </cell>
          <cell r="C1147" t="str">
            <v>bh</v>
          </cell>
          <cell r="D1147">
            <v>2000000</v>
          </cell>
        </row>
        <row r="1148">
          <cell r="B1148" t="str">
            <v>Kabel Tanah NYFGBY 4x6mm</v>
          </cell>
          <cell r="C1148" t="str">
            <v>M'</v>
          </cell>
          <cell r="D1148">
            <v>45000</v>
          </cell>
        </row>
        <row r="1149">
          <cell r="B1149" t="str">
            <v>Kabel SR</v>
          </cell>
          <cell r="C1149" t="str">
            <v>M'</v>
          </cell>
          <cell r="D1149">
            <v>15000</v>
          </cell>
        </row>
        <row r="1150">
          <cell r="B1150" t="str">
            <v>Lampu Son H 250 W Komplit</v>
          </cell>
          <cell r="C1150" t="str">
            <v>bh</v>
          </cell>
          <cell r="D1150">
            <v>2300000</v>
          </cell>
        </row>
        <row r="1151">
          <cell r="B1151" t="str">
            <v>Lampu Son T 400 W Komplit</v>
          </cell>
          <cell r="C1151" t="str">
            <v>bh</v>
          </cell>
          <cell r="D1151">
            <v>2500000</v>
          </cell>
        </row>
        <row r="1152">
          <cell r="B1152" t="str">
            <v>Panel Box 30x40x20 cm</v>
          </cell>
          <cell r="C1152" t="str">
            <v>bh</v>
          </cell>
          <cell r="D1152">
            <v>327000</v>
          </cell>
        </row>
        <row r="1153">
          <cell r="B1153" t="str">
            <v>Kabel Instalasi Listrik 2,5mm 100m'</v>
          </cell>
          <cell r="C1153" t="str">
            <v>Roll</v>
          </cell>
          <cell r="D1153">
            <v>280000</v>
          </cell>
        </row>
        <row r="1154">
          <cell r="B1154" t="str">
            <v>Kabel NYY 4x4 mm</v>
          </cell>
          <cell r="C1154" t="str">
            <v>M'</v>
          </cell>
          <cell r="D1154">
            <v>30000</v>
          </cell>
        </row>
        <row r="1155">
          <cell r="B1155" t="str">
            <v>Kabel NYM 2x1,5 mm</v>
          </cell>
          <cell r="C1155" t="str">
            <v>M'</v>
          </cell>
          <cell r="D1155">
            <v>10000</v>
          </cell>
        </row>
        <row r="1156">
          <cell r="B1156" t="str">
            <v>Kabel NYM 3x1,5 mm</v>
          </cell>
          <cell r="C1156" t="str">
            <v>M'</v>
          </cell>
          <cell r="D1156">
            <v>15000</v>
          </cell>
        </row>
        <row r="1157">
          <cell r="B1157" t="str">
            <v>Kabel NYM 2x2,5 mm</v>
          </cell>
          <cell r="C1157" t="str">
            <v>M'</v>
          </cell>
          <cell r="D1157">
            <v>10000</v>
          </cell>
        </row>
        <row r="1158">
          <cell r="B1158" t="str">
            <v>Kabel NYM 3x2,5 mm</v>
          </cell>
          <cell r="C1158" t="str">
            <v>M'</v>
          </cell>
          <cell r="D1158">
            <v>16000</v>
          </cell>
        </row>
        <row r="1159">
          <cell r="B1159" t="str">
            <v>Kabel NYM 4x3 mm</v>
          </cell>
          <cell r="C1159" t="str">
            <v>M'</v>
          </cell>
          <cell r="D1159">
            <v>28000</v>
          </cell>
        </row>
        <row r="1160">
          <cell r="B1160" t="str">
            <v>Isolasi Ban</v>
          </cell>
          <cell r="C1160" t="str">
            <v>Roll</v>
          </cell>
          <cell r="D1160">
            <v>15000</v>
          </cell>
        </row>
        <row r="1161">
          <cell r="B1161" t="str">
            <v>Klem Tarik</v>
          </cell>
          <cell r="C1161" t="str">
            <v>bh</v>
          </cell>
          <cell r="D1161">
            <v>15000</v>
          </cell>
        </row>
        <row r="1162">
          <cell r="B1162" t="str">
            <v>Konektor</v>
          </cell>
          <cell r="C1162" t="str">
            <v>bh</v>
          </cell>
          <cell r="D1162">
            <v>10000</v>
          </cell>
        </row>
        <row r="1163">
          <cell r="B1163" t="str">
            <v>Box Meteran</v>
          </cell>
          <cell r="C1163" t="str">
            <v>Set</v>
          </cell>
          <cell r="D1163">
            <v>80000</v>
          </cell>
        </row>
        <row r="1164">
          <cell r="B1164" t="str">
            <v>Baut ID. 14" s/d 24"</v>
          </cell>
          <cell r="C1164" t="str">
            <v>bh</v>
          </cell>
          <cell r="D1164">
            <v>10000</v>
          </cell>
        </row>
        <row r="1165">
          <cell r="B1165" t="str">
            <v>Trafo Distribusi 20 KV, 50 KVA, Outdoor</v>
          </cell>
          <cell r="C1165" t="str">
            <v>Unit</v>
          </cell>
        </row>
        <row r="1166">
          <cell r="B1166" t="str">
            <v>Cut Out 20 KV ....kA, Outdoor</v>
          </cell>
          <cell r="C1166" t="str">
            <v>bh</v>
          </cell>
          <cell r="D1166">
            <v>1400000</v>
          </cell>
        </row>
        <row r="1167">
          <cell r="B1167" t="str">
            <v>Fuse Link 20 KV, 5A</v>
          </cell>
          <cell r="C1167" t="str">
            <v>bh</v>
          </cell>
          <cell r="D1167">
            <v>50000</v>
          </cell>
        </row>
        <row r="1168">
          <cell r="B1168" t="str">
            <v>Aresster 20 KV</v>
          </cell>
          <cell r="C1168" t="str">
            <v>bh</v>
          </cell>
          <cell r="D1168">
            <v>1200000</v>
          </cell>
        </row>
        <row r="1169">
          <cell r="B1169" t="str">
            <v>Kawat AAAC 70 mm2</v>
          </cell>
          <cell r="C1169" t="str">
            <v>M'</v>
          </cell>
          <cell r="D1169">
            <v>20000</v>
          </cell>
        </row>
        <row r="1170">
          <cell r="B1170" t="str">
            <v>Kabel NYY 1x70mm2, TR, untuk OG Trafo</v>
          </cell>
          <cell r="C1170" t="str">
            <v>M'</v>
          </cell>
          <cell r="D1170">
            <v>175000</v>
          </cell>
        </row>
        <row r="1171">
          <cell r="B1171" t="str">
            <v>Travers untuk dudukan CO &amp; LA</v>
          </cell>
          <cell r="C1171" t="str">
            <v>bh</v>
          </cell>
          <cell r="D1171">
            <v>325000</v>
          </cell>
        </row>
        <row r="1172">
          <cell r="B1172" t="str">
            <v>Beugels 4" Komplit Mur Baut &amp; Ring</v>
          </cell>
          <cell r="C1172" t="str">
            <v>bh</v>
          </cell>
          <cell r="D1172">
            <v>40000</v>
          </cell>
        </row>
        <row r="1173">
          <cell r="B1173" t="str">
            <v>Parallel Group 25/150 mm2 u/ Penyambungan</v>
          </cell>
          <cell r="C1173" t="str">
            <v>bh</v>
          </cell>
          <cell r="D1173">
            <v>35000</v>
          </cell>
        </row>
        <row r="1174">
          <cell r="B1174" t="str">
            <v>Kabel Schoen AL 70 mm untuk CO &amp; LA</v>
          </cell>
          <cell r="C1174" t="str">
            <v>M'</v>
          </cell>
          <cell r="D1174">
            <v>27000</v>
          </cell>
        </row>
        <row r="1175">
          <cell r="B1175" t="str">
            <v>Kabel Schoen CU 90 mm Untuk Kabel Incoming</v>
          </cell>
          <cell r="C1175" t="str">
            <v>M'</v>
          </cell>
          <cell r="D1175">
            <v>30000</v>
          </cell>
        </row>
        <row r="1176">
          <cell r="B1176" t="str">
            <v>Pipa Kabel 3" u/ pelindung Kabel Outgoing</v>
          </cell>
          <cell r="C1176" t="str">
            <v>Btg</v>
          </cell>
          <cell r="D1176">
            <v>175000</v>
          </cell>
        </row>
        <row r="1177">
          <cell r="B1177" t="str">
            <v>Elbow (Knee) pipa 3"</v>
          </cell>
          <cell r="C1177" t="str">
            <v>bh</v>
          </cell>
          <cell r="D1177">
            <v>20000</v>
          </cell>
        </row>
        <row r="1178">
          <cell r="B1178" t="str">
            <v>Elbow (Knee) pipa 4"</v>
          </cell>
          <cell r="C1178" t="str">
            <v>bh</v>
          </cell>
          <cell r="D1178">
            <v>53000</v>
          </cell>
        </row>
        <row r="1179">
          <cell r="B1179" t="str">
            <v>Klem Beugels 5"/8" x 3" u/ dudukan pipa kabel</v>
          </cell>
          <cell r="C1179" t="str">
            <v>bh</v>
          </cell>
          <cell r="D1179">
            <v>30000</v>
          </cell>
        </row>
        <row r="1180">
          <cell r="B1180" t="str">
            <v>Klem Beugels , D 4", 8"x 1" u/ dudukan pipa pelindung</v>
          </cell>
          <cell r="C1180" t="str">
            <v>Set</v>
          </cell>
          <cell r="D1180">
            <v>57000</v>
          </cell>
        </row>
        <row r="1181">
          <cell r="B1181" t="str">
            <v>Klem Selang D 3/4"</v>
          </cell>
          <cell r="C1181" t="str">
            <v>bh</v>
          </cell>
          <cell r="D1181">
            <v>53000</v>
          </cell>
        </row>
        <row r="1182">
          <cell r="B1182" t="str">
            <v>Peti Pembagi 220/380 volt 100 A, 4 Group</v>
          </cell>
          <cell r="C1182" t="str">
            <v>Unit</v>
          </cell>
          <cell r="D1182">
            <v>9500000</v>
          </cell>
        </row>
        <row r="1183">
          <cell r="B1183" t="str">
            <v>Travers UNP 10 x 2000mm2 u/ dudukan Trafo</v>
          </cell>
          <cell r="C1183" t="str">
            <v>bh</v>
          </cell>
          <cell r="D1183">
            <v>300000</v>
          </cell>
        </row>
        <row r="1184">
          <cell r="B1184" t="str">
            <v>Beugels 8" Komplit Mur Baut &amp; Ring</v>
          </cell>
          <cell r="C1184" t="str">
            <v>bh</v>
          </cell>
        </row>
        <row r="1185">
          <cell r="B1185" t="str">
            <v>Mur Baut 5/8", 150mm Komplit Ring</v>
          </cell>
          <cell r="C1185" t="str">
            <v>bh</v>
          </cell>
          <cell r="D1185">
            <v>10000</v>
          </cell>
        </row>
        <row r="1186">
          <cell r="B1186" t="str">
            <v>Kabel Schoen CU 50mm Untuk Kabel Arde</v>
          </cell>
          <cell r="C1186" t="str">
            <v>M'</v>
          </cell>
          <cell r="D1186">
            <v>15000</v>
          </cell>
        </row>
        <row r="1187">
          <cell r="B1187" t="str">
            <v>Kabel BC Draad 50mm2</v>
          </cell>
          <cell r="C1187" t="str">
            <v>M'</v>
          </cell>
          <cell r="D1187">
            <v>70000</v>
          </cell>
        </row>
        <row r="1188">
          <cell r="B1188" t="str">
            <v>Pipa Besi 1" untuk pelindung</v>
          </cell>
          <cell r="C1188" t="str">
            <v>Btg</v>
          </cell>
          <cell r="D1188">
            <v>135000</v>
          </cell>
        </row>
        <row r="1189">
          <cell r="B1189" t="str">
            <v>Patok Arde Komplit Baut</v>
          </cell>
          <cell r="C1189" t="str">
            <v>Set</v>
          </cell>
          <cell r="D1189">
            <v>130000</v>
          </cell>
        </row>
        <row r="1190">
          <cell r="B1190" t="str">
            <v>Twisted Cable 3x70mm2 + 1 x 50mm</v>
          </cell>
          <cell r="C1190" t="str">
            <v>M'</v>
          </cell>
          <cell r="D1190">
            <v>70000</v>
          </cell>
        </row>
        <row r="1191">
          <cell r="B1191" t="str">
            <v>Tension Bracket (klem pemegang)</v>
          </cell>
          <cell r="C1191" t="str">
            <v>bh</v>
          </cell>
          <cell r="D1191">
            <v>55000</v>
          </cell>
        </row>
        <row r="1192">
          <cell r="B1192" t="str">
            <v>Wedge Type Strain Clamb (klem jepit kbel)</v>
          </cell>
          <cell r="C1192" t="str">
            <v>Set</v>
          </cell>
          <cell r="D1192">
            <v>15000</v>
          </cell>
        </row>
        <row r="1193">
          <cell r="B1193" t="str">
            <v>Stainless Steel Strip 20x0,7 mm2 (klem pengikat)</v>
          </cell>
          <cell r="C1193" t="str">
            <v>M'</v>
          </cell>
          <cell r="D1193">
            <v>12000</v>
          </cell>
        </row>
        <row r="1194">
          <cell r="B1194" t="str">
            <v>Stopping Bukle Stainless Steel</v>
          </cell>
          <cell r="C1194" t="str">
            <v>bh</v>
          </cell>
          <cell r="D1194">
            <v>20000</v>
          </cell>
        </row>
        <row r="1195">
          <cell r="B1195" t="str">
            <v>Plastic Strap R12 (Pengikat TC)</v>
          </cell>
          <cell r="C1195" t="str">
            <v>bh</v>
          </cell>
          <cell r="D1195">
            <v>2000</v>
          </cell>
        </row>
        <row r="1196">
          <cell r="B1196" t="str">
            <v>Trap Connector 35-070/35-70mm</v>
          </cell>
          <cell r="C1196" t="str">
            <v>bh</v>
          </cell>
        </row>
        <row r="1197">
          <cell r="B1197" t="str">
            <v>Suspension Bracket (klem pemegang)</v>
          </cell>
          <cell r="C1197" t="str">
            <v>bh</v>
          </cell>
          <cell r="D1197">
            <v>80000</v>
          </cell>
        </row>
        <row r="1198">
          <cell r="B1198" t="str">
            <v>Kabel Twisted 2x10mm</v>
          </cell>
          <cell r="C1198" t="str">
            <v>M'</v>
          </cell>
          <cell r="D1198">
            <v>18000</v>
          </cell>
        </row>
        <row r="1199">
          <cell r="B1199" t="str">
            <v>MCB 1 Phasa, 220V, 1 s/d 35 A</v>
          </cell>
          <cell r="C1199" t="str">
            <v>bh</v>
          </cell>
          <cell r="D1199">
            <v>250000</v>
          </cell>
        </row>
        <row r="1200">
          <cell r="B1200" t="str">
            <v>KWH Meter 1 Phasa, 4 W, 220V, 5/20 A</v>
          </cell>
          <cell r="C1200" t="str">
            <v>bh</v>
          </cell>
        </row>
        <row r="1201">
          <cell r="B1201" t="str">
            <v>Kotak APP. OK</v>
          </cell>
          <cell r="C1201" t="str">
            <v>bh</v>
          </cell>
          <cell r="D1201">
            <v>75000</v>
          </cell>
        </row>
        <row r="1202">
          <cell r="B1202" t="str">
            <v>Piercing (TAP) Connector,/.mm2</v>
          </cell>
          <cell r="C1202" t="str">
            <v>bh</v>
          </cell>
          <cell r="D1202">
            <v>13000</v>
          </cell>
        </row>
        <row r="1203">
          <cell r="B1203" t="str">
            <v>Two Way Pole Bracket</v>
          </cell>
          <cell r="C1203" t="str">
            <v>bh</v>
          </cell>
          <cell r="D1203">
            <v>20000</v>
          </cell>
        </row>
        <row r="1204">
          <cell r="B1204" t="str">
            <v>Mobilisasi</v>
          </cell>
          <cell r="C1204" t="str">
            <v>Ls</v>
          </cell>
          <cell r="D1204">
            <v>15600</v>
          </cell>
        </row>
        <row r="1205">
          <cell r="B1205" t="str">
            <v>Paket pekerjaan hotmix 2cm</v>
          </cell>
          <cell r="C1205" t="str">
            <v>m2</v>
          </cell>
          <cell r="D1205">
            <v>160550</v>
          </cell>
        </row>
        <row r="1206">
          <cell r="B1206" t="str">
            <v>Plastik Cor</v>
          </cell>
          <cell r="C1206" t="str">
            <v>m2</v>
          </cell>
          <cell r="D1206">
            <v>6500</v>
          </cell>
        </row>
        <row r="1207">
          <cell r="B1207" t="str">
            <v>Harga Torn  Air  Stainless 2500 ltr</v>
          </cell>
          <cell r="C1207" t="str">
            <v>unt</v>
          </cell>
          <cell r="D1207">
            <v>7800000</v>
          </cell>
        </row>
        <row r="1208">
          <cell r="B1208" t="str">
            <v>Holder Kaca</v>
          </cell>
          <cell r="C1208" t="str">
            <v>bh</v>
          </cell>
          <cell r="D1208">
            <v>25000</v>
          </cell>
        </row>
        <row r="1209">
          <cell r="B1209" t="str">
            <v>Batu Andesit 30x30</v>
          </cell>
          <cell r="C1209" t="str">
            <v>m2</v>
          </cell>
          <cell r="D1209">
            <v>150000</v>
          </cell>
        </row>
        <row r="1210">
          <cell r="B1210" t="str">
            <v>Buis beton 1/2</v>
          </cell>
          <cell r="C1210" t="str">
            <v>m1</v>
          </cell>
          <cell r="D1210">
            <v>71500</v>
          </cell>
        </row>
        <row r="1211">
          <cell r="B1211" t="str">
            <v>Plat bondek</v>
          </cell>
          <cell r="C1211" t="str">
            <v>m2</v>
          </cell>
          <cell r="D1211">
            <v>139100</v>
          </cell>
        </row>
      </sheetData>
      <sheetData sheetId="5"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Total"/>
      <sheetName val="Hitung Volume"/>
      <sheetName val="Analisa "/>
      <sheetName val="Hitung Tulangan"/>
      <sheetName val="Harga Bahan "/>
      <sheetName val="Harga Upah"/>
      <sheetName val="Tabel Bes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BOW 08 NP"/>
      <sheetName val="SD 4 KLUMPU"/>
      <sheetName val="BACKUP VOL SD 4 KLUMPU"/>
      <sheetName val="BACKUP VOL SD 4 KLUMPUB"/>
      <sheetName val="SD 2 KLUMPU"/>
      <sheetName val="BACKUP VOL SD 2 KLUMPU"/>
      <sheetName val="SD 3 KLUMPU"/>
      <sheetName val="BACKUP VOL SD 3 KLUMPU"/>
      <sheetName val="BACKUP VOL SD 3 KLUMPUB"/>
      <sheetName val="PROSENTASE RUSAK"/>
      <sheetName val="PUSTU BAKAS LTii"/>
      <sheetName val="pETAKURSD SMRP KNGIN"/>
      <sheetName val="ANALISA SNI'13 "/>
    </sheetNames>
    <sheetDataSet>
      <sheetData sheetId="0" refreshError="1">
        <row r="425">
          <cell r="G425">
            <v>110100</v>
          </cell>
        </row>
      </sheetData>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2008"/>
      <sheetName val="UPAH"/>
      <sheetName val="BAHAN"/>
      <sheetName val="HSPK"/>
      <sheetName val="JALAN 2008"/>
      <sheetName val="SALURAN 2008"/>
      <sheetName val="KOLAM 2008"/>
      <sheetName val="ME 2008"/>
      <sheetName val="LANDSCAPE2008"/>
    </sheetNames>
    <sheetDataSet>
      <sheetData sheetId="0" refreshError="1">
        <row r="24">
          <cell r="I24">
            <v>257027310.26615918</v>
          </cell>
        </row>
        <row r="28">
          <cell r="I28">
            <v>180689583.8226096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BOW 07"/>
      <sheetName val="ANALISA SNI'07rootsREV"/>
      <sheetName val="ANALISA SNI'07(ubh bgsting)"/>
      <sheetName val="LT II(KntrLurah)"/>
      <sheetName val="LT I"/>
      <sheetName val="ANALISA SNI'08(ubh bgsting)"/>
    </sheetNames>
    <sheetDataSet>
      <sheetData sheetId="0" refreshError="1"/>
      <sheetData sheetId="1">
        <row r="1516">
          <cell r="I1516">
            <v>55360</v>
          </cell>
        </row>
      </sheetData>
      <sheetData sheetId="2" refreshError="1"/>
      <sheetData sheetId="3" refreshError="1"/>
      <sheetData sheetId="4" refreshError="1"/>
      <sheetData sheetId="5"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P"/>
      <sheetName val="Additional"/>
      <sheetName val="Gal_Cold Milling"/>
      <sheetName val="Gal_Jack Hammer"/>
    </sheetNames>
    <sheetDataSet>
      <sheetData sheetId="0" refreshError="1">
        <row r="841">
          <cell r="T841" t="str">
            <v>Analisa EI-322</v>
          </cell>
        </row>
        <row r="843">
          <cell r="L843" t="str">
            <v>FORMULIR STANDAR UNTUK</v>
          </cell>
        </row>
        <row r="844">
          <cell r="L844" t="str">
            <v>PEREKAMAN ANALISA MASING-MASING HARGA SATUAN</v>
          </cell>
        </row>
        <row r="845">
          <cell r="L845" t="str">
            <v xml:space="preserve">                                                                                                            </v>
          </cell>
        </row>
        <row r="848">
          <cell r="L848" t="str">
            <v>PROYEK</v>
          </cell>
          <cell r="O848" t="str">
            <v>: Proyek Pembangunan Jalan Pantai Utara  Jawa Barat</v>
          </cell>
        </row>
        <row r="849">
          <cell r="L849" t="str">
            <v>No. PAKET KONTRAK</v>
          </cell>
          <cell r="O849" t="str">
            <v xml:space="preserve">: </v>
          </cell>
        </row>
        <row r="850">
          <cell r="L850" t="str">
            <v>NAMA PAKET</v>
          </cell>
          <cell r="O850" t="str">
            <v>:  Flyover  Pamanukan</v>
          </cell>
        </row>
        <row r="851">
          <cell r="L851" t="str">
            <v>PROP / KAB / KODYA</v>
          </cell>
          <cell r="O851" t="str">
            <v>: Jawa Barat</v>
          </cell>
        </row>
        <row r="852">
          <cell r="L852" t="str">
            <v>ITEM PEMBAYARAN NO.</v>
          </cell>
          <cell r="O852" t="str">
            <v>:  3.2 (2)</v>
          </cell>
          <cell r="R852" t="str">
            <v>PERKIRAAN VOL. PEK.</v>
          </cell>
          <cell r="T852" t="str">
            <v>:</v>
          </cell>
          <cell r="U852">
            <v>6571.2013500000003</v>
          </cell>
        </row>
        <row r="853">
          <cell r="L853" t="str">
            <v>JENIS PEKERJAAN</v>
          </cell>
          <cell r="O853" t="str">
            <v>:  Timbunan Pilihan</v>
          </cell>
          <cell r="R853" t="str">
            <v>TOTAL HARGA (Rp.)</v>
          </cell>
          <cell r="T853" t="str">
            <v>:</v>
          </cell>
          <cell r="U853">
            <v>359628773.19481355</v>
          </cell>
        </row>
        <row r="854">
          <cell r="L854" t="str">
            <v>SATUAN PEMBAYARAN</v>
          </cell>
          <cell r="O854" t="str">
            <v>:  M3</v>
          </cell>
          <cell r="R854" t="str">
            <v>% THD. BIAYA PROYEK</v>
          </cell>
          <cell r="T854" t="str">
            <v>:</v>
          </cell>
          <cell r="U854">
            <v>0.70465720727372594</v>
          </cell>
        </row>
        <row r="857">
          <cell r="Q857" t="str">
            <v>PERKIRAAN</v>
          </cell>
          <cell r="R857" t="str">
            <v>HARGA</v>
          </cell>
          <cell r="S857" t="str">
            <v>JUMLAH</v>
          </cell>
        </row>
        <row r="858">
          <cell r="L858" t="str">
            <v>NO.</v>
          </cell>
          <cell r="N858" t="str">
            <v>KOMPONEN</v>
          </cell>
          <cell r="P858" t="str">
            <v>SATUAN</v>
          </cell>
          <cell r="Q858" t="str">
            <v>KUANTITAS</v>
          </cell>
          <cell r="R858" t="str">
            <v>SATUAN</v>
          </cell>
          <cell r="S858" t="str">
            <v>HARGA</v>
          </cell>
        </row>
        <row r="859">
          <cell r="R859" t="str">
            <v>(Rp.)</v>
          </cell>
          <cell r="S859" t="str">
            <v>(Rp.)</v>
          </cell>
        </row>
        <row r="862">
          <cell r="L862" t="str">
            <v>A.</v>
          </cell>
          <cell r="N862" t="str">
            <v>TENAGA</v>
          </cell>
        </row>
        <row r="864">
          <cell r="L864" t="str">
            <v>1.</v>
          </cell>
          <cell r="N864" t="str">
            <v>Pekerja</v>
          </cell>
          <cell r="O864" t="str">
            <v>(L01)</v>
          </cell>
          <cell r="P864" t="str">
            <v>Jam</v>
          </cell>
          <cell r="Q864">
            <v>7.1396697902721989E-2</v>
          </cell>
          <cell r="R864">
            <v>2750</v>
          </cell>
          <cell r="U864">
            <v>196.34091923248548</v>
          </cell>
        </row>
        <row r="865">
          <cell r="L865" t="str">
            <v>2.</v>
          </cell>
          <cell r="N865" t="str">
            <v>Mandor</v>
          </cell>
          <cell r="O865" t="str">
            <v>(L03)</v>
          </cell>
          <cell r="P865" t="str">
            <v>Jam</v>
          </cell>
          <cell r="Q865">
            <v>1.7849174475680497E-2</v>
          </cell>
          <cell r="R865">
            <v>4000</v>
          </cell>
          <cell r="U865">
            <v>71.396697902721996</v>
          </cell>
        </row>
        <row r="868">
          <cell r="Q868" t="str">
            <v xml:space="preserve">JUMLAH HARGA TENAGA   </v>
          </cell>
          <cell r="U868">
            <v>267.73761713520747</v>
          </cell>
        </row>
        <row r="870">
          <cell r="L870" t="str">
            <v>B.</v>
          </cell>
          <cell r="N870" t="str">
            <v>BAHAN</v>
          </cell>
        </row>
        <row r="872">
          <cell r="L872" t="str">
            <v>1.</v>
          </cell>
          <cell r="N872" t="str">
            <v>Bahan pilihan   (M09)</v>
          </cell>
          <cell r="O872" t="str">
            <v>(M09)</v>
          </cell>
          <cell r="P872" t="str">
            <v>M3</v>
          </cell>
          <cell r="Q872">
            <v>1.2</v>
          </cell>
          <cell r="R872">
            <v>21000</v>
          </cell>
          <cell r="U872">
            <v>25200</v>
          </cell>
        </row>
        <row r="878">
          <cell r="Q878" t="str">
            <v xml:space="preserve">JUMLAH HARGA BAHAN   </v>
          </cell>
          <cell r="U878">
            <v>25200</v>
          </cell>
        </row>
        <row r="880">
          <cell r="L880" t="str">
            <v>C.</v>
          </cell>
          <cell r="N880" t="str">
            <v>PERALATAN</v>
          </cell>
        </row>
        <row r="881">
          <cell r="L881" t="str">
            <v>1.</v>
          </cell>
          <cell r="N881" t="str">
            <v>Wheel  Loader</v>
          </cell>
          <cell r="O881" t="str">
            <v>(E15)</v>
          </cell>
          <cell r="P881" t="str">
            <v>Jam</v>
          </cell>
          <cell r="Q881">
            <v>1.7849174475680497E-2</v>
          </cell>
          <cell r="R881">
            <v>181182.97084330328</v>
          </cell>
          <cell r="U881">
            <v>3233.9664586042527</v>
          </cell>
        </row>
        <row r="882">
          <cell r="L882" t="str">
            <v>2.</v>
          </cell>
          <cell r="N882" t="str">
            <v>Dump Truck</v>
          </cell>
          <cell r="O882" t="str">
            <v>(E08)</v>
          </cell>
          <cell r="P882" t="str">
            <v>Jam</v>
          </cell>
          <cell r="Q882">
            <v>0.16265060240963855</v>
          </cell>
          <cell r="R882">
            <v>90902.327191025077</v>
          </cell>
          <cell r="U882">
            <v>14785.318278058296</v>
          </cell>
        </row>
        <row r="883">
          <cell r="L883" t="str">
            <v>3.</v>
          </cell>
          <cell r="N883" t="str">
            <v>Motor Grader</v>
          </cell>
          <cell r="O883" t="str">
            <v>(E13)</v>
          </cell>
          <cell r="P883" t="str">
            <v>Jam</v>
          </cell>
          <cell r="Q883">
            <v>1.5618027666220438E-2</v>
          </cell>
          <cell r="R883">
            <v>249349.23784774702</v>
          </cell>
          <cell r="U883">
            <v>3894.3432952570934</v>
          </cell>
        </row>
        <row r="884">
          <cell r="L884" t="str">
            <v>3.</v>
          </cell>
          <cell r="N884" t="str">
            <v>Vibro Roller</v>
          </cell>
          <cell r="O884" t="str">
            <v>(E19)</v>
          </cell>
          <cell r="P884" t="str">
            <v>Jam</v>
          </cell>
          <cell r="Q884">
            <v>1.6064257028112448E-2</v>
          </cell>
          <cell r="R884">
            <v>105030.97519263501</v>
          </cell>
          <cell r="U884">
            <v>1687.2445814077912</v>
          </cell>
        </row>
        <row r="885">
          <cell r="L885" t="str">
            <v>4.</v>
          </cell>
          <cell r="N885" t="str">
            <v>Water Tanker</v>
          </cell>
          <cell r="O885" t="str">
            <v>(E23)</v>
          </cell>
          <cell r="P885" t="str">
            <v>Jam</v>
          </cell>
          <cell r="Q885">
            <v>7.0281124497991983E-3</v>
          </cell>
          <cell r="R885">
            <v>85958.879632794691</v>
          </cell>
          <cell r="U885">
            <v>604.12867211803507</v>
          </cell>
        </row>
        <row r="886">
          <cell r="L886" t="str">
            <v>5.</v>
          </cell>
          <cell r="N886" t="str">
            <v>Alat  Bantu</v>
          </cell>
          <cell r="P886" t="str">
            <v>Ls</v>
          </cell>
          <cell r="Q886">
            <v>1</v>
          </cell>
          <cell r="R886">
            <v>80</v>
          </cell>
          <cell r="U886">
            <v>80</v>
          </cell>
        </row>
        <row r="890">
          <cell r="Q890" t="str">
            <v xml:space="preserve">JUMLAH HARGA PERALATAN   </v>
          </cell>
          <cell r="U890">
            <v>24285.001285445473</v>
          </cell>
        </row>
        <row r="892">
          <cell r="L892" t="str">
            <v>D.</v>
          </cell>
          <cell r="N892" t="str">
            <v>JUMLAH HARGA TENAGA, BAHAN DAN PERALATAN  ( A + B + C )</v>
          </cell>
          <cell r="U892">
            <v>49752.738902580677</v>
          </cell>
        </row>
        <row r="893">
          <cell r="L893" t="str">
            <v>E.</v>
          </cell>
          <cell r="N893" t="str">
            <v>OVERHEAD &amp; PROFIT</v>
          </cell>
          <cell r="P893">
            <v>10</v>
          </cell>
          <cell r="Q893" t="str">
            <v>%  x  D</v>
          </cell>
          <cell r="U893">
            <v>4975.2738902580677</v>
          </cell>
        </row>
        <row r="894">
          <cell r="L894" t="str">
            <v>F.</v>
          </cell>
          <cell r="N894" t="str">
            <v>HARGA SATUAN PEKERJAAN  ( D + E )</v>
          </cell>
          <cell r="U894">
            <v>54728.012792838745</v>
          </cell>
        </row>
        <row r="895">
          <cell r="L895" t="str">
            <v>Note: 1</v>
          </cell>
          <cell r="N895" t="str">
            <v>SATUAN dapat berdasarkan atas jam operasi untuk Tenaga Kerja dan Peralatan, volume dan/atau ukuran</v>
          </cell>
        </row>
        <row r="896">
          <cell r="N896" t="str">
            <v>berat untuk bahan-bahan.</v>
          </cell>
        </row>
        <row r="897">
          <cell r="L897">
            <v>2</v>
          </cell>
          <cell r="N897" t="str">
            <v>Kuantitas satuan adalah kuantitas setiap komponen untuk menyelesaikan satu satuan pekerjaan dari nomor</v>
          </cell>
        </row>
        <row r="898">
          <cell r="N898" t="str">
            <v>mata pembayaran.</v>
          </cell>
        </row>
        <row r="899">
          <cell r="L899">
            <v>3</v>
          </cell>
          <cell r="N899" t="str">
            <v>Biaya satuan untuk peralatan sudah termasuk bahan bakar, bahan habis dipakai dan operator.</v>
          </cell>
        </row>
        <row r="900">
          <cell r="L900">
            <v>4</v>
          </cell>
          <cell r="N900" t="str">
            <v>Biaya satuan sudah termasuk pengeluaran untuk seluruh pajak yang berkaitan (tetapi tidak termasuk PPN</v>
          </cell>
        </row>
        <row r="901">
          <cell r="N901" t="str">
            <v>yang dibayar dari kontrak) dan biaya-biaya lainnya.</v>
          </cell>
        </row>
      </sheetData>
      <sheetData sheetId="1" refreshError="1"/>
      <sheetData sheetId="2" refreshError="1"/>
      <sheetData sheetId="3"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totap+apbd (2)"/>
      <sheetName val="Rekap APBN"/>
      <sheetName val="Rekap APBD"/>
      <sheetName val="AN PIPA (2)"/>
      <sheetName val="GENZET"/>
      <sheetName val="Acsesoris"/>
      <sheetName val="BAHAN"/>
      <sheetName val="PJ"/>
      <sheetName val="PS"/>
      <sheetName val="JP 2 75"/>
      <sheetName val="SNI FIX"/>
      <sheetName val="Prasedimen1"/>
      <sheetName val="SDB"/>
      <sheetName val="RESERVOIR 100"/>
      <sheetName val="R.GENSET"/>
      <sheetName val="P.Sub Pelayanan"/>
      <sheetName val="P.Sub Prased"/>
      <sheetName val="pagar (2)"/>
      <sheetName val="JP 7"/>
      <sheetName val="JP10"/>
      <sheetName val="JP 12"/>
      <sheetName val="JP 22"/>
    </sheetNames>
    <sheetDataSet>
      <sheetData sheetId="0"/>
      <sheetData sheetId="1"/>
      <sheetData sheetId="2"/>
      <sheetData sheetId="3"/>
      <sheetData sheetId="4"/>
      <sheetData sheetId="5"/>
      <sheetData sheetId="6">
        <row r="215">
          <cell r="F215">
            <v>44000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R-HARGA"/>
      <sheetName val="RINC-SURHARG"/>
      <sheetName val="Sheet3"/>
      <sheetName val="Daf-Har-Pening"/>
      <sheetName val="DaftarHargaPemel"/>
      <sheetName val="An-Mansur"/>
      <sheetName val="Analisa"/>
      <sheetName val="Darmo"/>
      <sheetName val="Urip-S"/>
      <sheetName val="Bas-Rakh"/>
      <sheetName val="Embong-Malang"/>
      <sheetName val="Blauran"/>
      <sheetName val="Praban"/>
      <sheetName val="Tunjungan"/>
      <sheetName val="Gub-Sur"/>
      <sheetName val="Pang-Sud"/>
      <sheetName val="Bubutan"/>
      <sheetName val="Keb-Rojo"/>
      <sheetName val="Pahlawan"/>
      <sheetName val="Gemblonga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rekap A"/>
      <sheetName val="rekap b"/>
      <sheetName val="grand sum"/>
      <sheetName val="sampul"/>
      <sheetName val="pEMBATAS"/>
      <sheetName val="Rekap"/>
      <sheetName val="HARGA MATERIAL"/>
      <sheetName val="Analisa BOW 07"/>
      <sheetName val="H.Satuan"/>
      <sheetName val="BQ ARS"/>
      <sheetName val="AHSbj"/>
      <sheetName val="rekap_A"/>
      <sheetName val="rekap_b"/>
      <sheetName val="grand_sum"/>
      <sheetName val="HARGA_MATERIAL"/>
      <sheetName val="data"/>
      <sheetName val="A-11 Steel Str"/>
      <sheetName val="A-03 Pile"/>
      <sheetName val="Rab"/>
      <sheetName val="REKAP_VOLUME"/>
      <sheetName val="SNI-17-3-09"/>
      <sheetName val="RKP.ANL"/>
      <sheetName val="PAD-F"/>
      <sheetName val="Paint Type B"/>
      <sheetName val="AnBayarUtama"/>
      <sheetName val="bahan"/>
      <sheetName val="HarSat"/>
      <sheetName val="analisa"/>
      <sheetName val="villa"/>
      <sheetName val="REKAP_ARSITEKTUR."/>
      <sheetName val="AC-C"/>
      <sheetName val="Sheet"/>
      <sheetName val="ELEMENT SUM"/>
      <sheetName val="Estimate"/>
      <sheetName val="str-Rab"/>
      <sheetName val="Material"/>
      <sheetName val="BQ (by owner)"/>
      <sheetName val="rab me (fisik)"/>
      <sheetName val="rab me (by owner) "/>
      <sheetName val="pintu jendela"/>
      <sheetName val="Spec ME"/>
      <sheetName val="DAF-1"/>
      <sheetName val="Analisa Tend"/>
      <sheetName val="01A- RAB"/>
      <sheetName val="SUM TIANG PC"/>
      <sheetName val="9.2~PK"/>
      <sheetName val="UPAH"/>
      <sheetName val="Harga Satuan"/>
      <sheetName val="D4"/>
      <sheetName val="D6"/>
      <sheetName val="D7"/>
      <sheetName val="D8"/>
      <sheetName val="PERSIAP"/>
      <sheetName val="Analisa Upah &amp; Bahan Plum"/>
      <sheetName val="SEX"/>
      <sheetName val="LOADDAT"/>
      <sheetName val="AC"/>
      <sheetName val="351BQMCN"/>
      <sheetName val="Daf. No. - 4.2"/>
      <sheetName val="BQ-Str"/>
      <sheetName val="Hargamaterial"/>
      <sheetName val="Rekap Direct Cost"/>
      <sheetName val="har-sat"/>
      <sheetName val="Area Tabulation1"/>
      <sheetName val="Proj Data"/>
      <sheetName val="PileCap"/>
      <sheetName val="Analisa -Baku"/>
      <sheetName val="Traf&amp;Genst"/>
      <sheetName val="Pekerjaan "/>
      <sheetName val="Currency Rate"/>
      <sheetName val="Analisa 2"/>
      <sheetName val="PERSIAPAN"/>
      <sheetName val="UTILITAS"/>
      <sheetName val="ARSITEKTUR"/>
      <sheetName val="G_SUMMARY"/>
      <sheetName val="Price"/>
      <sheetName val="BOQ"/>
      <sheetName val="326BQSTC"/>
      <sheetName val="Ana"/>
      <sheetName val="4-Basic Price"/>
      <sheetName val="data bahan"/>
      <sheetName val="Sub.kon"/>
      <sheetName val="Analisa Teknik"/>
      <sheetName val="Material "/>
      <sheetName val="Upah borong"/>
      <sheetName val="Volume"/>
      <sheetName val="Analisa alat berat..."/>
      <sheetName val="Alat Berat"/>
      <sheetName val="Instal precast"/>
      <sheetName val="Balok L.1"/>
      <sheetName val="ESCON"/>
      <sheetName val="ahas-ins"/>
      <sheetName val="BQ-1A"/>
      <sheetName val="Sal"/>
      <sheetName val="Embong-Malang"/>
      <sheetName val="An str"/>
      <sheetName val="Direct Cost Thp 2"/>
      <sheetName val="PileCap "/>
      <sheetName val="Blk B1"/>
      <sheetName val="NP"/>
      <sheetName val="HB "/>
      <sheetName val="Weight Bridge"/>
      <sheetName val="rekap_A1"/>
      <sheetName val="rekap_b1"/>
      <sheetName val="grand_sum1"/>
      <sheetName val="HARGA_MATERIAL1"/>
      <sheetName val="BQ_ARS"/>
      <sheetName val="H_Satuan"/>
      <sheetName val="A-11_Steel_Str"/>
      <sheetName val="A-03_Pile"/>
      <sheetName val="LK-gate"/>
      <sheetName val="DRAFT KONSUMEN"/>
      <sheetName val="Balok L_1"/>
      <sheetName val="Master 1.0"/>
      <sheetName val="An Struktur"/>
      <sheetName val="Unit Rate _2_"/>
      <sheetName val="D2.2"/>
      <sheetName val="16-AC-27JULI"/>
      <sheetName val="Hargamat"/>
      <sheetName val="AN-ME"/>
      <sheetName val="EL(HT)"/>
      <sheetName val="PL(HT)"/>
      <sheetName val="A-12"/>
      <sheetName val="I-KAMAR"/>
      <sheetName val="D-1"/>
      <sheetName val="sai"/>
      <sheetName val="hsd"/>
      <sheetName val="LATIH1"/>
      <sheetName val="CATU DAYA LISTRIK PK"/>
      <sheetName val="PERALATAN &amp; KATUP2 PK"/>
      <sheetName val="PERALATAN UTAMA PK"/>
      <sheetName val="CATU DAYA LISTRIK PLB"/>
      <sheetName val="PERALATAN &amp; KATUP2 PLB"/>
      <sheetName val="PERALATAN UTAMA PLB"/>
      <sheetName val="PEMIPAAN PK"/>
      <sheetName val="PEMIPAAN PLB"/>
      <sheetName val="Rekap Prelim"/>
      <sheetName val="mek"/>
      <sheetName val="LIST"/>
      <sheetName val="Harga"/>
      <sheetName val="Alat"/>
      <sheetName val="struktur tdk dipakai"/>
      <sheetName val="A_ars"/>
      <sheetName val="DAF-2"/>
      <sheetName val="HS Bhn"/>
      <sheetName val="16_AC_27JULI"/>
      <sheetName val="TOTAL Summary"/>
      <sheetName val="bill 5"/>
      <sheetName val="4"/>
      <sheetName val="GRAND TOTAL"/>
      <sheetName val="OUT"/>
      <sheetName val="BM"/>
      <sheetName val="TOTAL"/>
      <sheetName val="Bill_1"/>
      <sheetName val="SELL-SUMM-COST"/>
      <sheetName val="Anls"/>
      <sheetName val="COST-PERSON-J.O."/>
      <sheetName val="RENTAL1"/>
      <sheetName val="CH"/>
      <sheetName val="Koefisien"/>
      <sheetName val="Tie Beam"/>
      <sheetName val="Blk Lt1-Lt. 3"/>
      <sheetName val="struktur"/>
      <sheetName val="ASPAL (14)"/>
      <sheetName val="Anal-SNI"/>
      <sheetName val="DAFTAR HARGA"/>
      <sheetName val="Por"/>
      <sheetName val="AHS"/>
      <sheetName val="harga "/>
      <sheetName val="UPAH + ALAT"/>
      <sheetName val="RAP"/>
      <sheetName val="Harsat_El"/>
      <sheetName val="BASEMENT"/>
      <sheetName val="POL"/>
      <sheetName val="Satuan Dasar"/>
      <sheetName val="AN_TDR"/>
      <sheetName val="An-Pre "/>
      <sheetName val="Faktor"/>
      <sheetName val="Pile"/>
      <sheetName val="TB"/>
      <sheetName val="Slab"/>
      <sheetName val="       BoQ        "/>
      <sheetName val="STR(CANCEL)"/>
      <sheetName val="Analisa Upah _ Bahan Plum"/>
      <sheetName val="Plumbing"/>
      <sheetName val="Management"/>
      <sheetName val="analis"/>
      <sheetName val="BREAKER"/>
      <sheetName val="Pipe"/>
      <sheetName val="ANAL KOEF"/>
      <sheetName val="BILL"/>
      <sheetName val="dt"/>
      <sheetName val="Sumber Daya"/>
      <sheetName val="Anal"/>
      <sheetName val="RAB-NEGO"/>
      <sheetName val="PJ"/>
      <sheetName val="an. struktur"/>
      <sheetName val="main summary"/>
      <sheetName val="Daftar Harga 1"/>
      <sheetName val="BQ-TB-PKB"/>
      <sheetName val="Reff"/>
      <sheetName val="Kolom UT"/>
      <sheetName val="Quantity"/>
      <sheetName val="PONDASI"/>
      <sheetName val="Faktor Markup"/>
      <sheetName val="Data Markup"/>
      <sheetName val="M.Pekerjaan"/>
      <sheetName val="FINISHING"/>
      <sheetName val="analysis2"/>
      <sheetName val="basic price"/>
      <sheetName val="Rekap DBAK"/>
      <sheetName val="ME UMY"/>
      <sheetName val="HB"/>
      <sheetName val="B - Norelec"/>
      <sheetName val="an mek"/>
      <sheetName val="BQ STR"/>
      <sheetName val="CV"/>
      <sheetName val="MUTASI"/>
      <sheetName val="Daf-harga"/>
      <sheetName val="M.AR-KUAT"/>
      <sheetName val="Merak_Sum-FIX"/>
      <sheetName val="Combine_Sum-FIX"/>
      <sheetName val="SAP"/>
      <sheetName val="SCHEDULE"/>
      <sheetName val="Dftr Barang"/>
      <sheetName val="BQ"/>
      <sheetName val="Upah &amp; Bahan"/>
      <sheetName val="Sheet2"/>
      <sheetName val="IPL_SCHEDULE"/>
      <sheetName val="Agregat Halus &amp; Kasar"/>
      <sheetName val="Analisa-Ars"/>
      <sheetName val="UPAH&amp;BHN"/>
      <sheetName val="ISIAN"/>
      <sheetName val="Analisa STR"/>
      <sheetName val="SUR-HARGA"/>
      <sheetName val="I-ME"/>
      <sheetName val="Analisa &amp; Upah"/>
      <sheetName val="Perm. Test"/>
      <sheetName val="Material Master"/>
      <sheetName val="HDS"/>
      <sheetName val="gvl"/>
      <sheetName val="Clm"/>
      <sheetName val="Ring Balok"/>
      <sheetName val="Piping"/>
      <sheetName val="2.10"/>
      <sheetName val="Cover"/>
      <sheetName val="RAB AR&amp;STR"/>
      <sheetName val="PAD_F"/>
      <sheetName val="daf_3_OK_"/>
      <sheetName val="daf-3(OK)"/>
      <sheetName val="daf-7(OK)"/>
      <sheetName val="daf_7_OK_"/>
      <sheetName val="bahan+Upah"/>
      <sheetName val="SITE-E"/>
      <sheetName val="영업소실적"/>
      <sheetName val="T-BEAM"/>
      <sheetName val="Scedule(S-Curve)"/>
      <sheetName val="ANAL-"/>
      <sheetName val="PRD 01-3"/>
      <sheetName val="MAP"/>
      <sheetName val="A+-"/>
      <sheetName val="Mobilisasi"/>
      <sheetName val="UPH"/>
      <sheetName val="Uph&amp;bhn"/>
      <sheetName val="banding hrg"/>
      <sheetName val="AMD I"/>
      <sheetName val="SPEK"/>
      <sheetName val="name"/>
      <sheetName val="DATABASE"/>
      <sheetName val="CF-hot"/>
      <sheetName val="PRINT OUT"/>
      <sheetName val="FORM01"/>
      <sheetName val="12. Analisa"/>
      <sheetName val="analisa_gedung"/>
      <sheetName val="Bahan Upah Alat"/>
      <sheetName val="REKAPITULASI"/>
      <sheetName val="SEMANAN"/>
      <sheetName val="BKPM"/>
      <sheetName val="Hrg.Sat"/>
      <sheetName val="laroux"/>
      <sheetName val="HSBU ANA"/>
      <sheetName val="ASat"/>
      <sheetName val="D3.1"/>
      <sheetName val="Mall"/>
      <sheetName val="COST"/>
      <sheetName val="Tie Beam GN"/>
      <sheetName val="Steel-Twr"/>
      <sheetName val="tifico"/>
      <sheetName val="Schedule Rev"/>
      <sheetName val="W-17"/>
      <sheetName val="W-16"/>
      <sheetName val="W-18"/>
      <sheetName val="R-17"/>
      <sheetName val="Man Power"/>
      <sheetName val="Bhn"/>
      <sheetName val="D &amp; W sizes"/>
      <sheetName val="ANALISA PEK.UMUM"/>
      <sheetName val="analisa PUBM"/>
      <sheetName val="VOLUME BAJA"/>
      <sheetName val="Bill-3Cut"/>
      <sheetName val="Bahan "/>
      <sheetName val="HSBU"/>
      <sheetName val="ans harga"/>
      <sheetName val="Mekanikal"/>
      <sheetName val="Elektrikal"/>
      <sheetName val="h-013211-2"/>
      <sheetName val="Bill of Qty MEP"/>
      <sheetName val="Daf 1"/>
      <sheetName val="HRG BHN"/>
      <sheetName val="AWAL"/>
      <sheetName val="산근"/>
      <sheetName val="Sheet1"/>
      <sheetName val="HB ARSITEKTUR"/>
      <sheetName val="HB STRUKTUR"/>
      <sheetName val="Price Biaya Cadangan"/>
      <sheetName val="BQ.Rekapitulasi  Akhir"/>
      <sheetName val="RKP PLUMBING"/>
      <sheetName val="2-Genset print"/>
      <sheetName val="112-885"/>
      <sheetName val="An H.Sat Pek.U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surfacing &amp; point..."/>
      <sheetName val="stone mas ARE"/>
      <sheetName val="Sales"/>
      <sheetName val="DAF_2"/>
      <sheetName val="Terbilang"/>
      <sheetName val="L-Mechanical"/>
      <sheetName val="EK-JAN-07"/>
      <sheetName val="Panel,feeder,elek"/>
      <sheetName val="S_Suramadu"/>
      <sheetName val="Balok_1"/>
      <sheetName val="Hospital_Head"/>
      <sheetName val="AHSP'05"/>
      <sheetName val="data_kui"/>
      <sheetName val="RAB_Tot"/>
      <sheetName val="Plafond"/>
      <sheetName val="BPPT"/>
      <sheetName val="Metod TWR"/>
      <sheetName val="BAHAN_STR"/>
      <sheetName val="rekap_A2"/>
      <sheetName val="rekap_b2"/>
      <sheetName val="grand_sum2"/>
      <sheetName val="HARGA_MATERIAL2"/>
      <sheetName val="BQ_ARS1"/>
      <sheetName val="H_Satuan1"/>
      <sheetName val="A-11_Steel_Str1"/>
      <sheetName val="A-03_Pile1"/>
      <sheetName val="RKP_ANL"/>
      <sheetName val="REKAP_ARSITEKTUR_"/>
      <sheetName val="ELEMENT_SUM"/>
      <sheetName val="Harga_Satuan"/>
      <sheetName val="Spec_ME"/>
      <sheetName val="Paint_Type_B"/>
      <sheetName val="Analisa_Upah_&amp;_Bahan_Plum"/>
      <sheetName val="BQ_(by_owner)"/>
      <sheetName val="rab_me_(fisik)"/>
      <sheetName val="rab_me_(by_owner)_"/>
      <sheetName val="pintu_jendela"/>
      <sheetName val="9_2~PK"/>
      <sheetName val="Rekap_Direct_Cost"/>
      <sheetName val="Area_Tabulation1"/>
      <sheetName val="Proj_Data"/>
      <sheetName val="01A-_RAB"/>
      <sheetName val="Daf__No__-_4_2"/>
      <sheetName val="Pekerjaan_"/>
      <sheetName val="Analisa_Tend"/>
      <sheetName val="SUM_TIANG_PC"/>
      <sheetName val="Weight_Bridge"/>
      <sheetName val="Currency_Rate"/>
      <sheetName val="Analisa_2"/>
      <sheetName val="HB_"/>
      <sheetName val="Balok_L_1"/>
      <sheetName val="DRAFT_KONSUMEN"/>
      <sheetName val="Balok_L_11"/>
      <sheetName val="Master_1_0"/>
      <sheetName val="An_Struktur"/>
      <sheetName val="Unit_Rate__2_"/>
      <sheetName val="GRAND_TOTAL"/>
      <sheetName val="data_bahan"/>
      <sheetName val="Sub_kon"/>
      <sheetName val="Analisa_Teknik"/>
      <sheetName val="Material_"/>
      <sheetName val="Upah_borong"/>
      <sheetName val="Analisa_alat_berat___"/>
      <sheetName val="Alat_Berat"/>
      <sheetName val="Instal_precast"/>
      <sheetName val="4-Basic_Price"/>
      <sheetName val="Analisa_-Baku"/>
      <sheetName val="Rekap_Prelim"/>
      <sheetName val="An_str"/>
      <sheetName val="Direct_Cost_Thp_2"/>
      <sheetName val="D2_2"/>
      <sheetName val="CATU_DAYA_LISTRIK_PK"/>
      <sheetName val="PERALATAN_&amp;_KATUP2_PK"/>
      <sheetName val="PERALATAN_UTAMA_PK"/>
      <sheetName val="CATU_DAYA_LISTRIK_PLB"/>
      <sheetName val="PERALATAN_&amp;_KATUP2_PLB"/>
      <sheetName val="PERALATAN_UTAMA_PLB"/>
      <sheetName val="PEMIPAAN_PK"/>
      <sheetName val="PEMIPAAN_PLB"/>
      <sheetName val="PileCap_"/>
      <sheetName val="Blk_B1"/>
      <sheetName val="COST-PERSON-J_O_"/>
      <sheetName val="Tie_Beam"/>
      <sheetName val="Blk_Lt1-Lt__3"/>
      <sheetName val="ASPAL_(14)"/>
      <sheetName val="DAFTAR_HARGA"/>
      <sheetName val="ANAL_KOEF"/>
      <sheetName val="Sumber_Daya"/>
      <sheetName val="HS_Bhn"/>
      <sheetName val="TOTAL_Summary"/>
      <sheetName val="bill_5"/>
      <sheetName val="harga_"/>
      <sheetName val="UPAH_+_ALAT"/>
      <sheetName val="Satuan_Dasar"/>
      <sheetName val="Analisa_Upah___Bahan_Plum"/>
      <sheetName val="struktur_tdk_dipakai"/>
      <sheetName val="Analisa_STR"/>
      <sheetName val="main_summary"/>
      <sheetName val="Daftar_Harga_1"/>
      <sheetName val="Kolom_UT"/>
      <sheetName val="An-Pre_"/>
      <sheetName val="Bill No 2.1 "/>
      <sheetName val="An Arsitektur"/>
      <sheetName val="anls space frame"/>
      <sheetName val="SBDY"/>
      <sheetName val="DAPRO"/>
      <sheetName val="DAFT_ALAT,UPAH &amp; MAT"/>
      <sheetName val="Dftr_Barang"/>
      <sheetName val="Agregat_Halus_&amp;_Kasar"/>
      <sheetName val="Faktor_Markup"/>
      <sheetName val="Data_Markup"/>
      <sheetName val="M_Pekerjaan"/>
      <sheetName val="2_10"/>
      <sheetName val="VOLUME_BAJA"/>
      <sheetName val="an__struktur"/>
      <sheetName val="IBASE"/>
      <sheetName val="List Doc"/>
      <sheetName val="Har Sat"/>
      <sheetName val="DAF-4"/>
      <sheetName val="PNT"/>
      <sheetName val="ANALISA ME"/>
      <sheetName val="대비표"/>
      <sheetName val="Rate"/>
      <sheetName val="4_MVAC"/>
      <sheetName val="DAF_3"/>
      <sheetName val="DAF_4"/>
      <sheetName val="ANAL1"/>
      <sheetName val="ANAL2"/>
      <sheetName val="dil"/>
      <sheetName val="dti"/>
      <sheetName val="BQ-IABK"/>
      <sheetName val="Detail BUL"/>
      <sheetName val="B.2(LANJUTAN)"/>
      <sheetName val="+45,200 &amp; +45,700 (Salah)"/>
      <sheetName val="RAB fisik"/>
      <sheetName val="An.Ars"/>
      <sheetName val="Resume-Analisa"/>
      <sheetName val="NPK_Gresik"/>
      <sheetName val="POS 1234"/>
      <sheetName val="Unit Price"/>
      <sheetName val="Listrik"/>
      <sheetName val="Satuan"/>
      <sheetName val="RAB 1"/>
      <sheetName val="D2.2.1"/>
      <sheetName val="AHS-3"/>
      <sheetName val="Genset"/>
      <sheetName val="61004"/>
      <sheetName val="61005"/>
      <sheetName val="61006"/>
      <sheetName val="61007"/>
      <sheetName val="61008"/>
      <sheetName val="pivotscd"/>
      <sheetName val="F ALARM"/>
      <sheetName val="Kolom"/>
      <sheetName val="ALL SUM"/>
      <sheetName val="DHSUB"/>
      <sheetName val="Master Edit"/>
      <sheetName val="Prog korp"/>
      <sheetName val="pivot1"/>
      <sheetName val="Indirects"/>
      <sheetName val="Norms"/>
      <sheetName val="EE-PROP"/>
      <sheetName val="Daf-1 Persiapan"/>
      <sheetName val="Project"/>
      <sheetName val="Tubing &amp; fitting"/>
      <sheetName val="L. Hr"/>
      <sheetName val="Kolom B.3a &amp; 3b"/>
      <sheetName val="Rasio Plat"/>
      <sheetName val="Keb. besi &amp; Beton"/>
      <sheetName val="Raff Foundation Ok"/>
      <sheetName val="Pile Cape Ok"/>
      <sheetName val="Caping Beam"/>
      <sheetName val="Sumpit"/>
      <sheetName val="DDG. STP"/>
      <sheetName val="DDG. GWT"/>
      <sheetName val="Ret. Wall"/>
      <sheetName val="Plat"/>
      <sheetName val="Balok Bsm 3B-1B"/>
      <sheetName val="Balok GF"/>
      <sheetName val="Balok P1-P2"/>
      <sheetName val="Balok P3"/>
      <sheetName val="Balok 5-6-7"/>
      <sheetName val="Balok 8-9-10"/>
      <sheetName val="Balok 11-12-15"/>
      <sheetName val="Balok 16-17-18"/>
      <sheetName val="Balok 19-20-21"/>
      <sheetName val="Balok 22-23-25"/>
      <sheetName val="Balok 26-27-28"/>
      <sheetName val="Balok 29-30-31"/>
      <sheetName val="Balok 32-33-35"/>
      <sheetName val="Balok 36-37-38-39"/>
      <sheetName val="Balok Atap"/>
      <sheetName val="Kolom B.2a &amp; 2b"/>
      <sheetName val="Kolom B.1a &amp; 1b"/>
      <sheetName val="Kolom GF A &amp; B"/>
      <sheetName val="Kolom Mezzanine"/>
      <sheetName val="Kolom P1A &amp; P1B"/>
      <sheetName val="Kolom P2A &amp; P2B"/>
      <sheetName val="Kolom P3"/>
      <sheetName val="Kolom 5,6"/>
      <sheetName val="Kolom 7,8,9,10,11,12,15,16,17"/>
      <sheetName val="Kolom 18,19,20,21,22,23,25"/>
      <sheetName val="Kolom 26 s.d 33, 35 s.d atap"/>
      <sheetName val="SW. 1"/>
      <sheetName val="SW. 2"/>
      <sheetName val="SW. 3"/>
      <sheetName val="SW. 4"/>
      <sheetName val="SW. 5"/>
      <sheetName val="SW. 6"/>
      <sheetName val="SW. 7"/>
      <sheetName val="SW. 8"/>
      <sheetName val="SW. 9"/>
      <sheetName val="Tangga Utama"/>
      <sheetName val="Tangga Unit"/>
      <sheetName val="Parapet"/>
      <sheetName val="Planter Box"/>
      <sheetName val="BQ.3.2 STRUKTUR -BAWAH "/>
      <sheetName val="Balok Ramp"/>
      <sheetName val="BREAKDOWN"/>
      <sheetName val="CPP"/>
      <sheetName val="Pengalaman Per"/>
      <sheetName val="COA"/>
      <sheetName val="analys"/>
      <sheetName val="Daf-III.1.1. Dinding PARKIR"/>
      <sheetName val="DAf-III.8. Facade"/>
      <sheetName val="Daf-III.2.2. Pintu TOWER"/>
      <sheetName val="JUMLAHAN TOTAL "/>
      <sheetName val="Daf-III.1.2. Dinding TOWER"/>
      <sheetName val="Rencana S curve"/>
      <sheetName val="Cash flow detail breakdown"/>
      <sheetName val="List H.Bahan&amp;Upah"/>
      <sheetName val="D1. Plint"/>
      <sheetName val="Text"/>
      <sheetName val="NM"/>
      <sheetName val="Kontrak"/>
      <sheetName val="DTMx"/>
      <sheetName val="J"/>
      <sheetName val="SUMMARY"/>
      <sheetName val="MT"/>
      <sheetName val="Galian"/>
      <sheetName val="Cold Miling"/>
      <sheetName val="AC-WC"/>
      <sheetName val="Beton"/>
      <sheetName val="Harga Dasar"/>
      <sheetName val="INPUT"/>
      <sheetName val="RmSeg"/>
      <sheetName val="ANALISA SNI'07rootsREV"/>
      <sheetName val="B&amp;U"/>
      <sheetName val="Harga Bahan &amp; Upah "/>
      <sheetName val="KBL"/>
      <sheetName val="DAF-5"/>
      <sheetName val="iTEM hARSAT"/>
      <sheetName val="4.2.1"/>
      <sheetName val="Cash Flow bulanan"/>
      <sheetName val="?????"/>
      <sheetName val="List Plafound Gypsum"/>
      <sheetName val="List Plafound WR"/>
      <sheetName val="betn"/>
      <sheetName val="Screning Ac"/>
      <sheetName val="Evaluasi ( 1 )"/>
      <sheetName val="HSP swk"/>
      <sheetName val="TOEVOER"/>
      <sheetName val="BILL 4"/>
      <sheetName val="Meto"/>
      <sheetName val="UP"/>
      <sheetName val="Analisa PL"/>
      <sheetName val="Harsat Bahan"/>
      <sheetName val="Harsat Upah"/>
      <sheetName val="AHS Marka"/>
      <sheetName val="PENDAHULUAN"/>
      <sheetName val="DAF-4-PL-APARTEMENT"/>
      <sheetName val="DF-7 (2)"/>
      <sheetName val="DF-7"/>
      <sheetName val="Kabel"/>
      <sheetName val="Harga Bahan"/>
      <sheetName val="HSA &amp; PAB"/>
      <sheetName val="Harga Upah "/>
      <sheetName val="6PILE  (돌출)"/>
      <sheetName val="Div2"/>
      <sheetName val="Vibro_Roller"/>
      <sheetName val="REKAP.VOLUME"/>
      <sheetName val="htg"/>
      <sheetName val="Dashboard"/>
      <sheetName val="DIV1"/>
      <sheetName val="DAF_2_5"/>
      <sheetName val="Anls Bow"/>
      <sheetName val="Sat Bow"/>
      <sheetName val="An_Konstruksi"/>
      <sheetName val="ANALISA GEDUNG"/>
      <sheetName val="Price List"/>
      <sheetName val="Isolasi Luar Dalam"/>
      <sheetName val="Isolasi Luar"/>
      <sheetName val="Menu"/>
      <sheetName val="mat"/>
      <sheetName val="subcon"/>
      <sheetName val="Input_Data"/>
      <sheetName val="Pintu-TH"/>
      <sheetName val="Kell.Plint-TH"/>
      <sheetName val="Kel. Dind-TH"/>
      <sheetName val="EPB "/>
      <sheetName val="UPH BHN"/>
      <sheetName val="Daf_Anl"/>
      <sheetName val="SUM"/>
      <sheetName val="Analisa Tambahan"/>
      <sheetName val="Unit Cost"/>
      <sheetName val="FMU"/>
      <sheetName val="PERALATAN UTAMA AC"/>
      <sheetName val="SCAFOLDING"/>
      <sheetName val="Analisa Sipil"/>
      <sheetName val="Hrg_Sat"/>
      <sheetName val="Upah_Bahan"/>
      <sheetName val="NP (2)"/>
      <sheetName val="BASIC"/>
      <sheetName val="pro ra op"/>
      <sheetName val="Gal_Jack Hammer"/>
      <sheetName val="IN"/>
      <sheetName val="UNIT FAN"/>
      <sheetName val="rekap_A3"/>
      <sheetName val="rekap_b3"/>
      <sheetName val="grand_sum3"/>
      <sheetName val="HARGA_MATERIAL3"/>
      <sheetName val="BQ_ARS2"/>
      <sheetName val="H_Satuan2"/>
      <sheetName val="A-11_Steel_Str2"/>
      <sheetName val="A-03_Pile2"/>
      <sheetName val="Paint_Type_B1"/>
      <sheetName val="Spec_ME1"/>
      <sheetName val="RKP_ANL1"/>
      <sheetName val="REKAP_ARSITEKTUR_1"/>
      <sheetName val="9_2~PK1"/>
      <sheetName val="Rekap_Direct_Cost1"/>
      <sheetName val="DRAFT_KONSUMEN1"/>
      <sheetName val="BQ_(by_owner)1"/>
      <sheetName val="rab_me_(fisik)1"/>
      <sheetName val="rab_me_(by_owner)_1"/>
      <sheetName val="Harga_Satuan1"/>
      <sheetName val="ELEMENT_SUM1"/>
      <sheetName val="Analisa_Upah_&amp;_Bahan_Plum1"/>
      <sheetName val="pintu_jendela1"/>
      <sheetName val="01A-_RAB1"/>
      <sheetName val="Analisa_Tend1"/>
      <sheetName val="Weight_Bridge1"/>
      <sheetName val="Balok_L_12"/>
      <sheetName val="Pekerjaan_1"/>
      <sheetName val="Area_Tabulation11"/>
      <sheetName val="Proj_Data1"/>
      <sheetName val="Daf__No__-_4_21"/>
      <sheetName val="COST-PERSON-J_O_1"/>
      <sheetName val="SUM_TIANG_PC1"/>
      <sheetName val="Currency_Rate1"/>
      <sheetName val="Analisa_21"/>
      <sheetName val="Master_1_01"/>
      <sheetName val="Analisa_-Baku1"/>
      <sheetName val="Rekap_Prelim1"/>
      <sheetName val="Balok_L_13"/>
      <sheetName val="4-Basic_Price1"/>
      <sheetName val="Tie_Beam1"/>
      <sheetName val="Blk_Lt1-Lt__31"/>
      <sheetName val="data_bahan1"/>
      <sheetName val="Sub_kon1"/>
      <sheetName val="Analisa_Teknik1"/>
      <sheetName val="Material_1"/>
      <sheetName val="Upah_borong1"/>
      <sheetName val="Analisa_alat_berat___1"/>
      <sheetName val="Alat_Berat1"/>
      <sheetName val="Instal_precast1"/>
      <sheetName val="CATU_DAYA_LISTRIK_PK1"/>
      <sheetName val="PERALATAN_&amp;_KATUP2_PK1"/>
      <sheetName val="PERALATAN_UTAMA_PK1"/>
      <sheetName val="CATU_DAYA_LISTRIK_PLB1"/>
      <sheetName val="PERALATAN_&amp;_KATUP2_PLB1"/>
      <sheetName val="PERALATAN_UTAMA_PLB1"/>
      <sheetName val="PEMIPAAN_PK1"/>
      <sheetName val="PEMIPAAN_PLB1"/>
      <sheetName val="basic_price"/>
      <sheetName val="HB_1"/>
      <sheetName val="PileCap_1"/>
      <sheetName val="Blk_B11"/>
      <sheetName val="An_Struktur1"/>
      <sheetName val="Unit_Rate__2_1"/>
      <sheetName val="D2_21"/>
      <sheetName val="An_str1"/>
      <sheetName val="Direct_Cost_Thp_21"/>
      <sheetName val="GRAND_TOTAL1"/>
      <sheetName val="ASPAL_(14)1"/>
      <sheetName val="DAFTAR_HARGA1"/>
      <sheetName val="PRINT_OUT"/>
      <sheetName val="an__struktur1"/>
      <sheetName val="BQ_STR"/>
      <sheetName val="_______BoQ________"/>
      <sheetName val="An-Pre_1"/>
      <sheetName val="ANAL_KOEF1"/>
      <sheetName val="Sumber_Daya1"/>
      <sheetName val="struktur_tdk_dipakai1"/>
      <sheetName val="HS_Bhn1"/>
      <sheetName val="TOTAL_Summary1"/>
      <sheetName val="bill_51"/>
      <sheetName val="harga_1"/>
      <sheetName val="UPAH_+_ALAT1"/>
      <sheetName val="Satuan_Dasar1"/>
      <sheetName val="Dftr_Barang1"/>
      <sheetName val="Analisa_Upah___Bahan_Plum1"/>
      <sheetName val="M_AR-KUAT"/>
      <sheetName val="Faktor_Markup1"/>
      <sheetName val="Data_Markup1"/>
      <sheetName val="M_Pekerjaan1"/>
      <sheetName val="Agregat_Halus_&amp;_Kasar1"/>
      <sheetName val="Rekap_DBAK"/>
      <sheetName val="ME_UMY"/>
      <sheetName val="D_&amp;_W_sizes"/>
      <sheetName val="Perm__Test"/>
      <sheetName val="B_-_Norelec"/>
      <sheetName val="an_mek"/>
      <sheetName val="main_summary1"/>
      <sheetName val="Daftar_Harga_11"/>
      <sheetName val="Kolom_UT1"/>
      <sheetName val="Analisa_&amp;_Upah"/>
      <sheetName val="An_H_Sat_Pek_Ut"/>
      <sheetName val="D_78"/>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Material_Master"/>
      <sheetName val="2_101"/>
      <sheetName val="Analisa_STR1"/>
      <sheetName val="Ring_Balok"/>
      <sheetName val="RAB_AR&amp;STR"/>
      <sheetName val="12__Analisa"/>
      <sheetName val="banding_hrg"/>
      <sheetName val="AMD_I"/>
      <sheetName val="Bahan_Upah_Alat"/>
      <sheetName val="ans_harga"/>
      <sheetName val="POS_1234"/>
      <sheetName val="Unit_Price"/>
      <sheetName val="HRG_BHN"/>
      <sheetName val="Upah_&amp;_Bahan"/>
      <sheetName val="PRD_01-3"/>
      <sheetName val="surfacing_&amp;_point___"/>
      <sheetName val="stone_mas_ARE"/>
      <sheetName val="D3_1"/>
      <sheetName val="Tie_Beam_GN"/>
      <sheetName val="Schedule_Rev"/>
      <sheetName val="Man_Power"/>
      <sheetName val="HSBU_ANA"/>
      <sheetName val="ANALISA_PEK_UMUM"/>
      <sheetName val="analisa_PUBM"/>
      <sheetName val="VOLUME_BAJA1"/>
      <sheetName val="Bahan_"/>
      <sheetName val="Master_Edit"/>
      <sheetName val="Bill_of_Qty_MEP"/>
      <sheetName val="Daf_1"/>
      <sheetName val="HB_ARSITEKTUR"/>
      <sheetName val="HB_STRUKTUR"/>
      <sheetName val="Price_Biaya_Cadangan"/>
      <sheetName val="BQ_Rekapitulasi__Akhir"/>
      <sheetName val="RKP_PLUMBING"/>
      <sheetName val="Prog_korp"/>
      <sheetName val="An_Ars"/>
      <sheetName val="anls_space_frame"/>
      <sheetName val="RAB_1"/>
      <sheetName val="Har_Sat"/>
      <sheetName val="Bill_No_2_1_"/>
      <sheetName val="An_Arsitektur"/>
      <sheetName val="Analisa_BOW_07"/>
      <sheetName val="Kolom_B_3a_&amp;_3b"/>
      <sheetName val="Rasio_Plat"/>
      <sheetName val="Keb__besi_&amp;_Beton"/>
      <sheetName val="Raff_Foundation_Ok"/>
      <sheetName val="Pile_Cape_Ok"/>
      <sheetName val="Caping_Beam"/>
      <sheetName val="DDG__STP"/>
      <sheetName val="DDG__GWT"/>
      <sheetName val="Ret__Wall"/>
      <sheetName val="Balok_Bsm_3B-1B"/>
      <sheetName val="Balok_GF"/>
      <sheetName val="Balok_P1-P2"/>
      <sheetName val="Balok_P3"/>
      <sheetName val="Balok_5-6-7"/>
      <sheetName val="Balok_8-9-10"/>
      <sheetName val="Balok_11-12-15"/>
      <sheetName val="Balok_16-17-18"/>
      <sheetName val="Balok_19-20-21"/>
      <sheetName val="Balok_22-23-25"/>
      <sheetName val="Balok_26-27-28"/>
      <sheetName val="Balok_29-30-31"/>
      <sheetName val="Balok_32-33-35"/>
      <sheetName val="Balok_36-37-38-39"/>
      <sheetName val="Balok_Atap"/>
      <sheetName val="Kolom_B_2a_&amp;_2b"/>
      <sheetName val="Kolom_B_1a_&amp;_1b"/>
      <sheetName val="Kolom_GF_A_&amp;_B"/>
      <sheetName val="Kolom_Mezzanine"/>
      <sheetName val="Kolom_P1A_&amp;_P1B"/>
      <sheetName val="Kolom_P2A_&amp;_P2B"/>
      <sheetName val="Kolom_P3"/>
      <sheetName val="Kolom_5,6"/>
      <sheetName val="Kolom_7,8,9,10,11,12,15,16,17"/>
      <sheetName val="Kolom_18,19,20,21,22,23,25"/>
      <sheetName val="Kolom_26_s_d_33,_35_s_d_atap"/>
      <sheetName val="SW__1"/>
      <sheetName val="SW__2"/>
      <sheetName val="SW__3"/>
      <sheetName val="SW__4"/>
      <sheetName val="SW__5"/>
      <sheetName val="SW__6"/>
      <sheetName val="SW__7"/>
      <sheetName val="SW__8"/>
      <sheetName val="SW__9"/>
      <sheetName val="Tangga_Utama"/>
      <sheetName val="Tangga_Unit"/>
      <sheetName val="Planter_Box"/>
      <sheetName val="BQ_3_2_STRUKTUR_-BAWAH_"/>
      <sheetName val="Balok_Ramp"/>
      <sheetName val="DAFT_ALAT,UPAH_&amp;_MAT"/>
      <sheetName val="List_Doc"/>
      <sheetName val="ANALISA_ME"/>
      <sheetName val="Detail_BUL"/>
      <sheetName val="2-Genset_print"/>
      <sheetName val="L__Hr"/>
      <sheetName val="Metod_TWR"/>
      <sheetName val="+45,200_&amp;_+45,700_(Salah)"/>
      <sheetName val="D2_2_1"/>
      <sheetName val="B_2(LANJUTAN)"/>
      <sheetName val="Cold_Miling"/>
      <sheetName val="F_ALARM"/>
      <sheetName val="RAB_fisik"/>
      <sheetName val="Daf-1_Persiapan"/>
      <sheetName val="ALL_SUM"/>
      <sheetName val="Tubing_&amp;_fitting"/>
      <sheetName val="Pengalaman_Per"/>
      <sheetName val="rekap_A4"/>
      <sheetName val="rekap_b4"/>
      <sheetName val="grand_sum4"/>
      <sheetName val="HARGA_MATERIAL4"/>
      <sheetName val="BQ_ARS3"/>
      <sheetName val="H_Satuan3"/>
      <sheetName val="A-11_Steel_Str3"/>
      <sheetName val="A-03_Pile3"/>
      <sheetName val="Paint_Type_B2"/>
      <sheetName val="Spec_ME2"/>
      <sheetName val="RKP_ANL2"/>
      <sheetName val="REKAP_ARSITEKTUR_2"/>
      <sheetName val="9_2~PK2"/>
      <sheetName val="Rekap_Direct_Cost2"/>
      <sheetName val="DRAFT_KONSUMEN2"/>
      <sheetName val="BQ_(by_owner)2"/>
      <sheetName val="rab_me_(fisik)2"/>
      <sheetName val="rab_me_(by_owner)_2"/>
      <sheetName val="Harga_Satuan2"/>
      <sheetName val="ELEMENT_SUM2"/>
      <sheetName val="Analisa_Upah_&amp;_Bahan_Plum2"/>
      <sheetName val="pintu_jendela2"/>
      <sheetName val="01A-_RAB2"/>
      <sheetName val="Analisa_Tend2"/>
      <sheetName val="Weight_Bridge2"/>
      <sheetName val="Balok_L_14"/>
      <sheetName val="Pekerjaan_2"/>
      <sheetName val="Area_Tabulation12"/>
      <sheetName val="Proj_Data2"/>
      <sheetName val="Daf__No__-_4_22"/>
      <sheetName val="COST-PERSON-J_O_2"/>
      <sheetName val="SUM_TIANG_PC2"/>
      <sheetName val="Currency_Rate2"/>
      <sheetName val="Analisa_22"/>
      <sheetName val="Master_1_02"/>
      <sheetName val="Analisa_-Baku2"/>
      <sheetName val="Rekap_Prelim2"/>
      <sheetName val="Balok_L_15"/>
      <sheetName val="4-Basic_Price2"/>
      <sheetName val="Tie_Beam2"/>
      <sheetName val="Blk_Lt1-Lt__32"/>
      <sheetName val="data_bahan2"/>
      <sheetName val="Sub_kon2"/>
      <sheetName val="Analisa_Teknik2"/>
      <sheetName val="Material_2"/>
      <sheetName val="Upah_borong2"/>
      <sheetName val="Analisa_alat_berat___2"/>
      <sheetName val="Alat_Berat2"/>
      <sheetName val="Instal_precast2"/>
      <sheetName val="CATU_DAYA_LISTRIK_PK2"/>
      <sheetName val="PERALATAN_&amp;_KATUP2_PK2"/>
      <sheetName val="PERALATAN_UTAMA_PK2"/>
      <sheetName val="CATU_DAYA_LISTRIK_PLB2"/>
      <sheetName val="PERALATAN_&amp;_KATUP2_PLB2"/>
      <sheetName val="PERALATAN_UTAMA_PLB2"/>
      <sheetName val="PEMIPAAN_PK2"/>
      <sheetName val="PEMIPAAN_PLB2"/>
      <sheetName val="basic_price1"/>
      <sheetName val="HB_2"/>
      <sheetName val="PileCap_2"/>
      <sheetName val="Blk_B12"/>
      <sheetName val="An_Struktur2"/>
      <sheetName val="Unit_Rate__2_2"/>
      <sheetName val="D2_22"/>
      <sheetName val="An_str2"/>
      <sheetName val="Direct_Cost_Thp_22"/>
      <sheetName val="GRAND_TOTAL2"/>
      <sheetName val="ASPAL_(14)2"/>
      <sheetName val="DAFTAR_HARGA2"/>
      <sheetName val="PRINT_OUT1"/>
      <sheetName val="an__struktur2"/>
      <sheetName val="BQ_STR1"/>
      <sheetName val="_______BoQ________1"/>
      <sheetName val="An-Pre_2"/>
      <sheetName val="ANAL_KOEF2"/>
      <sheetName val="Sumber_Daya2"/>
      <sheetName val="struktur_tdk_dipakai2"/>
      <sheetName val="HS_Bhn2"/>
      <sheetName val="TOTAL_Summary2"/>
      <sheetName val="bill_52"/>
      <sheetName val="harga_2"/>
      <sheetName val="UPAH_+_ALAT2"/>
      <sheetName val="Satuan_Dasar2"/>
      <sheetName val="Dftr_Barang2"/>
      <sheetName val="Analisa_Upah___Bahan_Plum2"/>
      <sheetName val="M_AR-KUAT1"/>
      <sheetName val="Faktor_Markup2"/>
      <sheetName val="Data_Markup2"/>
      <sheetName val="M_Pekerjaan2"/>
      <sheetName val="Agregat_Halus_&amp;_Kasar2"/>
      <sheetName val="Rekap_DBAK1"/>
      <sheetName val="ME_UMY1"/>
      <sheetName val="D_&amp;_W_sizes1"/>
      <sheetName val="Perm__Test1"/>
      <sheetName val="B_-_Norelec1"/>
      <sheetName val="an_mek1"/>
      <sheetName val="main_summary2"/>
      <sheetName val="Daftar_Harga_12"/>
      <sheetName val="Kolom_UT2"/>
      <sheetName val="Analisa_&amp;_Upah1"/>
      <sheetName val="An_H_Sat_Pek_Ut1"/>
      <sheetName val="D_781"/>
      <sheetName val="D_79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Material_Master1"/>
      <sheetName val="2_102"/>
      <sheetName val="Analisa_STR2"/>
      <sheetName val="Ring_Balok1"/>
      <sheetName val="RAB_AR&amp;STR1"/>
      <sheetName val="12__Analisa1"/>
      <sheetName val="banding_hrg1"/>
      <sheetName val="AMD_I1"/>
      <sheetName val="Bahan_Upah_Alat1"/>
      <sheetName val="ans_harga1"/>
      <sheetName val="POS_12341"/>
      <sheetName val="Unit_Price1"/>
      <sheetName val="HRG_BHN1"/>
      <sheetName val="Upah_&amp;_Bahan1"/>
      <sheetName val="PRD_01-31"/>
      <sheetName val="surfacing_&amp;_point___1"/>
      <sheetName val="stone_mas_ARE1"/>
      <sheetName val="Hrg_Sat1"/>
      <sheetName val="D3_11"/>
      <sheetName val="Tie_Beam_GN1"/>
      <sheetName val="Schedule_Rev1"/>
      <sheetName val="Man_Power1"/>
      <sheetName val="HSBU_ANA1"/>
      <sheetName val="ANALISA_PEK_UMUM1"/>
      <sheetName val="analisa_PUBM1"/>
      <sheetName val="VOLUME_BAJA2"/>
      <sheetName val="Bahan_1"/>
      <sheetName val="Master_Edit1"/>
      <sheetName val="Bill_of_Qty_MEP1"/>
      <sheetName val="Daf_11"/>
      <sheetName val="HB_ARSITEKTUR1"/>
      <sheetName val="HB_STRUKTUR1"/>
      <sheetName val="Price_Biaya_Cadangan1"/>
      <sheetName val="BQ_Rekapitulasi__Akhir1"/>
      <sheetName val="RKP_PLUMBING1"/>
      <sheetName val="Prog_korp1"/>
      <sheetName val="An_Ars1"/>
      <sheetName val="anls_space_frame1"/>
      <sheetName val="RAB_11"/>
      <sheetName val="Har_Sat1"/>
      <sheetName val="Bill_No_2_1_1"/>
      <sheetName val="An_Arsitektur1"/>
      <sheetName val="Analisa_BOW_071"/>
      <sheetName val="Kolom_B_3a_&amp;_3b1"/>
      <sheetName val="Rasio_Plat1"/>
      <sheetName val="Keb__besi_&amp;_Beton1"/>
      <sheetName val="Raff_Foundation_Ok1"/>
      <sheetName val="Pile_Cape_Ok1"/>
      <sheetName val="Caping_Beam1"/>
      <sheetName val="DDG__STP1"/>
      <sheetName val="DDG__GWT1"/>
      <sheetName val="Ret__Wall1"/>
      <sheetName val="Balok_Bsm_3B-1B1"/>
      <sheetName val="Balok_GF1"/>
      <sheetName val="Balok_P1-P21"/>
      <sheetName val="Balok_P31"/>
      <sheetName val="Balok_5-6-71"/>
      <sheetName val="Balok_8-9-101"/>
      <sheetName val="Balok_11-12-151"/>
      <sheetName val="Balok_16-17-181"/>
      <sheetName val="Balok_19-20-211"/>
      <sheetName val="Balok_22-23-251"/>
      <sheetName val="Balok_26-27-281"/>
      <sheetName val="Balok_29-30-311"/>
      <sheetName val="Balok_32-33-351"/>
      <sheetName val="Balok_36-37-38-391"/>
      <sheetName val="Balok_Atap1"/>
      <sheetName val="Kolom_B_2a_&amp;_2b1"/>
      <sheetName val="Kolom_B_1a_&amp;_1b1"/>
      <sheetName val="Kolom_GF_A_&amp;_B1"/>
      <sheetName val="Kolom_Mezzanine1"/>
      <sheetName val="Kolom_P1A_&amp;_P1B1"/>
      <sheetName val="Kolom_P2A_&amp;_P2B1"/>
      <sheetName val="Kolom_P31"/>
      <sheetName val="Kolom_5,61"/>
      <sheetName val="Kolom_7,8,9,10,11,12,15,16,171"/>
      <sheetName val="Kolom_18,19,20,21,22,23,251"/>
      <sheetName val="Kolom_26_s_d_33,_35_s_d_atap1"/>
      <sheetName val="SW__11"/>
      <sheetName val="SW__21"/>
      <sheetName val="SW__31"/>
      <sheetName val="SW__41"/>
      <sheetName val="SW__51"/>
      <sheetName val="SW__61"/>
      <sheetName val="SW__71"/>
      <sheetName val="SW__81"/>
      <sheetName val="SW__91"/>
      <sheetName val="Tangga_Utama1"/>
      <sheetName val="Tangga_Unit1"/>
      <sheetName val="Planter_Box1"/>
      <sheetName val="BQ_3_2_STRUKTUR_-BAWAH_1"/>
      <sheetName val="Balok_Ramp1"/>
      <sheetName val="DAFT_ALAT,UPAH_&amp;_MAT1"/>
      <sheetName val="List_Doc1"/>
      <sheetName val="ANALISA_ME1"/>
      <sheetName val="Detail_BUL1"/>
      <sheetName val="2-Genset_print1"/>
      <sheetName val="L__Hr1"/>
      <sheetName val="Metod_TWR1"/>
      <sheetName val="+45,200_&amp;_+45,700_(Salah)1"/>
      <sheetName val="D2_2_11"/>
      <sheetName val="B_2(LANJUTAN)1"/>
      <sheetName val="Cold_Miling1"/>
      <sheetName val="F_ALARM1"/>
      <sheetName val="RAB_fisik1"/>
      <sheetName val="Daf-1_Persiapan1"/>
      <sheetName val="ALL_SUM1"/>
      <sheetName val="Tubing_&amp;_fitting1"/>
      <sheetName val="Pengalaman_Per1"/>
      <sheetName val="Peserta"/>
      <sheetName val="Eva. Progres"/>
      <sheetName val="5-ALAT(1)"/>
      <sheetName val="inves alat"/>
      <sheetName val="dashboard VERSI BATUBARA"/>
      <sheetName val="s5"/>
      <sheetName val="Surat Pernyataan"/>
      <sheetName val="Daftarharga"/>
      <sheetName val="B D_AHS6"/>
      <sheetName val="INPUT HARIAN"/>
      <sheetName val="Gudang non AC-AC Struktur"/>
      <sheetName val="Superstruc"/>
      <sheetName val="Harga Bahan &amp; Upah"/>
      <sheetName val="JOB'S"/>
      <sheetName val="H_Dasar"/>
      <sheetName val="asumsi"/>
      <sheetName val="INPUT AGST"/>
      <sheetName val="KODE UPAH"/>
      <sheetName val="Analisa (2)"/>
      <sheetName val="FINAL"/>
      <sheetName val="Fill this out first___"/>
      <sheetName val="BQ_effice"/>
      <sheetName val="civil-work"/>
      <sheetName val="MPADC"/>
      <sheetName val="S_BoQ"/>
      <sheetName val="Bill 2.3"/>
      <sheetName val="Bill 2.5B"/>
      <sheetName val="Bill 2.1"/>
      <sheetName val="MU"/>
      <sheetName val="prelim"/>
      <sheetName val="REKAP_BACKUP MC 4"/>
      <sheetName val="REKAP_BACKUP MC3"/>
      <sheetName val="7.공정표"/>
      <sheetName val="AnalisaSIPIL RIIL"/>
      <sheetName val="pivot"/>
      <sheetName val="Guidewaybeam"/>
      <sheetName val="REKAP "/>
      <sheetName val="SCH"/>
      <sheetName val="Unit"/>
      <sheetName val="Price_List"/>
      <sheetName val="Dating"/>
      <sheetName val="HM"/>
      <sheetName val="Harsat Pekerjaan"/>
      <sheetName val="anl.sa"/>
      <sheetName val="B.as"/>
      <sheetName val="F1771-V"/>
      <sheetName val="1.Quot-Grissik"/>
      <sheetName val="Detail Piutang"/>
      <sheetName val="KODE REK"/>
      <sheetName val="Extention"/>
      <sheetName val="Sum EL"/>
      <sheetName val="A-11 Steel Str (2)"/>
      <sheetName val="GRAND REKAP"/>
      <sheetName val="Markup"/>
      <sheetName val="Analisa Harga Sat"/>
      <sheetName val="LPMING1"/>
      <sheetName val="rab strktr ars print"/>
      <sheetName val="Pek.Luar"/>
      <sheetName val="Anls_BKL"/>
      <sheetName val="MTa"/>
      <sheetName val="ELEK"/>
      <sheetName val="AnalisaSIPIL RIIL RAP"/>
      <sheetName val="Tataudara"/>
      <sheetName val="V-5700"/>
      <sheetName val="Data PJ"/>
      <sheetName val="Pintu Jendela per_lantai_"/>
      <sheetName val="SATUAN "/>
      <sheetName val="ANALISA SNI'08(ubh bgsting)"/>
      <sheetName val="REKAP ANALISA"/>
      <sheetName val="DC"/>
      <sheetName val="RAB-ARS"/>
      <sheetName val="Sat Upah"/>
      <sheetName val="ANalisa "/>
      <sheetName val="B _ Norelec"/>
      <sheetName val="PENGAL yg Dilaksanakan"/>
      <sheetName val="Piping Design Data"/>
      <sheetName val="extern"/>
      <sheetName val="TBL_BANTU"/>
      <sheetName val="TBL_PROYEK"/>
      <sheetName val=""/>
      <sheetName val="pers"/>
      <sheetName val="pml"/>
      <sheetName val="FORM 3A"/>
      <sheetName val="k341k612"/>
      <sheetName val="Uraian"/>
      <sheetName val="L-3 DHSD"/>
      <sheetName val="BD 2.1 - 7.1(8)"/>
      <sheetName val="tabel"/>
      <sheetName val="rekap_A5"/>
      <sheetName val="rekap_b5"/>
      <sheetName val="grand_sum5"/>
      <sheetName val="HARGA_MATERIAL5"/>
      <sheetName val="BQ_ARS4"/>
      <sheetName val="H_Satuan4"/>
      <sheetName val="A-11_Steel_Str4"/>
      <sheetName val="A-03_Pile4"/>
      <sheetName val="Paint_Type_B3"/>
      <sheetName val="RKP_ANL3"/>
      <sheetName val="Spec_ME3"/>
      <sheetName val="REKAP_ARSITEKTUR_3"/>
      <sheetName val="BQ_(by_owner)3"/>
      <sheetName val="rab_me_(fisik)3"/>
      <sheetName val="rab_me_(by_owner)_3"/>
      <sheetName val="pintu_jendela3"/>
      <sheetName val="01A-_RAB3"/>
      <sheetName val="ELEMENT_SUM3"/>
      <sheetName val="9_2~PK3"/>
      <sheetName val="Harga_Satuan3"/>
      <sheetName val="Analisa_Upah_&amp;_Bahan_Plum3"/>
      <sheetName val="Area_Tabulation13"/>
      <sheetName val="Proj_Data3"/>
      <sheetName val="Rekap_Direct_Cost3"/>
      <sheetName val="Balok_L_16"/>
      <sheetName val="SUM_TIANG_PC3"/>
      <sheetName val="Analisa_Tend3"/>
      <sheetName val="Daf__No__-_4_23"/>
      <sheetName val="Currency_Rate3"/>
      <sheetName val="Analisa_23"/>
      <sheetName val="Pekerjaan_3"/>
      <sheetName val="Master_1_03"/>
      <sheetName val="Analisa_-Baku3"/>
      <sheetName val="Rekap_Prelim3"/>
      <sheetName val="Balok_L_17"/>
      <sheetName val="data_bahan3"/>
      <sheetName val="Sub_kon3"/>
      <sheetName val="Analisa_Teknik3"/>
      <sheetName val="Material_3"/>
      <sheetName val="Upah_borong3"/>
      <sheetName val="Analisa_alat_berat___3"/>
      <sheetName val="Alat_Berat3"/>
      <sheetName val="Instal_precast3"/>
      <sheetName val="4-Basic_Price3"/>
      <sheetName val="DRAFT_KONSUMEN3"/>
      <sheetName val="Weight_Bridge3"/>
      <sheetName val="COST-PERSON-J_O_3"/>
      <sheetName val="CATU_DAYA_LISTRIK_PK3"/>
      <sheetName val="PERALATAN_&amp;_KATUP2_PK3"/>
      <sheetName val="PERALATAN_UTAMA_PK3"/>
      <sheetName val="CATU_DAYA_LISTRIK_PLB3"/>
      <sheetName val="PERALATAN_&amp;_KATUP2_PLB3"/>
      <sheetName val="PERALATAN_UTAMA_PLB3"/>
      <sheetName val="PEMIPAAN_PK3"/>
      <sheetName val="PEMIPAAN_PLB3"/>
      <sheetName val="HB_3"/>
      <sheetName val="PileCap_3"/>
      <sheetName val="Blk_B13"/>
      <sheetName val="An_Struktur3"/>
      <sheetName val="Unit_Rate__2_3"/>
      <sheetName val="D2_23"/>
      <sheetName val="An_str3"/>
      <sheetName val="Direct_Cost_Thp_23"/>
      <sheetName val="Tie_Beam3"/>
      <sheetName val="Blk_Lt1-Lt__33"/>
      <sheetName val="GRAND_TOTAL3"/>
      <sheetName val="ASPAL_(14)3"/>
      <sheetName val="DAFTAR_HARGA3"/>
      <sheetName val="basic_price2"/>
      <sheetName val="an__struktur3"/>
      <sheetName val="BQ_STR2"/>
      <sheetName val="PRINT_OUT2"/>
      <sheetName val="_______BoQ________2"/>
      <sheetName val="An-Pre_3"/>
      <sheetName val="struktur_tdk_dipakai3"/>
      <sheetName val="HS_Bhn3"/>
      <sheetName val="TOTAL_Summary3"/>
      <sheetName val="bill_53"/>
      <sheetName val="harga_3"/>
      <sheetName val="UPAH_+_ALAT3"/>
      <sheetName val="ANAL_KOEF3"/>
      <sheetName val="Sumber_Daya3"/>
      <sheetName val="Satuan_Dasar3"/>
      <sheetName val="Rekap_DBAK2"/>
      <sheetName val="ME_UMY2"/>
      <sheetName val="B_-_Norelec2"/>
      <sheetName val="an_mek2"/>
      <sheetName val="Analisa_Upah___Bahan_Plum3"/>
      <sheetName val="main_summary3"/>
      <sheetName val="Daftar_Harga_13"/>
      <sheetName val="Kolom_UT3"/>
      <sheetName val="Analisa_&amp;_Upah2"/>
      <sheetName val="Perm__Test2"/>
      <sheetName val="Analisa_STR3"/>
      <sheetName val="Faktor_Markup3"/>
      <sheetName val="Data_Markup3"/>
      <sheetName val="M_Pekerjaan3"/>
      <sheetName val="M_AR-KUAT2"/>
      <sheetName val="Material_Master2"/>
      <sheetName val="Dftr_Barang3"/>
      <sheetName val="Agregat_Halus_&amp;_Kasar3"/>
      <sheetName val="2_103"/>
      <sheetName val="Ring_Balok2"/>
      <sheetName val="RAB_AR&amp;STR2"/>
      <sheetName val="12__Analisa2"/>
      <sheetName val="Bahan_Upah_Alat2"/>
      <sheetName val="surfacing_&amp;_point___2"/>
      <sheetName val="stone_mas_ARE2"/>
      <sheetName val="D_&amp;_W_sizes2"/>
      <sheetName val="An_H_Sat_Pek_Ut2"/>
      <sheetName val="D_782"/>
      <sheetName val="D_79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banding_hrg2"/>
      <sheetName val="AMD_I2"/>
      <sheetName val="ans_harga2"/>
      <sheetName val="POS_12342"/>
      <sheetName val="Unit_Price2"/>
      <sheetName val="HRG_BHN2"/>
      <sheetName val="Upah_&amp;_Bahan2"/>
      <sheetName val="PRD_01-32"/>
      <sheetName val="Hrg_Sat2"/>
      <sheetName val="D3_12"/>
      <sheetName val="Tie_Beam_GN2"/>
      <sheetName val="Schedule_Rev2"/>
      <sheetName val="Man_Power2"/>
      <sheetName val="HSBU_ANA2"/>
      <sheetName val="ANALISA_PEK_UMUM2"/>
      <sheetName val="analisa_PUBM2"/>
      <sheetName val="VOLUME_BAJA3"/>
      <sheetName val="Bahan_2"/>
      <sheetName val="Master_Edit2"/>
      <sheetName val="Bill_of_Qty_MEP2"/>
      <sheetName val="Daf_12"/>
      <sheetName val="HB_ARSITEKTUR2"/>
      <sheetName val="HB_STRUKTUR2"/>
      <sheetName val="Price_Biaya_Cadangan2"/>
      <sheetName val="BQ_Rekapitulasi__Akhir2"/>
      <sheetName val="RKP_PLUMBING2"/>
      <sheetName val="Prog_korp2"/>
      <sheetName val="An_Ars2"/>
      <sheetName val="anls_space_frame2"/>
      <sheetName val="RAB_12"/>
      <sheetName val="Har_Sat2"/>
      <sheetName val="Bill_No_2_1_2"/>
      <sheetName val="An_Arsitektur2"/>
      <sheetName val="Analisa_BOW_072"/>
      <sheetName val="Kolom_B_3a_&amp;_3b2"/>
      <sheetName val="Rasio_Plat2"/>
      <sheetName val="Keb__besi_&amp;_Beton2"/>
      <sheetName val="Raff_Foundation_Ok2"/>
      <sheetName val="Pile_Cape_Ok2"/>
      <sheetName val="Caping_Beam2"/>
      <sheetName val="DDG__STP2"/>
      <sheetName val="DDG__GWT2"/>
      <sheetName val="Ret__Wall2"/>
      <sheetName val="Balok_Bsm_3B-1B2"/>
      <sheetName val="Balok_GF2"/>
      <sheetName val="Balok_P1-P22"/>
      <sheetName val="Balok_P32"/>
      <sheetName val="Balok_5-6-72"/>
      <sheetName val="Balok_8-9-102"/>
      <sheetName val="Balok_11-12-152"/>
      <sheetName val="Balok_16-17-182"/>
      <sheetName val="Balok_19-20-212"/>
      <sheetName val="Balok_22-23-252"/>
      <sheetName val="Balok_26-27-282"/>
      <sheetName val="Balok_29-30-312"/>
      <sheetName val="Balok_32-33-352"/>
      <sheetName val="Balok_36-37-38-392"/>
      <sheetName val="Balok_Atap2"/>
      <sheetName val="Kolom_B_2a_&amp;_2b2"/>
      <sheetName val="Kolom_B_1a_&amp;_1b2"/>
      <sheetName val="Kolom_GF_A_&amp;_B2"/>
      <sheetName val="Kolom_Mezzanine2"/>
      <sheetName val="Kolom_P1A_&amp;_P1B2"/>
      <sheetName val="Kolom_P2A_&amp;_P2B2"/>
      <sheetName val="Kolom_P32"/>
      <sheetName val="Kolom_5,62"/>
      <sheetName val="Kolom_7,8,9,10,11,12,15,16,172"/>
      <sheetName val="Kolom_18,19,20,21,22,23,252"/>
      <sheetName val="Kolom_26_s_d_33,_35_s_d_atap2"/>
      <sheetName val="SW__12"/>
      <sheetName val="SW__22"/>
      <sheetName val="SW__32"/>
      <sheetName val="SW__42"/>
      <sheetName val="SW__52"/>
      <sheetName val="SW__62"/>
      <sheetName val="SW__72"/>
      <sheetName val="SW__82"/>
      <sheetName val="SW__92"/>
      <sheetName val="Tangga_Utama2"/>
      <sheetName val="Tangga_Unit2"/>
      <sheetName val="Planter_Box2"/>
      <sheetName val="BQ_3_2_STRUKTUR_-BAWAH_2"/>
      <sheetName val="Balok_Ramp2"/>
      <sheetName val="DAFT_ALAT,UPAH_&amp;_MAT2"/>
      <sheetName val="List_Doc2"/>
      <sheetName val="ANALISA_ME2"/>
      <sheetName val="Detail_BUL2"/>
      <sheetName val="2-Genset_print2"/>
      <sheetName val="L__Hr2"/>
      <sheetName val="Metod_TWR2"/>
      <sheetName val="+45,200_&amp;_+45,700_(Salah)2"/>
      <sheetName val="D2_2_12"/>
      <sheetName val="B_2(LANJUTAN)2"/>
      <sheetName val="Cold_Miling2"/>
      <sheetName val="F_ALARM2"/>
      <sheetName val="Daf-1_Persiapan2"/>
      <sheetName val="ALL_SUM2"/>
      <sheetName val="Tubing_&amp;_fitting2"/>
      <sheetName val="Pengalaman_Per2"/>
      <sheetName val="iTEM_hARSAT"/>
      <sheetName val="4_2_1"/>
      <sheetName val="Cash_Flow_bulanan"/>
      <sheetName val="RAB_fisik2"/>
      <sheetName val="List_Plafound_Gypsum"/>
      <sheetName val="List_Plafound_WR"/>
      <sheetName val="Screning_Ac"/>
      <sheetName val="Evaluasi_(_1_)"/>
      <sheetName val="Gal_Jack_Hammer"/>
      <sheetName val="Harsat_Bahan"/>
      <sheetName val="Harsat_Upah"/>
      <sheetName val="Daf-III_1_1__Dinding_PARKIR"/>
      <sheetName val="DAf-III_8__Facade"/>
      <sheetName val="Daf-III_2_2__Pintu_TOWER"/>
      <sheetName val="JUMLAHAN_TOTAL_"/>
      <sheetName val="Daf-III_1_2__Dinding_TOWER"/>
      <sheetName val="Rencana_S_curve"/>
      <sheetName val="Cash_flow_detail_breakdown"/>
      <sheetName val="List_H_Bahan&amp;Upah"/>
      <sheetName val="REKAP_VOLUME1"/>
      <sheetName val="D1__Plint"/>
      <sheetName val="Harga_Bahan"/>
      <sheetName val="HSA_&amp;_PAB"/>
      <sheetName val="Harga_Upah_"/>
      <sheetName val="Eva__Progres"/>
      <sheetName val="DF-7_(2)"/>
      <sheetName val="BILL_4"/>
      <sheetName val="Kell_Plint-TH"/>
      <sheetName val="Kel__Dind-TH"/>
      <sheetName val="EPB_"/>
      <sheetName val="pro_ra_op"/>
      <sheetName val="inves_alat"/>
      <sheetName val="dashboard_VERSI_BATUBARA"/>
      <sheetName val="HSP_swk"/>
      <sheetName val="NP_(2)"/>
      <sheetName val="6PILE__(돌출)"/>
      <sheetName val="Analisa_Tambahan"/>
      <sheetName val="Analisa_PL"/>
      <sheetName val="Surat_Pernyataan"/>
      <sheetName val="Isolasi_Luar_Dalam"/>
      <sheetName val="Isolasi_Luar"/>
      <sheetName val="Harga_Dasar"/>
      <sheetName val="rab_strktr_ars_print"/>
      <sheetName val="AHS_Marka"/>
      <sheetName val="UPH_BHN"/>
      <sheetName val="Unit_Cost"/>
      <sheetName val="ANALISA_(2)"/>
      <sheetName val="RAB_RS"/>
      <sheetName val="RL Biaya"/>
      <sheetName val="Grand summary"/>
      <sheetName val="PRD 01-9"/>
      <sheetName val="PRD 01-11"/>
      <sheetName val="PRD 01-5"/>
      <sheetName val="Rekap 1"/>
      <sheetName val="PRD 01-6"/>
      <sheetName val="PRD 01-8"/>
      <sheetName val="PRD 01-7"/>
      <sheetName val="Summary "/>
      <sheetName val="besi"/>
      <sheetName val="RUCIKA&amp;WAVIN"/>
      <sheetName val="Prod.Alat"/>
      <sheetName val="Rek.Cianten3"/>
      <sheetName val="Sat-Bhn&amp;Upah Paket 04"/>
      <sheetName val="Spek-ME"/>
      <sheetName val="Pile Cap"/>
      <sheetName val="TAMBAHAN PANCANG"/>
      <sheetName val="REKAP BESI BATANG"/>
      <sheetName val="Rincian Bunga Bank"/>
      <sheetName val="Analisa Tend (2)"/>
      <sheetName val="a.h ars"/>
      <sheetName val="harsat sdy"/>
      <sheetName val="DailyWeeklyPlan"/>
      <sheetName val="URUTAN BUKA"/>
      <sheetName val="jml pekerja"/>
      <sheetName val="BL (1)"/>
      <sheetName val="B.ARC"/>
      <sheetName val="9-1차이내역"/>
      <sheetName val="rINCIAN"/>
      <sheetName val="ana_san"/>
      <sheetName val="Variables"/>
      <sheetName val="cor-'98-2"/>
      <sheetName val="IDENTITAS"/>
      <sheetName val="Sub Penjumlahan"/>
      <sheetName val="DATA OP"/>
      <sheetName val="DAFTAR 7"/>
      <sheetName val="DAFTAR_8"/>
      <sheetName val="Alat PL"/>
      <sheetName val="HARGA SATUAN ARS"/>
      <sheetName val="japanese"/>
      <sheetName val="ANLS-PJ"/>
      <sheetName val="3-DIV2"/>
      <sheetName val="RFP005"/>
      <sheetName val="ANALISA HARGA SATUAN"/>
      <sheetName val="RAB Temiling "/>
      <sheetName val="CODE"/>
      <sheetName val="konci"/>
      <sheetName val="1"/>
      <sheetName val="Balok"/>
      <sheetName val="PC"/>
      <sheetName val="ALAT-1"/>
      <sheetName val="LINK-MAST. BASIC PRICE"/>
      <sheetName val="SAT"/>
      <sheetName val="集計表_ﾍﾞｰｽ"/>
      <sheetName val="TS"/>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refreshError="1"/>
      <sheetData sheetId="647" refreshError="1"/>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sheetData sheetId="1087"/>
      <sheetData sheetId="1088"/>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sheetData sheetId="1137"/>
      <sheetData sheetId="1138"/>
      <sheetData sheetId="1139"/>
      <sheetData sheetId="1140"/>
      <sheetData sheetId="1141"/>
      <sheetData sheetId="1142"/>
      <sheetData sheetId="1143" refreshError="1"/>
      <sheetData sheetId="1144" refreshError="1"/>
      <sheetData sheetId="1145" refreshError="1"/>
      <sheetData sheetId="1146" refreshError="1"/>
      <sheetData sheetId="1147"/>
      <sheetData sheetId="1148" refreshError="1"/>
      <sheetData sheetId="1149" refreshError="1"/>
      <sheetData sheetId="1150"/>
      <sheetData sheetId="1151" refreshError="1"/>
      <sheetData sheetId="1152" refreshError="1"/>
      <sheetData sheetId="1153" refreshError="1"/>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refreshError="1"/>
      <sheetData sheetId="1194" refreshError="1"/>
      <sheetData sheetId="1195"/>
      <sheetData sheetId="1196" refreshError="1"/>
      <sheetData sheetId="1197" refreshError="1"/>
      <sheetData sheetId="1198" refreshError="1"/>
      <sheetData sheetId="1199"/>
      <sheetData sheetId="1200" refreshError="1"/>
      <sheetData sheetId="1201" refreshError="1"/>
      <sheetData sheetId="1202" refreshError="1"/>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sheetData sheetId="1487"/>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PRICE "/>
      <sheetName val="rumus untuk unit"/>
      <sheetName val="UNIT PRICE dari rumus"/>
      <sheetName val="UNIT PRICE dari Daerah"/>
      <sheetName val="AHSbj"/>
      <sheetName val="UPAH"/>
      <sheetName val="ANALISA"/>
      <sheetName val="RAB"/>
      <sheetName val="REKAP"/>
      <sheetName val="Sheet1"/>
      <sheetName val="porsi"/>
      <sheetName val="BASIC_PRICE_2"/>
      <sheetName val="rumus_untuk_unit2"/>
      <sheetName val="UNIT_PRICE_dari_rumus2"/>
      <sheetName val="UNIT_PRICE_dari_Daerah2"/>
      <sheetName val="BASIC_PRICE_"/>
      <sheetName val="rumus_untuk_unit"/>
      <sheetName val="UNIT_PRICE_dari_rumus"/>
      <sheetName val="UNIT_PRICE_dari_Daerah"/>
      <sheetName val="BASIC_PRICE_1"/>
      <sheetName val="rumus_untuk_unit1"/>
      <sheetName val="UNIT_PRICE_dari_rumus1"/>
      <sheetName val="UNIT_PRICE_dari_Daerah1"/>
      <sheetName val="BASIC_PRICE_3"/>
      <sheetName val="rumus_untuk_unit3"/>
      <sheetName val="UNIT_PRICE_dari_rumus3"/>
      <sheetName val="UNIT_PRICE_dari_Daerah3"/>
      <sheetName val="BASIC_PRICE_13"/>
      <sheetName val="rumus_untuk_unit13"/>
      <sheetName val="UNIT_PRICE_dari_rumus13"/>
      <sheetName val="UNIT_PRICE_dari_Daerah13"/>
      <sheetName val="BASIC_PRICE_4"/>
      <sheetName val="rumus_untuk_unit4"/>
      <sheetName val="UNIT_PRICE_dari_rumus4"/>
      <sheetName val="UNIT_PRICE_dari_Daerah4"/>
      <sheetName val="BASIC_PRICE_5"/>
      <sheetName val="rumus_untuk_unit5"/>
      <sheetName val="UNIT_PRICE_dari_rumus5"/>
      <sheetName val="UNIT_PRICE_dari_Daerah5"/>
      <sheetName val="BASIC_PRICE_12"/>
      <sheetName val="rumus_untuk_unit12"/>
      <sheetName val="UNIT_PRICE_dari_rumus12"/>
      <sheetName val="UNIT_PRICE_dari_Daerah12"/>
      <sheetName val="BASIC_PRICE_11"/>
      <sheetName val="rumus_untuk_unit11"/>
      <sheetName val="UNIT_PRICE_dari_rumus11"/>
      <sheetName val="UNIT_PRICE_dari_Daerah11"/>
      <sheetName val="BASIC_PRICE_10"/>
      <sheetName val="rumus_untuk_unit10"/>
      <sheetName val="UNIT_PRICE_dari_rumus10"/>
      <sheetName val="UNIT_PRICE_dari_Daerah10"/>
      <sheetName val="BASIC_PRICE_9"/>
      <sheetName val="rumus_untuk_unit9"/>
      <sheetName val="UNIT_PRICE_dari_rumus9"/>
      <sheetName val="UNIT_PRICE_dari_Daerah9"/>
      <sheetName val="BASIC_PRICE_6"/>
      <sheetName val="rumus_untuk_unit6"/>
      <sheetName val="UNIT_PRICE_dari_rumus6"/>
      <sheetName val="UNIT_PRICE_dari_Daerah6"/>
      <sheetName val="BASIC_PRICE_7"/>
      <sheetName val="rumus_untuk_unit7"/>
      <sheetName val="UNIT_PRICE_dari_rumus7"/>
      <sheetName val="UNIT_PRICE_dari_Daerah7"/>
      <sheetName val="BASIC_PRICE_8"/>
      <sheetName val="rumus_untuk_unit8"/>
      <sheetName val="UNIT_PRICE_dari_rumus8"/>
      <sheetName val="UNIT_PRICE_dari_Daerah8"/>
      <sheetName val="PERSIAPAN"/>
      <sheetName val="UTILITAS"/>
      <sheetName val="ELEMENT SUM"/>
      <sheetName val="SUR-HARGA"/>
    </sheetNames>
    <sheetDataSet>
      <sheetData sheetId="0" refreshError="1">
        <row r="94">
          <cell r="K94">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TRY"/>
      <sheetName val="ENTRY2"/>
      <sheetName val="H Satuan"/>
      <sheetName val="Galian"/>
      <sheetName val="Urugan"/>
      <sheetName val="MAP"/>
      <sheetName val="SAP"/>
      <sheetName val="VAP"/>
      <sheetName val="Hit Jln"/>
      <sheetName val="RAB-Jln"/>
      <sheetName val="Anal Rabat"/>
      <sheetName val="RAB Rabat"/>
      <sheetName val="nal talud"/>
      <sheetName val="RAB-Grng"/>
      <sheetName val="RAB Talud"/>
      <sheetName val="Rekap Rab"/>
      <sheetName val="Rekap Rab (2)"/>
      <sheetName val="gbr jlan"/>
      <sheetName val="gbr gor"/>
      <sheetName val="ANALGR"/>
      <sheetName val="Fom Bantu"/>
      <sheetName val="Jln Telasah"/>
      <sheetName val="situasi"/>
    </sheetNames>
    <sheetDataSet>
      <sheetData sheetId="0"/>
      <sheetData sheetId="1"/>
      <sheetData sheetId="2">
        <row r="17">
          <cell r="F17">
            <v>40000</v>
          </cell>
        </row>
        <row r="19">
          <cell r="F19">
            <v>34000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Rutin"/>
      <sheetName val="Kuantitas"/>
      <sheetName val="Analisa HSP"/>
    </sheetNames>
    <sheetDataSet>
      <sheetData sheetId="0">
        <row r="7">
          <cell r="D7" t="str">
            <v>: 10.1 (1)</v>
          </cell>
        </row>
      </sheetData>
      <sheetData sheetId="1"/>
      <sheetData sheetId="2"/>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totap+apbd (2)"/>
      <sheetName val="Rekap APBN"/>
      <sheetName val="Rekap APBD"/>
      <sheetName val="AN PIPA (2)"/>
      <sheetName val="GENZET"/>
      <sheetName val="Acsesoris"/>
      <sheetName val="BAHAN"/>
      <sheetName val="PJ"/>
      <sheetName val="PS"/>
      <sheetName val="JP 2 75"/>
      <sheetName val="SNI FIX"/>
      <sheetName val="Prasedimen1"/>
      <sheetName val="SDB"/>
      <sheetName val="RESERVOIR 100"/>
      <sheetName val="R.GENSET"/>
      <sheetName val="P.Sub Pelayanan"/>
      <sheetName val="P.Sub Prased"/>
      <sheetName val="pagar (2)"/>
      <sheetName val="JP 7"/>
      <sheetName val="JP10"/>
      <sheetName val="JP 12"/>
      <sheetName val="JP 22"/>
    </sheetNames>
    <sheetDataSet>
      <sheetData sheetId="0"/>
      <sheetData sheetId="1"/>
      <sheetData sheetId="2"/>
      <sheetData sheetId="3"/>
      <sheetData sheetId="4"/>
      <sheetData sheetId="5"/>
      <sheetData sheetId="6">
        <row r="215">
          <cell r="F215">
            <v>44000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610 - Asset Bangunan 2014"/>
      <sheetName val="Database - Input data"/>
      <sheetName val="Room Lookup"/>
      <sheetName val="Depreciation of Assets"/>
      <sheetName val="The Value of assets"/>
      <sheetName val="Payment of Assets"/>
      <sheetName val="AKUN"/>
      <sheetName val="Home Contents Inventory Lis (2"/>
      <sheetName val="Pekerjaan Bu Weni"/>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_UP"/>
      <sheetName val="ALAT"/>
      <sheetName val="BH-UP"/>
      <sheetName val="ANALISA Ok"/>
      <sheetName val="ESAN I "/>
      <sheetName val="sumber sentong "/>
      <sheetName val="LEGUNDI 1"/>
      <sheetName val="SUKUN "/>
      <sheetName val=" BLO'AN"/>
      <sheetName val="DAM BLO'AN 1 "/>
      <sheetName val="Price Biaya Cadangan"/>
      <sheetName val="BQ.Rekapitulasi  Akhir"/>
      <sheetName val="boq (2)"/>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ELEKTRIKAL"/>
      <sheetName val="REKAP"/>
      <sheetName val="AC"/>
      <sheetName val="Plumbing"/>
      <sheetName val="Dafmat"/>
      <sheetName val="Pompa"/>
      <sheetName val="Ven Fan"/>
      <sheetName val="Ana Duct"/>
      <sheetName val="Hsd Duct"/>
      <sheetName val="Pipe"/>
      <sheetName val="Grille"/>
      <sheetName val="valve-20k"/>
      <sheetName val="valve-10k"/>
      <sheetName val="T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erpolasi"/>
      <sheetName val="Rek. Total"/>
      <sheetName val="Estimasi pake"/>
      <sheetName val="analisa harga "/>
      <sheetName val="harga bahan"/>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SPH"/>
      <sheetName val="Rekap "/>
      <sheetName val="RAB"/>
      <sheetName val="analisa"/>
      <sheetName val="dhs"/>
      <sheetName val="B-Price"/>
      <sheetName val="ANAL lump sum"/>
      <sheetName val="TS"/>
      <sheetName val="mat&amp;tool"/>
      <sheetName val="bantai"/>
      <sheetName val="metode"/>
      <sheetName val="URAIAN TEKNIS"/>
      <sheetName val="USULAN ALAT"/>
      <sheetName val="DUKLAT"/>
      <sheetName val="SUBKON"/>
      <sheetName val="UNTUNG RUGI"/>
      <sheetName val="RAP"/>
      <sheetName val="RAPlenk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5">
          <cell r="A55">
            <v>1</v>
          </cell>
        </row>
      </sheetData>
      <sheetData sheetId="17" refreshError="1"/>
      <sheetData sheetId="18"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15 HARIAN KARANG ANYAR"/>
      <sheetName val="MaxDaily"/>
      <sheetName val="sum_monthly"/>
      <sheetName val="Publ.2006"/>
      <sheetName val="Publ.2005"/>
      <sheetName val="summary"/>
      <sheetName val="Re 80"/>
      <sheetName val="Data Summary"/>
      <sheetName val="2008"/>
      <sheetName val="2007"/>
      <sheetName val="2006"/>
      <sheetName val="2005"/>
      <sheetName val="2004"/>
      <sheetName val="2003"/>
      <sheetName val="2002"/>
      <sheetName val="2001"/>
      <sheetName val="2000"/>
      <sheetName val="1999"/>
      <sheetName val="1998"/>
      <sheetName val="1997"/>
      <sheetName val="1996"/>
      <sheetName val="1995"/>
      <sheetName val="1994"/>
      <sheetName val="1993"/>
      <sheetName val="1992"/>
      <sheetName val="1991"/>
      <sheetName val="1990"/>
      <sheetName val="1989"/>
      <sheetName val="1988"/>
      <sheetName val="1987"/>
      <sheetName val="1986"/>
      <sheetName val="1985"/>
      <sheetName val="1984"/>
      <sheetName val="1983"/>
      <sheetName val="1982"/>
      <sheetName val="1981"/>
      <sheetName val="1980"/>
      <sheetName val="1979"/>
      <sheetName val="1978"/>
      <sheetName val="1977"/>
      <sheetName val="1976"/>
      <sheetName val="1975"/>
      <sheetName val="1974"/>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b trikarya"/>
      <sheetName val="rekap trikarya"/>
      <sheetName val="bahan"/>
      <sheetName val="analisa"/>
      <sheetName val="rab trikarya bq"/>
      <sheetName val="rekap trikarya bq"/>
    </sheetNames>
    <sheetDataSet>
      <sheetData sheetId="0" refreshError="1"/>
      <sheetData sheetId="1" refreshError="1"/>
      <sheetData sheetId="2">
        <row r="79">
          <cell r="A79">
            <v>1</v>
          </cell>
          <cell r="B79" t="str">
            <v>Mandor</v>
          </cell>
          <cell r="D79" t="str">
            <v>hr</v>
          </cell>
          <cell r="E79">
            <v>50000</v>
          </cell>
        </row>
        <row r="80">
          <cell r="A80">
            <v>2</v>
          </cell>
          <cell r="B80" t="str">
            <v>Kepala Tukang Kayu</v>
          </cell>
          <cell r="D80" t="str">
            <v>hr</v>
          </cell>
          <cell r="E80">
            <v>50000</v>
          </cell>
        </row>
        <row r="81">
          <cell r="A81">
            <v>3</v>
          </cell>
          <cell r="B81" t="str">
            <v>Kepala Tukang Batu</v>
          </cell>
          <cell r="D81" t="str">
            <v>hr</v>
          </cell>
          <cell r="E81">
            <v>40000</v>
          </cell>
        </row>
        <row r="82">
          <cell r="A82">
            <v>4</v>
          </cell>
          <cell r="B82" t="str">
            <v>Kepala Tukang Besi</v>
          </cell>
          <cell r="D82" t="str">
            <v>hr</v>
          </cell>
          <cell r="E82">
            <v>40000</v>
          </cell>
        </row>
        <row r="83">
          <cell r="A83">
            <v>5</v>
          </cell>
          <cell r="B83" t="str">
            <v>Kepala Tukang Gali Tanah</v>
          </cell>
          <cell r="D83" t="str">
            <v>hr</v>
          </cell>
          <cell r="E83">
            <v>35000</v>
          </cell>
        </row>
        <row r="84">
          <cell r="A84">
            <v>6</v>
          </cell>
          <cell r="B84" t="str">
            <v>Kepala Tukang Cat</v>
          </cell>
          <cell r="D84" t="str">
            <v>hr</v>
          </cell>
          <cell r="E84">
            <v>35000</v>
          </cell>
        </row>
        <row r="85">
          <cell r="A85">
            <v>7</v>
          </cell>
          <cell r="B85" t="str">
            <v>Kepala Tukang Listrik</v>
          </cell>
          <cell r="D85" t="str">
            <v>hr</v>
          </cell>
          <cell r="E85">
            <v>40000</v>
          </cell>
        </row>
        <row r="86">
          <cell r="A86">
            <v>8</v>
          </cell>
          <cell r="B86" t="str">
            <v>Kepala Tukang Pipa</v>
          </cell>
          <cell r="D86" t="str">
            <v>hr</v>
          </cell>
          <cell r="E86">
            <v>40000</v>
          </cell>
        </row>
        <row r="87">
          <cell r="A87">
            <v>9</v>
          </cell>
          <cell r="B87" t="str">
            <v>Tukang Kayu</v>
          </cell>
          <cell r="D87" t="str">
            <v>hr</v>
          </cell>
          <cell r="E87">
            <v>40000</v>
          </cell>
        </row>
        <row r="88">
          <cell r="A88">
            <v>10</v>
          </cell>
          <cell r="B88" t="str">
            <v>Tukang Batu</v>
          </cell>
          <cell r="D88" t="str">
            <v>hr</v>
          </cell>
          <cell r="E88">
            <v>35000</v>
          </cell>
        </row>
        <row r="89">
          <cell r="A89">
            <v>11</v>
          </cell>
          <cell r="B89" t="str">
            <v>Tukang Besi</v>
          </cell>
          <cell r="D89" t="str">
            <v>hr</v>
          </cell>
          <cell r="E89">
            <v>35000</v>
          </cell>
        </row>
        <row r="90">
          <cell r="A90">
            <v>12</v>
          </cell>
          <cell r="B90" t="str">
            <v>Tukang Cat</v>
          </cell>
          <cell r="D90" t="str">
            <v>hr</v>
          </cell>
          <cell r="E90">
            <v>35000</v>
          </cell>
        </row>
        <row r="91">
          <cell r="A91">
            <v>13</v>
          </cell>
          <cell r="B91" t="str">
            <v>Tukang Listrik</v>
          </cell>
          <cell r="D91" t="str">
            <v>hr</v>
          </cell>
          <cell r="E91">
            <v>35000</v>
          </cell>
        </row>
        <row r="92">
          <cell r="A92">
            <v>14</v>
          </cell>
          <cell r="B92" t="str">
            <v>Tukang Pipa</v>
          </cell>
          <cell r="D92" t="str">
            <v>hr</v>
          </cell>
          <cell r="E92">
            <v>35000</v>
          </cell>
        </row>
        <row r="93">
          <cell r="A93">
            <v>15</v>
          </cell>
          <cell r="B93" t="str">
            <v>Tukang Plitur</v>
          </cell>
          <cell r="D93" t="str">
            <v>hr</v>
          </cell>
          <cell r="E93">
            <v>35000</v>
          </cell>
        </row>
        <row r="94">
          <cell r="A94">
            <v>16</v>
          </cell>
          <cell r="B94" t="str">
            <v>Tukang Gali Tanah</v>
          </cell>
          <cell r="D94" t="str">
            <v>hr</v>
          </cell>
          <cell r="E94">
            <v>25000</v>
          </cell>
        </row>
        <row r="95">
          <cell r="A95">
            <v>17</v>
          </cell>
          <cell r="B95" t="str">
            <v>Buruh Terampil</v>
          </cell>
          <cell r="D95" t="str">
            <v>hr</v>
          </cell>
          <cell r="E95">
            <v>22500</v>
          </cell>
        </row>
        <row r="96">
          <cell r="A96">
            <v>18</v>
          </cell>
          <cell r="B96" t="str">
            <v>Buruh Tak Terampil</v>
          </cell>
          <cell r="D96" t="str">
            <v>hr</v>
          </cell>
          <cell r="E96">
            <v>20000</v>
          </cell>
        </row>
      </sheetData>
      <sheetData sheetId="3" refreshError="1"/>
      <sheetData sheetId="4" refreshError="1"/>
      <sheetData sheetId="5"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DULE"/>
      <sheetName val="KUANTITAS ELEKTRIKAL"/>
      <sheetName val="KUANTITAS-PIPA"/>
      <sheetName val="RAB"/>
    </sheetNames>
    <sheetDataSet>
      <sheetData sheetId="0"/>
      <sheetData sheetId="1"/>
      <sheetData sheetId="2">
        <row r="14">
          <cell r="J14">
            <v>10500</v>
          </cell>
        </row>
      </sheetData>
      <sheetData sheetId="3"/>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 me"/>
      <sheetName val="ANALISA me"/>
      <sheetName val="Bahan"/>
      <sheetName val="Analisa K"/>
      <sheetName val="ANALISA "/>
      <sheetName val="ANALISA  KUSEN MASJID"/>
      <sheetName val="ANALISA  KUSEN GOR"/>
      <sheetName val="ANALISA  KUSEN ASRAMA"/>
      <sheetName val="ANALISA  KUSEN KELAS"/>
      <sheetName val="Penunjang- masjid"/>
      <sheetName val="MASJID"/>
      <sheetName val="SARANA &amp; P"/>
      <sheetName val="LAP OUT DOOR"/>
      <sheetName val="GOR"/>
      <sheetName val="UNIT GOR"/>
      <sheetName val="Asrama"/>
      <sheetName val="UNIT ASRAMA"/>
      <sheetName val="Pendidikan"/>
      <sheetName val="UNIT KELAS"/>
      <sheetName val="REKAPITULASI"/>
      <sheetName val="REKAPITULASI EE"/>
      <sheetName val="REKAPITULASI OE"/>
      <sheetName val="Supl.X"/>
      <sheetName val="KH-Q1,Q2,01"/>
      <sheetName val="index"/>
      <sheetName val="Analisa"/>
      <sheetName val="HRG BHN"/>
      <sheetName val="BQ"/>
      <sheetName val="tbl-ska"/>
      <sheetName val="Pag_hal"/>
      <sheetName val="H.Satuan"/>
      <sheetName val="analis RSUD"/>
      <sheetName val="BHN1"/>
      <sheetName val="KUANTITAS-PIPA"/>
      <sheetName val="ANALISA LMJ"/>
      <sheetName val="PS"/>
      <sheetName val="XL4Test5"/>
      <sheetName val="Bahan&amp;Upah"/>
      <sheetName val="S3B11"/>
      <sheetName val="rating curve"/>
      <sheetName val="8LT 12"/>
      <sheetName val="DAF_2"/>
      <sheetName val="AHSbj"/>
      <sheetName val="RAB fisik"/>
      <sheetName val="DAF-2"/>
      <sheetName val="MA035"/>
      <sheetName val="D_S_UPAH"/>
      <sheetName val="ANALISA PEK.UMUM"/>
      <sheetName val="Conn. Li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uf"/>
      <sheetName val="BQ-SIPIL"/>
      <sheetName val="ANAL RABP"/>
      <sheetName val="borongan mandor"/>
      <sheetName val="analisa volume"/>
      <sheetName val="BQ-ELEKTRIK"/>
      <sheetName val="back up"/>
    </sheetNames>
    <sheetDataSet>
      <sheetData sheetId="0"/>
      <sheetData sheetId="1"/>
      <sheetData sheetId="2"/>
      <sheetData sheetId="3"/>
      <sheetData sheetId="4"/>
      <sheetData sheetId="5"/>
      <sheetData sheetId="6"/>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totap+apbd (2)"/>
      <sheetName val="APBD."/>
      <sheetName val="APBN"/>
      <sheetName val="APBN Paket 1"/>
      <sheetName val="APBN Paket 2"/>
      <sheetName val="AN PIPA (2)"/>
      <sheetName val="GENZET"/>
      <sheetName val="Acsesoris"/>
      <sheetName val="BAHAN"/>
      <sheetName val="PJ"/>
      <sheetName val="SNI FIX"/>
      <sheetName val="Intake 2"/>
      <sheetName val="Prasedimen1"/>
      <sheetName val="10L"/>
      <sheetName val="SDB"/>
      <sheetName val="RESERVOIR"/>
      <sheetName val="R.Clorinasi"/>
      <sheetName val="rumah pomp"/>
      <sheetName val="rumah jaga revisi"/>
      <sheetName val="R.GENSET"/>
      <sheetName val="P. Sub Intake"/>
      <sheetName val="P.Sub Prased"/>
      <sheetName val="Pompa Cent (3)"/>
      <sheetName val="pagar (2)"/>
      <sheetName val="PS"/>
      <sheetName val="APBD"/>
      <sheetName val="JP 2 75"/>
      <sheetName val="JP 10"/>
      <sheetName val="JP 30"/>
    </sheetNames>
    <sheetDataSet>
      <sheetData sheetId="0"/>
      <sheetData sheetId="1"/>
      <sheetData sheetId="2"/>
      <sheetData sheetId="3"/>
      <sheetData sheetId="4"/>
      <sheetData sheetId="5"/>
      <sheetData sheetId="6"/>
      <sheetData sheetId="7"/>
      <sheetData sheetId="8">
        <row r="60">
          <cell r="F60">
            <v>17250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2"/>
      <sheetName val="SUPER"/>
      <sheetName val="REKAP"/>
      <sheetName val="KUANTITAS"/>
      <sheetName val="JADI"/>
      <sheetName val="ANALISA"/>
      <sheetName val="URIAN"/>
      <sheetName val="HARGA"/>
      <sheetName val="WAJAR"/>
      <sheetName val="WAJAR.1"/>
      <sheetName val="ALAT"/>
      <sheetName val="METODE"/>
      <sheetName val="ANTEK"/>
      <sheetName val="JDWL"/>
      <sheetName val="SKEMA"/>
      <sheetName val="PERSON"/>
      <sheetName val="PERALATAN"/>
      <sheetName val="SUB"/>
    </sheetNames>
    <sheetDataSet>
      <sheetData sheetId="0"/>
      <sheetData sheetId="1"/>
      <sheetData sheetId="2"/>
      <sheetData sheetId="3"/>
      <sheetData sheetId="4"/>
      <sheetData sheetId="5"/>
      <sheetData sheetId="6"/>
      <sheetData sheetId="7">
        <row r="13">
          <cell r="G13">
            <v>30000</v>
          </cell>
        </row>
      </sheetData>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uruf"/>
      <sheetName val="SPH"/>
      <sheetName val="REKAP"/>
      <sheetName val="Rab OE Bener"/>
      <sheetName val="ANALIS"/>
      <sheetName val="ANAL lump sum "/>
      <sheetName val="TIME SCHEDULE"/>
      <sheetName val="MAT&amp;TOOL SCHEDULE"/>
      <sheetName val="PEMBANTAIAN"/>
      <sheetName val="BAHAN~"/>
      <sheetName val="UPAH~K"/>
      <sheetName val="RAP jangan di print"/>
      <sheetName val="RAB"/>
      <sheetName val="ANALISA"/>
      <sheetName val="ANAL lump sum"/>
      <sheetName val="B-Price"/>
      <sheetName val="TOOL&amp;EMPLOY"/>
      <sheetName val="SCHEDULE BAHAN"/>
      <sheetName val="Sheet1"/>
      <sheetName val="Sheet2"/>
      <sheetName val="Sheet3"/>
      <sheetName val="Rekap "/>
      <sheetName val="USULAN ALAT"/>
      <sheetName val="URAIAN TEKNIS"/>
      <sheetName val="bantai"/>
      <sheetName val="metode"/>
      <sheetName val="SUBKON"/>
      <sheetName val="TS"/>
      <sheetName val="mat&amp;tool"/>
      <sheetName val="RAP"/>
      <sheetName val="RAPle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fbhk"/>
      <sheetName val="rek-fitAB"/>
      <sheetName val="rek-hbk"/>
      <sheetName val="rek-val"/>
      <sheetName val="bq-kt"/>
      <sheetName val="bq-ktsa"/>
      <sheetName val="bq-ktf"/>
      <sheetName val="bq-kthk"/>
      <sheetName val="bq-ktc"/>
      <sheetName val="bq-kth"/>
      <sheetName val="bq-ktv"/>
      <sheetName val="rek-san1"/>
      <sheetName val="rek-hot"/>
      <sheetName val="rek-fitPP "/>
      <sheetName val="A"/>
      <sheetName val="Pipe"/>
      <sheetName val="valve"/>
      <sheetName val="Dafmat"/>
      <sheetName val="Fitting"/>
      <sheetName val="bq-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3">
          <cell r="C13" t="str">
            <v>Cold Water Pipe</v>
          </cell>
        </row>
        <row r="14">
          <cell r="C14" t="str">
            <v>Material      :  Galvanized Pipe  Medium Class</v>
          </cell>
        </row>
        <row r="15">
          <cell r="C15" t="str">
            <v>Standard    :  BS 1387</v>
          </cell>
        </row>
        <row r="17">
          <cell r="A17">
            <v>0.5</v>
          </cell>
          <cell r="C17">
            <v>15</v>
          </cell>
          <cell r="G17">
            <v>6200</v>
          </cell>
          <cell r="I17">
            <v>1790</v>
          </cell>
        </row>
        <row r="18">
          <cell r="A18">
            <v>0.75</v>
          </cell>
          <cell r="C18">
            <v>20</v>
          </cell>
          <cell r="G18">
            <v>7980</v>
          </cell>
          <cell r="I18">
            <v>1890</v>
          </cell>
        </row>
        <row r="19">
          <cell r="A19">
            <v>1</v>
          </cell>
          <cell r="C19">
            <v>25</v>
          </cell>
          <cell r="G19">
            <v>12390</v>
          </cell>
          <cell r="I19">
            <v>1930</v>
          </cell>
        </row>
        <row r="20">
          <cell r="A20">
            <v>1.25</v>
          </cell>
          <cell r="C20">
            <v>32</v>
          </cell>
          <cell r="G20">
            <v>16850</v>
          </cell>
          <cell r="I20">
            <v>1960</v>
          </cell>
        </row>
        <row r="21">
          <cell r="A21">
            <v>1.5</v>
          </cell>
          <cell r="C21">
            <v>40</v>
          </cell>
          <cell r="G21">
            <v>17900</v>
          </cell>
          <cell r="I21">
            <v>2000</v>
          </cell>
        </row>
        <row r="22">
          <cell r="A22">
            <v>2</v>
          </cell>
          <cell r="C22">
            <v>50</v>
          </cell>
          <cell r="G22">
            <v>25150</v>
          </cell>
          <cell r="I22">
            <v>2040</v>
          </cell>
        </row>
        <row r="23">
          <cell r="A23">
            <v>2.5</v>
          </cell>
          <cell r="C23">
            <v>65</v>
          </cell>
          <cell r="G23">
            <v>32030</v>
          </cell>
          <cell r="I23">
            <v>2160</v>
          </cell>
        </row>
        <row r="24">
          <cell r="A24">
            <v>3</v>
          </cell>
          <cell r="C24">
            <v>80</v>
          </cell>
          <cell r="G24">
            <v>42050</v>
          </cell>
          <cell r="I24">
            <v>3270</v>
          </cell>
        </row>
        <row r="25">
          <cell r="A25">
            <v>4</v>
          </cell>
          <cell r="C25">
            <v>100</v>
          </cell>
          <cell r="G25">
            <v>60270</v>
          </cell>
          <cell r="I25">
            <v>3370</v>
          </cell>
        </row>
        <row r="26">
          <cell r="A26">
            <v>5</v>
          </cell>
          <cell r="C26">
            <v>125</v>
          </cell>
          <cell r="G26">
            <v>79590</v>
          </cell>
          <cell r="I26">
            <v>3860</v>
          </cell>
        </row>
        <row r="27">
          <cell r="A27">
            <v>6</v>
          </cell>
          <cell r="C27">
            <v>150</v>
          </cell>
          <cell r="G27">
            <v>94450</v>
          </cell>
          <cell r="I27">
            <v>3990</v>
          </cell>
        </row>
        <row r="28">
          <cell r="A28">
            <v>8</v>
          </cell>
          <cell r="C28">
            <v>200</v>
          </cell>
          <cell r="G28">
            <v>181340</v>
          </cell>
          <cell r="I28">
            <v>4240</v>
          </cell>
        </row>
        <row r="29">
          <cell r="A29">
            <v>10</v>
          </cell>
          <cell r="C29">
            <v>250</v>
          </cell>
          <cell r="G29">
            <v>227270</v>
          </cell>
          <cell r="I29">
            <v>4490</v>
          </cell>
        </row>
        <row r="30">
          <cell r="A30">
            <v>12</v>
          </cell>
          <cell r="C30">
            <v>300</v>
          </cell>
          <cell r="G30">
            <v>270530</v>
          </cell>
          <cell r="I30">
            <v>4740</v>
          </cell>
        </row>
      </sheetData>
      <sheetData sheetId="16" refreshError="1"/>
      <sheetData sheetId="17" refreshError="1"/>
      <sheetData sheetId="18" refreshError="1"/>
      <sheetData sheetId="19"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urrent"/>
      <sheetName val="PERTANYAAN"/>
      <sheetName val="Ana duct"/>
      <sheetName val="Hsd Duct"/>
      <sheetName val="Grille"/>
      <sheetName val="DM"/>
      <sheetName val="Pi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uantitas &amp; Harga (2)"/>
      <sheetName val="L_1"/>
      <sheetName val="MOS"/>
      <sheetName val="Pekerjaan Utama"/>
      <sheetName val="Rekap Biaya"/>
      <sheetName val="Kuantitas &amp; Harga"/>
      <sheetName val="Rutin"/>
      <sheetName val="Div-6"/>
      <sheetName val="div-5"/>
      <sheetName val="div-4)"/>
      <sheetName val="div-2"/>
      <sheetName val="Mobilisasi"/>
      <sheetName val="Aggr"/>
      <sheetName val="Quarry"/>
      <sheetName val="alat"/>
      <sheetName val="Basic Price"/>
      <sheetName val="Informasi"/>
    </sheetNames>
    <sheetDataSet>
      <sheetData sheetId="0" refreshError="1"/>
      <sheetData sheetId="1" refreshError="1"/>
      <sheetData sheetId="2" refreshError="1"/>
      <sheetData sheetId="3"/>
      <sheetData sheetId="4"/>
      <sheetData sheetId="5">
        <row r="131">
          <cell r="D131" t="str">
            <v>DIVISI  6.  PERKERASAN  ASPAL</v>
          </cell>
        </row>
        <row r="133">
          <cell r="B133" t="str">
            <v>6.1 (1)</v>
          </cell>
          <cell r="D133" t="str">
            <v>Lapis Resap Pengikat</v>
          </cell>
          <cell r="F133" t="str">
            <v>Liter</v>
          </cell>
          <cell r="G133">
            <v>5200</v>
          </cell>
          <cell r="H133">
            <v>4496.9799999999996</v>
          </cell>
          <cell r="I133">
            <v>23384296</v>
          </cell>
        </row>
        <row r="134">
          <cell r="B134" t="str">
            <v>6.1 (2)</v>
          </cell>
          <cell r="D134" t="str">
            <v>Lapis Perekat</v>
          </cell>
          <cell r="F134" t="str">
            <v>Liter</v>
          </cell>
          <cell r="G134">
            <v>400</v>
          </cell>
          <cell r="H134">
            <v>5163.22</v>
          </cell>
          <cell r="I134">
            <v>2065288</v>
          </cell>
        </row>
        <row r="136">
          <cell r="B136" t="str">
            <v>6.2 (1)</v>
          </cell>
          <cell r="D136" t="str">
            <v>Agregat Penutup BURTU</v>
          </cell>
          <cell r="F136" t="str">
            <v>M2</v>
          </cell>
        </row>
        <row r="137">
          <cell r="B137" t="str">
            <v>6.2 (2)</v>
          </cell>
          <cell r="D137" t="str">
            <v>Agregat Penutup BURDA</v>
          </cell>
          <cell r="F137" t="str">
            <v>M2</v>
          </cell>
        </row>
        <row r="138">
          <cell r="B138" t="str">
            <v>6.2 (3)</v>
          </cell>
          <cell r="D138" t="str">
            <v>Bahan Aspal untuk Pekerjaan Laburan</v>
          </cell>
          <cell r="F138" t="str">
            <v>Liter</v>
          </cell>
        </row>
        <row r="141">
          <cell r="B141" t="str">
            <v>6.3 (1)</v>
          </cell>
          <cell r="D141" t="str">
            <v>Latasir (SS) Kelas A</v>
          </cell>
          <cell r="F141" t="str">
            <v>M2</v>
          </cell>
        </row>
        <row r="142">
          <cell r="B142" t="str">
            <v>6.3 (2)</v>
          </cell>
          <cell r="D142" t="str">
            <v>Latasir (SS) Kelas B</v>
          </cell>
          <cell r="F142" t="str">
            <v>M2</v>
          </cell>
        </row>
        <row r="143">
          <cell r="B143" t="str">
            <v>6.3 (3)</v>
          </cell>
          <cell r="D143" t="str">
            <v>Lataston-Lapis Aus (HRS-WC)</v>
          </cell>
          <cell r="F143" t="str">
            <v>M2</v>
          </cell>
          <cell r="G143">
            <v>4000</v>
          </cell>
          <cell r="H143">
            <v>35036.980000000003</v>
          </cell>
          <cell r="I143">
            <v>140147920</v>
          </cell>
        </row>
        <row r="144">
          <cell r="B144" t="str">
            <v>6.3 (4)</v>
          </cell>
          <cell r="D144" t="str">
            <v>Lataston-Lapis Pondasi (HRS-Base)</v>
          </cell>
          <cell r="F144" t="str">
            <v>M3</v>
          </cell>
          <cell r="G144">
            <v>270</v>
          </cell>
          <cell r="H144">
            <v>1113744.31</v>
          </cell>
          <cell r="I144">
            <v>300710963.69999999</v>
          </cell>
        </row>
        <row r="145">
          <cell r="B145" t="str">
            <v>6.3 (5)</v>
          </cell>
          <cell r="D145" t="str">
            <v>Lapis Aus Aspal Beton (AC-WC)</v>
          </cell>
          <cell r="F145" t="str">
            <v>M2</v>
          </cell>
        </row>
        <row r="146">
          <cell r="B146" t="str">
            <v>6.3 (6)</v>
          </cell>
          <cell r="D146" t="str">
            <v>Lapis Aus Aspal Beton (AC-BC)</v>
          </cell>
          <cell r="F146" t="str">
            <v>M3</v>
          </cell>
        </row>
        <row r="148">
          <cell r="B148" t="str">
            <v>6.4 (1)</v>
          </cell>
          <cell r="D148" t="str">
            <v>Lasbutag</v>
          </cell>
          <cell r="F148" t="str">
            <v>M2</v>
          </cell>
        </row>
        <row r="149">
          <cell r="B149" t="str">
            <v>6.4 (2)</v>
          </cell>
          <cell r="D149" t="str">
            <v>Latasbusir Kelas A</v>
          </cell>
          <cell r="F149" t="str">
            <v>M2</v>
          </cell>
        </row>
        <row r="150">
          <cell r="B150" t="str">
            <v>6.4 (3)</v>
          </cell>
          <cell r="D150" t="str">
            <v>Latasbusir Kelas B</v>
          </cell>
          <cell r="F150" t="str">
            <v>M2</v>
          </cell>
        </row>
        <row r="151">
          <cell r="B151" t="str">
            <v>6.4 (4)</v>
          </cell>
          <cell r="D151" t="str">
            <v>Bitumen Asbuton</v>
          </cell>
          <cell r="F151" t="str">
            <v>Ton</v>
          </cell>
        </row>
        <row r="152">
          <cell r="B152" t="str">
            <v>6.4 (5)</v>
          </cell>
          <cell r="D152" t="str">
            <v>Bitumen Bahan Peremaja</v>
          </cell>
          <cell r="F152" t="str">
            <v>Ton</v>
          </cell>
        </row>
        <row r="153">
          <cell r="B153" t="str">
            <v>6.4 (6)</v>
          </cell>
          <cell r="D153" t="str">
            <v>Bahan Anti-Stripping</v>
          </cell>
          <cell r="F153" t="str">
            <v>Liter</v>
          </cell>
        </row>
        <row r="155">
          <cell r="B155" t="str">
            <v>6.5 (1)</v>
          </cell>
          <cell r="D155" t="str">
            <v xml:space="preserve">Aspal Campuran Dingin </v>
          </cell>
          <cell r="F155" t="str">
            <v>M3</v>
          </cell>
        </row>
        <row r="157">
          <cell r="B157" t="str">
            <v>6.6</v>
          </cell>
          <cell r="D157" t="str">
            <v>Lapis Penetrasi Macadam Perata (Levelling)</v>
          </cell>
          <cell r="F157" t="str">
            <v>M3</v>
          </cell>
        </row>
        <row r="165">
          <cell r="C165" t="str">
            <v>Jumlah Harga Pekerjaan DIVISI 6  (masuk pada Rekapitulasi Perkiraan Harga Pekerjaan)</v>
          </cell>
          <cell r="I165">
            <v>466308467.69999999</v>
          </cell>
        </row>
      </sheetData>
      <sheetData sheetId="6" refreshError="1"/>
      <sheetData sheetId="7" refreshError="1"/>
      <sheetData sheetId="8"/>
      <sheetData sheetId="9" refreshError="1"/>
      <sheetData sheetId="10"/>
      <sheetData sheetId="11"/>
      <sheetData sheetId="12"/>
      <sheetData sheetId="13"/>
      <sheetData sheetId="14"/>
      <sheetData sheetId="15"/>
      <sheetData sheetId="16"/>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
      <sheetName val="AAAAAAAAA"/>
      <sheetName val="ANALISA SNI NUSA"/>
      <sheetName val="RAB"/>
      <sheetName val="REKAP"/>
      <sheetName val="VOL"/>
      <sheetName val="Estimate"/>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RAB)"/>
      <sheetName val="BQ(RAB) (2)"/>
      <sheetName val="BQ(RAB) (3)"/>
      <sheetName val="BQ1"/>
      <sheetName val="BQ2"/>
      <sheetName val="JADWAL(1)"/>
      <sheetName val="JADWAL(2)"/>
      <sheetName val="Item8"/>
      <sheetName val="sket"/>
      <sheetName val="adukan "/>
      <sheetName val="HL"/>
      <sheetName val="BU"/>
      <sheetName val="plester"/>
      <sheetName val="Item7"/>
      <sheetName val="rutinBahu"/>
      <sheetName val="Item10"/>
      <sheetName val="Estimate"/>
      <sheetName val="Item1"/>
      <sheetName val="Item4"/>
      <sheetName val="Item6"/>
      <sheetName val="rekap"/>
      <sheetName val="Hotmix"/>
      <sheetName val="Analisa Alat"/>
      <sheetName val="Elemen"/>
      <sheetName val="Item3"/>
      <sheetName val="Idle"/>
      <sheetName val="Pas.batu"/>
      <sheetName val="Crusher"/>
      <sheetName val="Proses"/>
      <sheetName val="Alat Kudus"/>
      <sheetName val="Kap.Alat"/>
      <sheetName val="ATB(T)"/>
      <sheetName val="ac4CM(T)"/>
      <sheetName val="SKETSA"/>
      <sheetName val="BAHAN"/>
      <sheetName val="upah"/>
      <sheetName val="ALAT"/>
      <sheetName val="alatnonbuas"/>
      <sheetName val="PNWRN"/>
      <sheetName val="Sheet1"/>
      <sheetName val="vICTOR"/>
      <sheetName val="BQ(RAB)_(2)"/>
      <sheetName val="BQ(RAB)_(3)"/>
      <sheetName val="adukan_"/>
      <sheetName val="Analisa_Alat"/>
      <sheetName val="Pas_batu"/>
      <sheetName val="Alat_Kudus"/>
      <sheetName val="Kap_Alat"/>
      <sheetName val="H.Satuan"/>
      <sheetName val="data"/>
      <sheetName val="Analisa SNI STANDART "/>
      <sheetName val="Har-sat-dasr"/>
      <sheetName val="BoQ"/>
      <sheetName val="Analisa"/>
      <sheetName val="RFP009"/>
      <sheetName val="PriceList"/>
      <sheetName val="KH-Q1,Q2,01"/>
      <sheetName val="HRG BAHAN &amp; UPAH okk"/>
      <sheetName val="Analis Kusen okk"/>
      <sheetName val="DAF-2"/>
      <sheetName val="SBDY"/>
      <sheetName val="Fill this out first..."/>
      <sheetName val="Fill this out first___"/>
      <sheetName val="FAKTOR"/>
      <sheetName val="Cover"/>
      <sheetName val="Pipe"/>
      <sheetName val="Pt"/>
      <sheetName val="Material"/>
      <sheetName val="BAG-2"/>
      <sheetName val="DAF_2"/>
      <sheetName val="JAN"/>
      <sheetName val="Elektrikal"/>
      <sheetName val="struktur tdk dipakai"/>
      <sheetName val="Breakdown"/>
      <sheetName val="Listrik"/>
      <sheetName val="harsat"/>
      <sheetName val="HARGA BAHAN"/>
      <sheetName val="Cover Daf-2"/>
      <sheetName val="A"/>
      <sheetName val="H_Satuan"/>
      <sheetName val="AnalisaSIPIL RIIL RAP"/>
      <sheetName val="BQ ARS"/>
      <sheetName val="Spec ME"/>
      <sheetName val="Uraian Teknis"/>
      <sheetName val="WI"/>
      <sheetName val="LO"/>
      <sheetName val="IN OUT"/>
      <sheetName val="PLUMBING"/>
      <sheetName val="PEMBESIAN BALOK tukang (2)"/>
      <sheetName val="HSD"/>
      <sheetName val="BTL-Bau"/>
      <sheetName val="Management"/>
      <sheetName val="D _ W sizes"/>
      <sheetName val="HRG BHN"/>
      <sheetName val="product"/>
      <sheetName val="Perm. Test"/>
      <sheetName val="EQT-ESTN"/>
      <sheetName val="DAFTAR_8"/>
      <sheetName val="TOTAL"/>
      <sheetName val="DAFTAR 7"/>
      <sheetName val="SITE-E"/>
      <sheetName val="Rekap Prelim"/>
      <sheetName val="name"/>
      <sheetName val="HARGA MATERIAL"/>
      <sheetName val="Ch"/>
      <sheetName val="Cal_Slab_Admin"/>
      <sheetName val="DAF-1"/>
      <sheetName val="gvl"/>
      <sheetName val="ganda"/>
      <sheetName val="CCO"/>
      <sheetName val="Back-Up"/>
      <sheetName val="MASTER"/>
      <sheetName val="B - Norelec"/>
      <sheetName val="Harga Bahan &amp; Upah "/>
      <sheetName val="Jembatan I"/>
      <sheetName val="C. Analisa "/>
      <sheetName val="rab lt 2 bo"/>
      <sheetName val="I_KAMAR"/>
      <sheetName val="Man Power _ Comp"/>
      <sheetName val="Meth"/>
      <sheetName val="AN-E"/>
      <sheetName val="P-late"/>
      <sheetName val="Cashflow"/>
      <sheetName val="概総括1"/>
      <sheetName val="Harsat Upah"/>
      <sheetName val="BQ(RAB)_(2)1"/>
      <sheetName val="BQ(RAB)_(3)1"/>
      <sheetName val="adukan_1"/>
      <sheetName val="Analisa_Alat1"/>
      <sheetName val="Pas_batu1"/>
      <sheetName val="Alat_Kudus1"/>
      <sheetName val="Kap_Alat1"/>
      <sheetName val="H_Satuan1"/>
      <sheetName val="Analisa_SNI_STANDART_"/>
      <sheetName val="Fill_this_out_first___"/>
      <sheetName val="Fill_this_out_first___1"/>
      <sheetName val="HRG_BAHAN_&amp;_UPAH_okk"/>
      <sheetName val="Analis_Kusen_okk"/>
      <sheetName val="Cover_Daf-2"/>
      <sheetName val="BQ_ARS"/>
      <sheetName val="Spec_ME"/>
      <sheetName val="HSATUAN"/>
      <sheetName val="UTILITAS"/>
      <sheetName val="S_Suramadu"/>
      <sheetName val="COST"/>
      <sheetName val="Master 1.0"/>
      <sheetName val="Harga Satuan"/>
      <sheetName val="FINISHING"/>
      <sheetName val="INDEX"/>
      <sheetName val="Cover Daf_2"/>
      <sheetName val="DIV2"/>
      <sheetName val="Rkp"/>
      <sheetName val="Rekap_elban"/>
      <sheetName val="rekap mekanikal"/>
      <sheetName val="AN-ME"/>
      <sheetName val="Konfirm"/>
      <sheetName val="MAP"/>
      <sheetName val="GEDUNG-A"/>
      <sheetName val="1.19"/>
      <sheetName val="Analisa RAP"/>
      <sheetName val="TOWN"/>
      <sheetName val="ANALISA railing"/>
      <sheetName val="1"/>
      <sheetName val="MU"/>
      <sheetName val="AnalisaSIPIL RIIL"/>
      <sheetName val="Format Report-for analysis only"/>
      <sheetName val="XREF"/>
      <sheetName val="산근"/>
      <sheetName val="ALL"/>
      <sheetName val="Man Power &amp; Comp"/>
      <sheetName val="NAMES"/>
      <sheetName val="Up &amp; bhn"/>
      <sheetName val="표지"/>
      <sheetName val="Ana. PU"/>
      <sheetName val="9DHSDBU"/>
      <sheetName val="MC_strp CoDa "/>
      <sheetName val="MAT'L LIST"/>
      <sheetName val="2. MVAC R1"/>
      <sheetName val="Koefisien"/>
      <sheetName val="List Material"/>
      <sheetName val="RAB-2006-Total"/>
      <sheetName val="UBA"/>
      <sheetName val="AHSbj"/>
      <sheetName val="BQ"/>
      <sheetName val="sdm"/>
      <sheetName val="2. BQ"/>
      <sheetName val="Analisa 2"/>
      <sheetName val="1. BQ"/>
      <sheetName val="Vibro_Roller"/>
      <sheetName val="Analisa Upah &amp; Bahan Plum"/>
      <sheetName val="ANALISA-HST"/>
      <sheetName val="RAB"/>
      <sheetName val="rate"/>
      <sheetName val="dasar"/>
      <sheetName val="Pricing"/>
      <sheetName val="3.Sch_ch"/>
      <sheetName val="HARSAT-lain"/>
      <sheetName val="HARSAT-tanah"/>
      <sheetName val="HARSAT-lhn"/>
      <sheetName val="Master Edit"/>
      <sheetName val="basic_price"/>
      <sheetName val="pml"/>
      <sheetName val="S-Curve"/>
      <sheetName val="Conn. Lib"/>
      <sheetName val="Currency"/>
      <sheetName val="Agregat Halus &amp; Kasar"/>
      <sheetName val="pivot"/>
      <sheetName val="HB me"/>
      <sheetName val="KEBALAT"/>
      <sheetName val="SCH"/>
      <sheetName val="gal"/>
      <sheetName val="TABEL"/>
      <sheetName val="Harga Upah+Bahan"/>
      <sheetName val="B Q 2007"/>
      <sheetName val="Volume 1"/>
      <sheetName val="Hrg"/>
      <sheetName val="REKAP TOTAL"/>
      <sheetName val="Posisi Biaya"/>
      <sheetName val="C_Flow"/>
      <sheetName val="BD Div-2 sd 7.6"/>
      <sheetName val="Str BT"/>
      <sheetName val="GRAND TOTAL"/>
      <sheetName val="Sumda1"/>
      <sheetName val=" schedule AMD-2 Rev III"/>
      <sheetName val="MUTASI"/>
      <sheetName val="Off + Wh"/>
      <sheetName val="SAT-DAS"/>
      <sheetName val="U. div 2"/>
      <sheetName val="BQ Detail"/>
      <sheetName val="WS"/>
      <sheetName val="A-11 Steel Str"/>
      <sheetName val="A-03 Pile"/>
      <sheetName val="???1"/>
      <sheetName val="ES-PARK"/>
      <sheetName val="ES_PARK"/>
      <sheetName val="3.1"/>
      <sheetName val="Fin Sum"/>
      <sheetName val="SEX"/>
      <sheetName val="BasicPrice"/>
      <sheetName val="srtberkas"/>
      <sheetName val="Por"/>
      <sheetName val="3-DIV5"/>
      <sheetName val="JPC Breakdown Price"/>
      <sheetName val="FAK"/>
      <sheetName val="304-06"/>
      <sheetName val="Daftar Upah"/>
      <sheetName val="405BQBAK-ME 26 bakrie"/>
      <sheetName val="01A- RAB"/>
      <sheetName val="UPAHBAHAN"/>
      <sheetName val="BAG_2"/>
      <sheetName val="3.4-PIPE"/>
      <sheetName val="ana_str"/>
      <sheetName val="Harsat Bahan"/>
      <sheetName val="Galian batu"/>
      <sheetName val="jobhist"/>
      <sheetName val="Sub"/>
      <sheetName val="RAP"/>
      <sheetName val="analisa hor"/>
      <sheetName val="Rekapitulasi"/>
      <sheetName val="Kuantitas &amp; Harga"/>
      <sheetName val="Prices-600"/>
      <sheetName val="Sumber Daya"/>
      <sheetName val="Kegiatan"/>
      <sheetName val="H. Satuan"/>
      <sheetName val="RAB.SEKRETARIAT (1)"/>
      <sheetName val="Kurva S (barch-bulanan-25)"/>
      <sheetName val="unit price"/>
      <sheetName val="."/>
      <sheetName val="%"/>
      <sheetName val="Indirect"/>
      <sheetName val="VCV_BE_TONG"/>
      <sheetName val="CHITIET VL_NC"/>
      <sheetName val="D 5243-ARAMCO"/>
      <sheetName val="D-4801 OXY"/>
      <sheetName val="Time Schedule"/>
      <sheetName val="BM"/>
      <sheetName val="??"/>
      <sheetName val="PEMBESIAN_BALOK_tukang_(2)"/>
      <sheetName val="struktur_tdk_dipakai"/>
      <sheetName val="HRG_BHN"/>
      <sheetName val="HARGA_BAHAN"/>
      <sheetName val="Man_Power___Comp"/>
      <sheetName val="HARGA_MATERIAL"/>
      <sheetName val="Rekap_Prelim"/>
      <sheetName val="DAFTAR_7"/>
      <sheetName val="AnalisaSIPIL_RIIL_RAP"/>
      <sheetName val="Harsat_Upah"/>
      <sheetName val="D___W_sizes"/>
      <sheetName val="B_-_Norelec"/>
      <sheetName val="rab_lt_2_bo"/>
      <sheetName val="A-11_Steel_Str"/>
      <sheetName val="A-03_Pile"/>
      <sheetName val="Cover_Daf_2"/>
      <sheetName val="Jembatan_I"/>
      <sheetName val="C__Analisa_"/>
      <sheetName val="IN_OUT"/>
      <sheetName val="JDE-522444"/>
      <sheetName val="DAFTAR HARGA"/>
      <sheetName val="Eng_Hrs (HO)"/>
      <sheetName val="351BQMCN"/>
      <sheetName val="钢筋"/>
      <sheetName val="Eng_Hrs"/>
      <sheetName val="rab me (by owner) "/>
      <sheetName val="BQ (by owner)"/>
      <sheetName val="rab me (fisik)"/>
      <sheetName val="SELISIH HARGA"/>
      <sheetName val="Public Area"/>
      <sheetName val="AHS"/>
      <sheetName val="HRGA SATUAN UPAH-BAHAN"/>
      <sheetName val="Bangunan Utama B"/>
      <sheetName val="PAD-F"/>
      <sheetName val="1.1 ALAT TULIS KANTOR"/>
      <sheetName val="Sat~Bahu"/>
      <sheetName val="Connections"/>
      <sheetName val="DWTables"/>
      <sheetName val="BOQ Full"/>
      <sheetName val="PPh 22"/>
      <sheetName val="2.2 BQ"/>
      <sheetName val="H-SAT(noprint)"/>
      <sheetName val="REKAP-STR"/>
      <sheetName val="Pag_hal"/>
      <sheetName val="DashB"/>
      <sheetName val="HB "/>
      <sheetName val="MAT'L LLIST"/>
      <sheetName val="AC"/>
      <sheetName val="Fire Alarm"/>
      <sheetName val="Mall"/>
      <sheetName val="HB"/>
      <sheetName val="cal belakang"/>
      <sheetName val="플랜트 설치"/>
      <sheetName val="RM IA"/>
      <sheetName val="Pg2"/>
      <sheetName val="Struktur"/>
      <sheetName val="Monitoring Progres"/>
      <sheetName val="STR(CANCEL)"/>
      <sheetName val="Ope FC"/>
      <sheetName val="Sheet2"/>
      <sheetName val="DESBT"/>
      <sheetName val="D-base"/>
      <sheetName val="fill in first"/>
      <sheetName val="RKP PLUMBING"/>
      <sheetName val="Isolasi Luar Dalam"/>
      <sheetName val="Isolasi Luar"/>
      <sheetName val="D &amp; W sizes"/>
      <sheetName val="REGISTRATION"/>
      <sheetName val="OIF"/>
      <sheetName val="FORM"/>
      <sheetName val="fr BS"/>
      <sheetName val="Blk-Mnl"/>
      <sheetName val="Klm-Mnl"/>
      <sheetName val="汇总"/>
      <sheetName val="harga"/>
      <sheetName val="Daf 1"/>
      <sheetName val="Equity"/>
      <sheetName val="BQ.Rekapitulasi  Akhir"/>
      <sheetName val="Lamp_V"/>
      <sheetName val="NP"/>
      <sheetName val="GRAFIK "/>
      <sheetName val="BQ23"/>
      <sheetName val="BQ25"/>
      <sheetName val="Analisa Harsat"/>
      <sheetName val="harga dasar"/>
      <sheetName val="bialangsung"/>
      <sheetName val="PENAWARAN"/>
      <sheetName val="ASat"/>
      <sheetName val="DK&amp;H"/>
      <sheetName val="Alat   Master"/>
      <sheetName val="Alat  Jembatan"/>
      <sheetName val="GRADASI KELAS A (2)"/>
      <sheetName val="timbunan pilihan"/>
      <sheetName val="LPP-201"/>
      <sheetName val="ANGGARAN"/>
      <sheetName val="DHrg"/>
      <sheetName val="BQ(RAB)_(2)2"/>
      <sheetName val="BQ(RAB)_(3)2"/>
      <sheetName val="adukan_2"/>
      <sheetName val="Analisa_Alat2"/>
      <sheetName val="Pas_batu2"/>
      <sheetName val="Alat_Kudus2"/>
      <sheetName val="Kap_Alat2"/>
      <sheetName val="H_Satuan2"/>
      <sheetName val="Analisa_SNI_STANDART_1"/>
      <sheetName val="HRG_BAHAN_&amp;_UPAH_okk1"/>
      <sheetName val="Analis_Kusen_okk1"/>
      <sheetName val="Fill_this_out_first___2"/>
      <sheetName val="Fill_this_out_first___3"/>
      <sheetName val="Cover_Daf-21"/>
      <sheetName val="Perm__Test"/>
      <sheetName val="BQ_ARS1"/>
      <sheetName val="Spec_ME1"/>
      <sheetName val="1__BQ"/>
      <sheetName val="Master_1_0"/>
      <sheetName val="Harga_Bahan_&amp;_Upah_"/>
      <sheetName val="Uraian_Teknis"/>
      <sheetName val="Analisa_RAP"/>
      <sheetName val="Ana__PU"/>
      <sheetName val="Harga_Satuan"/>
      <sheetName val="1_19"/>
      <sheetName val="Analisa_Upah_&amp;_Bahan_Plum"/>
      <sheetName val="MC_strp_CoDa_"/>
      <sheetName val="Format_Report-for_analysis_only"/>
      <sheetName val="Man_Power_&amp;_Comp"/>
      <sheetName val="2__BQ"/>
      <sheetName val="Analisa_2"/>
      <sheetName val="Volume_1"/>
      <sheetName val="MAT'L_LIST"/>
      <sheetName val="Harga_Upah+Bahan"/>
      <sheetName val="B_Q_2007"/>
      <sheetName val="ANALISA_railing"/>
      <sheetName val="Master_Edit"/>
      <sheetName val="3_Sch_ch"/>
      <sheetName val="rekap_mekanikal"/>
      <sheetName val="AnalisaSIPIL_RIIL"/>
      <sheetName val="Up_&amp;_bhn"/>
      <sheetName val="2__MVAC_R1"/>
      <sheetName val="Bangunan_Utama_B"/>
      <sheetName val="Conn__Lib"/>
      <sheetName val="Agregat_Halus_&amp;_Kasar"/>
      <sheetName val="Rekap Biaya"/>
      <sheetName val="A-12"/>
      <sheetName val="Kalibrasi Mock (2)"/>
      <sheetName val="S-QD5"/>
      <sheetName val="#REF"/>
      <sheetName val="Ts Tahap I Kesehatan &amp; Bea Cuka"/>
      <sheetName val="Hrg_Sat"/>
      <sheetName val="Bhn+Uph"/>
      <sheetName val="Perhit.Alat"/>
      <sheetName val="DIV.2"/>
      <sheetName val="Sat"/>
      <sheetName val="PP-8000AB"/>
      <sheetName val="SUM,EC"/>
      <sheetName val="Dft. Hrg Bahan"/>
      <sheetName val="rINCIAN"/>
      <sheetName val="1.2.용역비"/>
      <sheetName val="Kurva S"/>
      <sheetName val="Mobilisasi"/>
      <sheetName val="Relokasi-Telkom"/>
      <sheetName val="Relokasi PDAM"/>
      <sheetName val="Relokasi-PLN"/>
      <sheetName val="SUBKon"/>
      <sheetName val="Daf Alat"/>
      <sheetName val="Jadual Alat"/>
      <sheetName val="Daftar MPU"/>
      <sheetName val="2.1"/>
      <sheetName val="2.3 (3)"/>
      <sheetName val="SK.6(1)"/>
      <sheetName val="SK.6(2)"/>
      <sheetName val="3.1(1)"/>
      <sheetName val="3.1(8)"/>
      <sheetName val="3.2(1)"/>
      <sheetName val="3.3(1)"/>
      <sheetName val="SK.6.09"/>
      <sheetName val="5.1(2)"/>
      <sheetName val="5.6(1)"/>
      <sheetName val="5.7(1)"/>
      <sheetName val="5.7(2)"/>
      <sheetName val="6.1(1)"/>
      <sheetName val="6.1(2)"/>
      <sheetName val="6.3(1)"/>
      <sheetName val="6.3(5a)"/>
      <sheetName val="6.3(6c)"/>
      <sheetName val="6.3(7a)"/>
      <sheetName val="6.5(1a)"/>
      <sheetName val="7.1(7)"/>
      <sheetName val="7.1(10)"/>
      <sheetName val="7.2 (9)"/>
      <sheetName val="7.2 (10)"/>
      <sheetName val="7.3(1)"/>
      <sheetName val="7.6.(1)"/>
      <sheetName val="7.10(1)"/>
      <sheetName val="7.15(2)"/>
      <sheetName val="7.15(9)"/>
      <sheetName val="11.1(1)"/>
      <sheetName val="11.1(3)a"/>
      <sheetName val="11.1(7)"/>
      <sheetName val="11.1(10)"/>
      <sheetName val="NP (2)"/>
      <sheetName val="BQ Arsit"/>
      <sheetName val="An HarSatPek"/>
      <sheetName val="Sat Bah &amp; Up"/>
      <sheetName val="Terbilang"/>
      <sheetName val="Analisa STR"/>
      <sheetName val="___1"/>
      <sheetName val="__"/>
      <sheetName val="CondPol"/>
      <sheetName val="Owning cost Alat"/>
      <sheetName val="unit_price"/>
      <sheetName val="Posisi_Biaya"/>
      <sheetName val="BD_Div-2_sd_7_6"/>
      <sheetName val="Str_BT"/>
      <sheetName val="GRAND_TOTAL"/>
      <sheetName val="Sumber_Daya"/>
      <sheetName val="_schedule_AMD-2_Rev_III"/>
      <sheetName val="3_1"/>
      <sheetName val="JPC_Breakdown_Price"/>
      <sheetName val="Kuantitas_&amp;_Harga"/>
      <sheetName val="List_Material"/>
      <sheetName val="Daftar_Upah"/>
      <sheetName val="Off_+_Wh"/>
      <sheetName val="01A-_RAB"/>
      <sheetName val="Fin_Sum"/>
      <sheetName val="HB_"/>
      <sheetName val="3_4-PIPE"/>
      <sheetName val="RAB_SEKRETARIAT_(1)"/>
      <sheetName val="Galian_batu"/>
      <sheetName val="405BQBAK-ME_26_bakrie"/>
      <sheetName val="H__Satuan"/>
      <sheetName val="REKAP_TOTAL"/>
      <sheetName val="Kurva_S_(barch-bulanan-25)"/>
      <sheetName val="upah_borong"/>
      <sheetName val="Rekaman"/>
      <sheetName val="PRY 03-1 (Amd1)"/>
      <sheetName val="escon"/>
      <sheetName val="PP ALAT"/>
      <sheetName val="JOB'S"/>
      <sheetName val="Analisa Harga Satuan"/>
      <sheetName val="DRUP (ASLI)"/>
      <sheetName val="Scope of work"/>
      <sheetName val="B-Utama"/>
      <sheetName val="Luar"/>
      <sheetName val="Office"/>
      <sheetName val="Baja"/>
      <sheetName val="Utility"/>
      <sheetName val="tam-kur sipil"/>
      <sheetName val="tam-kur baja"/>
      <sheetName val="ME"/>
      <sheetName val="Preliminary"/>
      <sheetName val="har.sat"/>
      <sheetName val="M'trl Baja"/>
      <sheetName val="analbj"/>
      <sheetName val="UPAH KERJA"/>
      <sheetName val="EXTERNAL"/>
      <sheetName val="Paint"/>
      <sheetName val="Pintu"/>
      <sheetName val="Door"/>
      <sheetName val="Scope_of_work"/>
      <sheetName val="tam-kur_sipil"/>
      <sheetName val="tam-kur_baja"/>
      <sheetName val="har_sat"/>
      <sheetName val="M'trl_Baja"/>
      <sheetName val="UPAH_KERJA"/>
      <sheetName val="HARGA ALAT"/>
      <sheetName val="BQNSC"/>
      <sheetName val="Rekap Direct Cost"/>
      <sheetName val="EK-JAN-07"/>
      <sheetName val="Rekap Tahap 1"/>
      <sheetName val="Weight Bridge"/>
      <sheetName val="326BQSTC"/>
      <sheetName val="Analisa -Baku"/>
      <sheetName val="chitimc"/>
      <sheetName val="THPDMoi  (2)"/>
      <sheetName val="dongia (2)"/>
      <sheetName val="gtrinh"/>
      <sheetName val="phuluc1"/>
      <sheetName val="TONG HOP VL-NC"/>
      <sheetName val="lam-moi"/>
      <sheetName val="chitiet"/>
      <sheetName val="TONGKE3p "/>
      <sheetName val="giathanh1"/>
      <sheetName val="TH VL, NC, DDHT Thanhphuoc"/>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ELEMENT SUM"/>
      <sheetName val="00_Jumlah Total"/>
      <sheetName val="D3.1"/>
      <sheetName val="D4"/>
      <sheetName val="D6"/>
      <sheetName val="D7"/>
      <sheetName val="D8"/>
      <sheetName val="Scope_of_work1"/>
      <sheetName val="tam-kur_sipil1"/>
      <sheetName val="tam-kur_baja1"/>
      <sheetName val="har_sat1"/>
      <sheetName val="M'trl_Baja1"/>
      <sheetName val="HARGA_MATERIAL1"/>
      <sheetName val="UPAH_KERJA1"/>
      <sheetName val="HARGA_ALAT"/>
      <sheetName val="Rekap_Direct_Cost"/>
      <sheetName val="BASIC"/>
      <sheetName val="tifico"/>
      <sheetName val="STAFF"/>
      <sheetName val="Hrg.Sat"/>
      <sheetName val="ALT"/>
      <sheetName val="SCHEDULE"/>
      <sheetName val="Resume"/>
      <sheetName val="STR"/>
      <sheetName val="Analisa Teknik"/>
      <sheetName val="induk1"/>
      <sheetName val="hutang-lapangan"/>
      <sheetName val="Hutang-Wilayah"/>
      <sheetName val="RAB &amp; RCO OWNER VERS."/>
      <sheetName val="112-885"/>
      <sheetName val="Markup"/>
      <sheetName val="G-Alat"/>
      <sheetName val="공정계획(내부계획25%,내부w.f)"/>
      <sheetName val="MPU"/>
      <sheetName val="AnalisaSIPIL_RIIL_RAP1"/>
      <sheetName val="PEMBESIAN_BALOK_tukang_(2)1"/>
      <sheetName val="DAFTAR_71"/>
      <sheetName val="HRG_BHN1"/>
      <sheetName val="Rekap_Prelim1"/>
      <sheetName val="HARGA_BAHAN1"/>
      <sheetName val="struktur_tdk_dipakai1"/>
      <sheetName val="B_-_Norelec1"/>
      <sheetName val="Jembatan_I1"/>
      <sheetName val="C__Analisa_1"/>
      <sheetName val="IN_OUT1"/>
      <sheetName val="D___W_sizes1"/>
      <sheetName val="rab_lt_2_bo1"/>
      <sheetName val="Man_Power___Comp1"/>
      <sheetName val="Harsat_Upah1"/>
      <sheetName val="Cover_Daf_21"/>
      <sheetName val="A-11_Steel_Str1"/>
      <sheetName val="A-03_Pile1"/>
      <sheetName val="PPh_22"/>
      <sheetName val="2_2_BQ"/>
      <sheetName val="BQ_Detail"/>
      <sheetName val="D_5243-ARAMCO"/>
      <sheetName val="D-4801_OXY"/>
      <sheetName val="DAFTAR_HARGA"/>
      <sheetName val="HB_me"/>
      <sheetName val="_"/>
      <sheetName val="HRGA_SATUAN_UPAH-BAHAN"/>
      <sheetName val="Time_Schedule"/>
      <sheetName val="CHITIET_VL_NC"/>
      <sheetName val="rab_me_(by_owner)_"/>
      <sheetName val="BQ_(by_owner)"/>
      <sheetName val="rab_me_(fisik)"/>
      <sheetName val="MAT'L_LLIST"/>
      <sheetName val="Public_Area"/>
      <sheetName val="U__div_2"/>
      <sheetName val="harga_dasar"/>
      <sheetName val="Analisa_Harsat"/>
      <sheetName val="1_2_용역비"/>
      <sheetName val="Eng_Hrs_(HO)"/>
      <sheetName val="SELISIH_HARGA"/>
      <sheetName val="Fire_Alarm"/>
      <sheetName val="fr_BS"/>
      <sheetName val="BQ(RAB)_(2)3"/>
      <sheetName val="BQ(RAB)_(3)3"/>
      <sheetName val="adukan_3"/>
      <sheetName val="Analisa_Alat3"/>
      <sheetName val="Pas_batu3"/>
      <sheetName val="Alat_Kudus3"/>
      <sheetName val="Kap_Alat3"/>
      <sheetName val="H_Satuan3"/>
      <sheetName val="Analisa_SNI_STANDART_2"/>
      <sheetName val="Fill_this_out_first___4"/>
      <sheetName val="Fill_this_out_first___5"/>
      <sheetName val="Cover_Daf-22"/>
      <sheetName val="BQ_ARS2"/>
      <sheetName val="Spec_ME2"/>
      <sheetName val="HRG_BAHAN_&amp;_UPAH_okk2"/>
      <sheetName val="Analis_Kusen_okk2"/>
      <sheetName val="AnalisaSIPIL_RIIL_RAP2"/>
      <sheetName val="PEMBESIAN_BALOK_tukang_(2)2"/>
      <sheetName val="DAFTAR_72"/>
      <sheetName val="HRG_BHN2"/>
      <sheetName val="Rekap_Prelim2"/>
      <sheetName val="HARGA_MATERIAL2"/>
      <sheetName val="HARGA_BAHAN2"/>
      <sheetName val="struktur_tdk_dipakai2"/>
      <sheetName val="B_-_Norelec2"/>
      <sheetName val="Jembatan_I2"/>
      <sheetName val="C__Analisa_2"/>
      <sheetName val="1_191"/>
      <sheetName val="Master_1_01"/>
      <sheetName val="Analisa_21"/>
      <sheetName val="ANALISA_railing1"/>
      <sheetName val="IN_OUT2"/>
      <sheetName val="D___W_sizes2"/>
      <sheetName val="Perm__Test1"/>
      <sheetName val="2__BQ1"/>
      <sheetName val="Harga_Bahan_&amp;_Upah_1"/>
      <sheetName val="rab_lt_2_bo2"/>
      <sheetName val="Man_Power_&amp;_Comp1"/>
      <sheetName val="GRAND_TOTAL1"/>
      <sheetName val="Analisa_RAP1"/>
      <sheetName val="Man_Power___Comp2"/>
      <sheetName val="Harsat_Upah2"/>
      <sheetName val="Str_BT1"/>
      <sheetName val="Posisi_Biaya1"/>
      <sheetName val="Conn__Lib1"/>
      <sheetName val="BD_Div-2_sd_7_61"/>
      <sheetName val="Harga_Satuan1"/>
      <sheetName val="AnalisaSIPIL_RIIL1"/>
      <sheetName val="Ana__PU1"/>
      <sheetName val="rekap_mekanikal1"/>
      <sheetName val="Agregat_Halus_&amp;_Kasar1"/>
      <sheetName val="Cover_Daf_22"/>
      <sheetName val="405BQBAK-ME_26_bakrie1"/>
      <sheetName val="Format_Report-for_analysis_onl1"/>
      <sheetName val="Volume_11"/>
      <sheetName val="_schedule_AMD-2_Rev_III1"/>
      <sheetName val="MAT'L_LIST1"/>
      <sheetName val="2__MVAC_R11"/>
      <sheetName val="Off_+_Wh1"/>
      <sheetName val="Up_&amp;_bhn1"/>
      <sheetName val="List_Material1"/>
      <sheetName val="Uraian_Teknis1"/>
      <sheetName val="MC_strp_CoDa_1"/>
      <sheetName val="H__Satuan1"/>
      <sheetName val="A-11_Steel_Str2"/>
      <sheetName val="A-03_Pile2"/>
      <sheetName val="1__BQ1"/>
      <sheetName val="01A-_RAB1"/>
      <sheetName val="Daftar_Upah1"/>
      <sheetName val="Analisa_Upah_&amp;_Bahan_Plum1"/>
      <sheetName val="3_11"/>
      <sheetName val="Fin_Sum1"/>
      <sheetName val="3_4-PIPE1"/>
      <sheetName val="Harga_Upah+Bahan1"/>
      <sheetName val="B_Q_20071"/>
      <sheetName val="REKAP_TOTAL1"/>
      <sheetName val="RAB_SEKRETARIAT_(1)1"/>
      <sheetName val="Kurva_S_(barch-bulanan-25)1"/>
      <sheetName val="3_Sch_ch1"/>
      <sheetName val="Master_Edit1"/>
      <sheetName val="PPh_221"/>
      <sheetName val="2_2_BQ1"/>
      <sheetName val="Galian_batu1"/>
      <sheetName val="unit_price1"/>
      <sheetName val="BQ_Detail1"/>
      <sheetName val="D_5243-ARAMCO1"/>
      <sheetName val="D-4801_OXY1"/>
      <sheetName val="DAFTAR_HARGA1"/>
      <sheetName val="JPC_Breakdown_Price1"/>
      <sheetName val="HB_me1"/>
      <sheetName val="_1"/>
      <sheetName val="HRGA_SATUAN_UPAH-BAHAN1"/>
      <sheetName val="Bangunan_Utama_B1"/>
      <sheetName val="Time_Schedule1"/>
      <sheetName val="CHITIET_VL_NC1"/>
      <sheetName val="rab_me_(by_owner)_1"/>
      <sheetName val="BQ_(by_owner)1"/>
      <sheetName val="rab_me_(fisik)1"/>
      <sheetName val="HB_1"/>
      <sheetName val="MAT'L_LLIST1"/>
      <sheetName val="Public_Area1"/>
      <sheetName val="U__div_21"/>
      <sheetName val="harga_dasar1"/>
      <sheetName val="Analisa_Harsat1"/>
      <sheetName val="Sumber_Daya1"/>
      <sheetName val="Kuantitas_&amp;_Harga1"/>
      <sheetName val="1_2_용역비1"/>
      <sheetName val="Eng_Hrs_(HO)1"/>
      <sheetName val="SELISIH_HARGA1"/>
      <sheetName val="Fire_Alarm1"/>
      <sheetName val="fr_BS1"/>
      <sheetName val="beton"/>
      <sheetName val="cable-data"/>
      <sheetName val="STAFFSCHED "/>
      <sheetName val="Bill of Qty MEP"/>
      <sheetName val="%S"/>
      <sheetName val="AU Zone"/>
      <sheetName val="Price Breakdown"/>
      <sheetName val="Volume"/>
      <sheetName val="F1c DATA ADM6"/>
      <sheetName val="Profil"/>
      <sheetName val="HARDAS"/>
      <sheetName val="Input"/>
      <sheetName val="asumsi"/>
      <sheetName val="FIRE FIGHTING"/>
      <sheetName val="원가"/>
      <sheetName val="Sum_Intern"/>
      <sheetName val="M+MC"/>
      <sheetName val="차액보증"/>
      <sheetName val="계수시트"/>
      <sheetName val="Jati Gede"/>
      <sheetName val="Mat Real"/>
      <sheetName val="Penyusutan Kendaraan"/>
      <sheetName val="Vendor Information"/>
      <sheetName val="Weight"/>
      <sheetName val="BHN"/>
      <sheetName val="Superstruc"/>
      <sheetName val="셀명"/>
      <sheetName val="수지표"/>
      <sheetName val="ANalisa "/>
      <sheetName val="harga-SD"/>
      <sheetName val="NET表"/>
      <sheetName val="BQ表"/>
      <sheetName val="Est"/>
      <sheetName val="faktor &amp; disc"/>
      <sheetName val="prelim"/>
      <sheetName val="anal2"/>
      <sheetName val="RESOURCES-6"/>
      <sheetName val="Notes"/>
      <sheetName val="Proyeksi 2017 Update 3 april"/>
      <sheetName val="VENDOR"/>
      <sheetName val="DAF-5"/>
      <sheetName val="DTCT"/>
      <sheetName val="Nc-0698"/>
      <sheetName val="I-ME"/>
      <sheetName val="3"/>
      <sheetName val="4"/>
      <sheetName val="MAPP"/>
      <sheetName val="koef"/>
      <sheetName val="RBP- 2"/>
      <sheetName val="Daf Harga"/>
      <sheetName val="BL- (JOB)"/>
      <sheetName val="harga dasar T-M-A"/>
      <sheetName val="hARGA SAT"/>
      <sheetName val="PO-2"/>
      <sheetName val="Analis (2)"/>
      <sheetName val="est proy"/>
      <sheetName val="투찰"/>
      <sheetName val="DC_JL-Demak-GD-Pwdd"/>
      <sheetName val="DATE"/>
      <sheetName val="원가계산서"/>
      <sheetName val="식재"/>
      <sheetName val="시설물"/>
      <sheetName val="식재출력용"/>
      <sheetName val="유지관리"/>
      <sheetName val="단가"/>
      <sheetName val="UnitRateA.1.II"/>
      <sheetName val="pay items"/>
      <sheetName val="Abutment"/>
      <sheetName val="실행철강하도"/>
      <sheetName val="예가표"/>
      <sheetName val="OwnEq"/>
      <sheetName val="Unit Rate"/>
      <sheetName val="villa"/>
      <sheetName val="DAF.ALAT"/>
      <sheetName val="BOQ+BTL+RAPI"/>
      <sheetName val="notasi"/>
      <sheetName val="ANALISA UTAMA"/>
      <sheetName val="3-DIV4"/>
      <sheetName val="Sheet"/>
      <sheetName val="SATUAN JADI "/>
      <sheetName val="BAG_III"/>
      <sheetName val="Sales"/>
      <sheetName val="D7(1)"/>
      <sheetName val="I-KAMAR"/>
      <sheetName val="eqp-rek"/>
      <sheetName val="KH_Q1_Q2_01"/>
      <sheetName val="RAB 2007"/>
      <sheetName val="A_ars"/>
      <sheetName val="BOW"/>
      <sheetName val="Shares Outstanding"/>
      <sheetName val="DCF_10"/>
      <sheetName val="Controls"/>
      <sheetName val="lookup_trend"/>
      <sheetName val="Price"/>
      <sheetName val="CP3 Rkp"/>
      <sheetName val="HOK-K210"/>
      <sheetName val="Hargamat"/>
      <sheetName val="Harga Sat_APP"/>
      <sheetName val="PNT"/>
      <sheetName val="Cash2"/>
      <sheetName val="Rek.An"/>
      <sheetName val="sch 1.2"/>
      <sheetName val="SCH Total"/>
      <sheetName val="WT-LIST"/>
      <sheetName val="BoQrap"/>
      <sheetName val="1.B"/>
      <sheetName val="Supl.X"/>
      <sheetName val="Tataudara"/>
      <sheetName val="ISBL-CIV"/>
      <sheetName val="Fin-Bengkel"/>
      <sheetName val="Fin-Showroom"/>
      <sheetName val="Hal_Pagar"/>
      <sheetName val="Str-Bengkel"/>
      <sheetName val="Str-Showroom"/>
      <sheetName val="@"/>
      <sheetName val="Analisa Bor"/>
      <sheetName val="KoefMixer"/>
      <sheetName val="KoefExc_Dump_Vibro"/>
      <sheetName val="Alat Berat"/>
      <sheetName val="ANALIS"/>
      <sheetName val="4-Basic Price"/>
      <sheetName val="TB(Koordinat XY) (OK)"/>
      <sheetName val="DB"/>
      <sheetName val="Kabel"/>
      <sheetName val="Parameters"/>
      <sheetName val="Currency Rate"/>
      <sheetName val="Anal"/>
      <sheetName val="RAB-NEGO"/>
      <sheetName val="derm"/>
      <sheetName val="misc"/>
      <sheetName val="pile1"/>
      <sheetName val="pile2"/>
      <sheetName val="timb"/>
      <sheetName val="Huruf"/>
      <sheetName val="MAP-Prog"/>
      <sheetName val="PRD01-5"/>
      <sheetName val="1.2"/>
      <sheetName val="1.General Item"/>
      <sheetName val="2.Sorinangka Weir"/>
      <sheetName val="3.Irr.Canal Work"/>
      <sheetName val="4.Irr.Struc.Work"/>
      <sheetName val="6.Tertiary Work"/>
      <sheetName val="UPAH &amp; BAHAN"/>
      <sheetName val="H_S_BAHAN"/>
      <sheetName val="D10 LS-Rutin"/>
      <sheetName val="bahan &amp; SATPEK"/>
      <sheetName val="BQ All_2"/>
      <sheetName val="Bill No_1"/>
      <sheetName val="PAD_F"/>
      <sheetName val="REF.ONLY"/>
      <sheetName val="Time Schedulle"/>
      <sheetName val="Daftar Upah&amp;Bahan"/>
      <sheetName val="당초"/>
      <sheetName val="An_ Harga"/>
      <sheetName val="노임단가"/>
      <sheetName val="BoQ C4"/>
      <sheetName val="Pol"/>
      <sheetName val="BQ(RAB)_(2)4"/>
      <sheetName val="BQ(RAB)_(3)4"/>
      <sheetName val="adukan_4"/>
      <sheetName val="Analisa_Alat4"/>
      <sheetName val="Pas_batu4"/>
      <sheetName val="Alat_Kudus4"/>
      <sheetName val="Kap_Alat4"/>
      <sheetName val="Analisa_SNI_STANDART_3"/>
      <sheetName val="H_Satuan4"/>
      <sheetName val="Fill_this_out_first___6"/>
      <sheetName val="Fill_this_out_first___7"/>
      <sheetName val="AnalisaSIPIL_RIIL_RAP3"/>
      <sheetName val="Cover_Daf-23"/>
      <sheetName val="HRG_BAHAN_&amp;_UPAH_okk3"/>
      <sheetName val="Analis_Kusen_okk3"/>
      <sheetName val="BQ_ARS3"/>
      <sheetName val="Spec_ME3"/>
      <sheetName val="HRG_BHN3"/>
      <sheetName val="struktur_tdk_dipakai3"/>
      <sheetName val="HARGA_BAHAN3"/>
      <sheetName val="DAFTAR_73"/>
      <sheetName val="Rekap_Prelim3"/>
      <sheetName val="HARGA_MATERIAL3"/>
      <sheetName val="B_-_Norelec3"/>
      <sheetName val="Harga_Bahan_&amp;_Upah_2"/>
      <sheetName val="PEMBESIAN_BALOK_tukang_(2)3"/>
      <sheetName val="D___W_sizes3"/>
      <sheetName val="Jembatan_I3"/>
      <sheetName val="C__Analisa_3"/>
      <sheetName val="IN_OUT3"/>
      <sheetName val="Perm__Test2"/>
      <sheetName val="Analisa_RAP2"/>
      <sheetName val="rab_lt_2_bo3"/>
      <sheetName val="Man_Power___Comp3"/>
      <sheetName val="1_192"/>
      <sheetName val="Master_1_02"/>
      <sheetName val="Analisa_22"/>
      <sheetName val="ANALISA_railing2"/>
      <sheetName val="2__BQ2"/>
      <sheetName val="Man_Power_&amp;_Comp2"/>
      <sheetName val="Harsat_Upah3"/>
      <sheetName val="rekap_mekanikal2"/>
      <sheetName val="Conn__Lib2"/>
      <sheetName val="Agregat_Halus_&amp;_Kasar2"/>
      <sheetName val="Cover_Daf_23"/>
      <sheetName val="AnalisaSIPIL_RIIL2"/>
      <sheetName val="Format_Report-for_analysis_onl2"/>
      <sheetName val="MAT'L_LIST2"/>
      <sheetName val="Ana__PU2"/>
      <sheetName val="2__MVAC_R12"/>
      <sheetName val="Off_+_Wh2"/>
      <sheetName val="Up_&amp;_bhn2"/>
      <sheetName val="Str_BT2"/>
      <sheetName val="Posisi_Biaya2"/>
      <sheetName val="BD_Div-2_sd_7_62"/>
      <sheetName val="GRAND_TOTAL2"/>
      <sheetName val="Harga_Satuan2"/>
      <sheetName val="Volume_12"/>
      <sheetName val="_schedule_AMD-2_Rev_III2"/>
      <sheetName val="List_Material2"/>
      <sheetName val="405BQBAK-ME_26_bakrie2"/>
      <sheetName val="Uraian_Teknis2"/>
      <sheetName val="MC_strp_CoDa_2"/>
      <sheetName val="H__Satuan2"/>
      <sheetName val="A-11_Steel_Str3"/>
      <sheetName val="A-03_Pile3"/>
      <sheetName val="1__BQ2"/>
      <sheetName val="01A-_RAB2"/>
      <sheetName val="Daftar_Upah2"/>
      <sheetName val="Analisa_Upah_&amp;_Bahan_Plum2"/>
      <sheetName val="3_12"/>
      <sheetName val="Fin_Sum2"/>
      <sheetName val="3_4-PIPE2"/>
      <sheetName val="Harga_Upah+Bahan2"/>
      <sheetName val="B_Q_20072"/>
      <sheetName val="RAB_SEKRETARIAT_(1)2"/>
      <sheetName val="REKAP_TOTAL2"/>
      <sheetName val="Kurva_S_(barch-bulanan-25)2"/>
      <sheetName val="3_Sch_ch2"/>
      <sheetName val="Master_Edit2"/>
      <sheetName val="PPh_222"/>
      <sheetName val="2_2_BQ2"/>
      <sheetName val="Galian_batu2"/>
      <sheetName val="unit_price2"/>
      <sheetName val="D_5243-ARAMCO2"/>
      <sheetName val="D-4801_OXY2"/>
      <sheetName val="DAFTAR_HARGA2"/>
      <sheetName val="BQ_Detail2"/>
      <sheetName val="JPC_Breakdown_Price2"/>
      <sheetName val="HB_me2"/>
      <sheetName val="_2"/>
      <sheetName val="HRGA_SATUAN_UPAH-BAHAN2"/>
      <sheetName val="Bangunan_Utama_B2"/>
      <sheetName val="Time_Schedule2"/>
      <sheetName val="CHITIET_VL_NC2"/>
      <sheetName val="rab_me_(by_owner)_2"/>
      <sheetName val="BQ_(by_owner)2"/>
      <sheetName val="rab_me_(fisik)2"/>
      <sheetName val="HB_2"/>
      <sheetName val="MAT'L_LLIST2"/>
      <sheetName val="Public_Area2"/>
      <sheetName val="U__div_22"/>
      <sheetName val="harga_dasar2"/>
      <sheetName val="Analisa_Harsat2"/>
      <sheetName val="Sumber_Daya2"/>
      <sheetName val="Kuantitas_&amp;_Harga2"/>
      <sheetName val="1_2_용역비2"/>
      <sheetName val="Eng_Hrs_(HO)2"/>
      <sheetName val="SELISIH_HARGA2"/>
      <sheetName val="Fire_Alarm2"/>
      <sheetName val="fr_BS2"/>
      <sheetName val="공정계획(내부계획25%,내부w_f)"/>
      <sheetName val="BQ_Rekapitulasi__Akhir"/>
      <sheetName val="analisa_hor"/>
      <sheetName val="Monitoring_Progres"/>
      <sheetName val="Ope_FC"/>
      <sheetName val="D_&amp;_W_sizes"/>
      <sheetName val="GRADASI_KELAS_A_(2)"/>
      <sheetName val="timbunan_pilihan"/>
      <sheetName val="Alat___Master"/>
      <sheetName val="Alat__Jembatan"/>
      <sheetName val="Kalibrasi_Mock_(2)"/>
      <sheetName val="1_1_ALAT_TULIS_KANTOR"/>
      <sheetName val="Harsat_Bahan"/>
      <sheetName val="BOQ_Full"/>
      <sheetName val="Perhit_Alat"/>
      <sheetName val="GRAFIK_"/>
      <sheetName val="Isolasi_Luar_Dalam"/>
      <sheetName val="Isolasi_Luar"/>
      <sheetName val="플랜트_설치"/>
      <sheetName val="RM_IA"/>
      <sheetName val="Rekap_Biaya"/>
      <sheetName val="F1c_DATA_ADM6"/>
      <sheetName val="RKP_PLUMBING"/>
      <sheetName val="cal_belakang"/>
      <sheetName val="fill_in_first"/>
      <sheetName val="PRY_03-1_(Amd1)"/>
      <sheetName val="PP_ALAT"/>
      <sheetName val="Kurva_S"/>
      <sheetName val="Relokasi_PDAM"/>
      <sheetName val="Daf_Alat"/>
      <sheetName val="Jadual_Alat"/>
      <sheetName val="Daftar_MPU"/>
      <sheetName val="2_1"/>
      <sheetName val="2_3_(3)"/>
      <sheetName val="SK_6(1)"/>
      <sheetName val="SK_6(2)"/>
      <sheetName val="3_1(1)"/>
      <sheetName val="3_1(8)"/>
      <sheetName val="3_2(1)"/>
      <sheetName val="3_3(1)"/>
      <sheetName val="SK_6_09"/>
      <sheetName val="5_1(2)"/>
      <sheetName val="5_6(1)"/>
      <sheetName val="5_7(1)"/>
      <sheetName val="5_7(2)"/>
      <sheetName val="6_1(1)"/>
      <sheetName val="6_1(2)"/>
      <sheetName val="6_3(1)"/>
      <sheetName val="6_3(5a)"/>
      <sheetName val="6_3(6c)"/>
      <sheetName val="6_3(7a)"/>
      <sheetName val="6_5(1a)"/>
      <sheetName val="7_1(7)"/>
      <sheetName val="7_1(10)"/>
      <sheetName val="7_2_(9)"/>
      <sheetName val="7_2_(10)"/>
      <sheetName val="7_3(1)"/>
      <sheetName val="7_6_(1)"/>
      <sheetName val="7_10(1)"/>
      <sheetName val="7_15(2)"/>
      <sheetName val="7_15(9)"/>
      <sheetName val="11_1(1)"/>
      <sheetName val="11_1(3)a"/>
      <sheetName val="11_1(7)"/>
      <sheetName val="11_1(10)"/>
      <sheetName val="NP_(2)"/>
      <sheetName val="BQ_Arsit"/>
      <sheetName val="An_HarSatPek"/>
      <sheetName val="Sat_Bah_&amp;_Up"/>
      <sheetName val="Daf_1"/>
      <sheetName val="Dft__Hrg_Bahan"/>
      <sheetName val="RAB_&amp;_RCO_OWNER_VERS_"/>
      <sheetName val="Vendor_Information"/>
      <sheetName val="An__Harga"/>
      <sheetName val="Proyeksi_2017_Update_3_april"/>
      <sheetName val="RBP-_2"/>
      <sheetName val="Daf_Harga"/>
      <sheetName val="BL-_(JOB)"/>
      <sheetName val="harga_dasar_T-M-A"/>
      <sheetName val="jadw"/>
      <sheetName val="LAIN-LAIN"/>
      <sheetName val="ASEM내역"/>
      <sheetName val="B.U ARC  POS JAGA"/>
      <sheetName val="DAFT_ALAT,UPAH &amp; MAT"/>
      <sheetName val="EurotoolsXRates"/>
      <sheetName val="Basic Price"/>
      <sheetName val="Kantor"/>
      <sheetName val="3-DIV2"/>
      <sheetName val="time scedul "/>
      <sheetName val="HARSATALAT"/>
      <sheetName val="upah bahan"/>
      <sheetName val="URTEK"/>
      <sheetName val="NP tanah"/>
      <sheetName val="NP umum"/>
      <sheetName val="CODE"/>
      <sheetName val="SUR-HARGA"/>
      <sheetName val="PROGRESS BULAN"/>
      <sheetName val="001"/>
      <sheetName val="Anls Teknis"/>
      <sheetName val="bhn FINAL"/>
      <sheetName val="lokasari-el"/>
      <sheetName val="Galian 1"/>
      <sheetName val="Harsat_Mk"/>
      <sheetName val="LAL - PASAR PAGI "/>
      <sheetName val="htg"/>
      <sheetName val="BQ-Str"/>
      <sheetName val="List of Material Price"/>
      <sheetName val="Orgs Proy"/>
      <sheetName val="TBLSKILL"/>
      <sheetName val="L-Mechanical"/>
      <sheetName val="DIRECT"/>
      <sheetName val="SUMMARY"/>
      <sheetName val="Qty_pile"/>
      <sheetName val="Steel_slab"/>
      <sheetName val="Steel_tank"/>
      <sheetName val="Steel_wall"/>
      <sheetName val="TS"/>
      <sheetName val="DIV.1"/>
      <sheetName val="Basic Data"/>
      <sheetName val="rab-SAPHIR"/>
      <sheetName val="DP-CASH-lapangan"/>
      <sheetName val="CASH-wilayah&amp;Cab"/>
      <sheetName val="5-HARGA"/>
      <sheetName val="RAPA"/>
      <sheetName val="Indeks"/>
      <sheetName val="Written"/>
      <sheetName val="NYATDOK"/>
      <sheetName val="Construction"/>
      <sheetName val="PO2"/>
      <sheetName val="B.Kim2010"/>
      <sheetName val="RAB J18 "/>
      <sheetName val="daf kh"/>
      <sheetName val="13.Nangakara Weir"/>
      <sheetName val="14.Irr.Canal Work"/>
      <sheetName val="15.Irr. Struc.Work"/>
      <sheetName val="16.Pipe Inst."/>
      <sheetName val="18.Lateral Pipe"/>
      <sheetName val="LPP_101"/>
      <sheetName val="Hit_ANT+RRK"/>
      <sheetName val="ANT_titab"/>
      <sheetName val="CASH_Titab"/>
      <sheetName val="HUTANG_Titab"/>
      <sheetName val="SOP_ANT+RRK"/>
      <sheetName val="Rekap (2)"/>
      <sheetName val="PileCap"/>
      <sheetName val="Tie Beam GN"/>
      <sheetName val="Tangga GN"/>
      <sheetName val="HargaBahan"/>
      <sheetName val="HS-1"/>
      <sheetName val="MVAC (4)"/>
      <sheetName val="Daftar Upax"/>
      <sheetName val="Sort 3"/>
      <sheetName val="BASEMENT"/>
      <sheetName val="Anls"/>
      <sheetName val="Daywork1"/>
      <sheetName val="Cont. Fabrikasi"/>
      <sheetName val="DHS AC"/>
      <sheetName val="Harga Upah"/>
      <sheetName val="anal_hs"/>
      <sheetName val="k341k612"/>
      <sheetName val="SIRTU"/>
      <sheetName val="7.공정표"/>
      <sheetName val="Skedjul Rev"/>
      <sheetName val="Schedule 11a"/>
      <sheetName val="Temporary"/>
      <sheetName val="Septick tank"/>
      <sheetName val="DATA PROYEK"/>
      <sheetName val="Rekap 1"/>
      <sheetName val="RPP01 3"/>
      <sheetName val="rekap str_ars"/>
      <sheetName val="Metod TWR"/>
      <sheetName val="str-Rab"/>
      <sheetName val="RAP FLAT+OPEN"/>
      <sheetName val="An H.Sat Pek.Ut"/>
      <sheetName val="RKP_1"/>
      <sheetName val="6-AGREGAT"/>
      <sheetName val="Risalah KOM"/>
      <sheetName val="Man Power"/>
      <sheetName val="Data Tower"/>
      <sheetName val="KALK_GES"/>
      <sheetName val="rekap bahan dan alat"/>
      <sheetName val="S3B11R"/>
      <sheetName val="Grandtotals"/>
      <sheetName val="PEMASARAN"/>
      <sheetName val="LPP"/>
      <sheetName val="LPS APRL'08"/>
      <sheetName val="HS"/>
      <sheetName val="basic-price"/>
      <sheetName val="SAT-BHN"/>
      <sheetName val="5-ALAT(1)"/>
      <sheetName val="EE-PROP"/>
      <sheetName val="1@(2x2,5)"/>
      <sheetName val="SEDULC"/>
      <sheetName val="Form Harga"/>
      <sheetName val="M2"/>
      <sheetName val="COLUMN"/>
      <sheetName val="KBL"/>
      <sheetName val="REKAP_ARSITEKTUR."/>
      <sheetName val="LAM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32">
          <cell r="B32" t="str">
            <v>2.3(1)</v>
          </cell>
          <cell r="C32" t="str">
            <v>Gorong-gorong pipa beton bertulang diameter dalam</v>
          </cell>
          <cell r="D32" t="str">
            <v>Gorong-gorong pipa beton bertulang diameter dalam</v>
          </cell>
          <cell r="E32">
            <v>0</v>
          </cell>
          <cell r="F32" t="str">
            <v>m</v>
          </cell>
          <cell r="G32">
            <v>0</v>
          </cell>
          <cell r="H32">
            <v>0</v>
          </cell>
          <cell r="I32">
            <v>0</v>
          </cell>
        </row>
        <row r="33">
          <cell r="D33" t="str">
            <v>80 cm -120 cm.</v>
          </cell>
        </row>
        <row r="34">
          <cell r="B34" t="str">
            <v>2.3(2)</v>
          </cell>
          <cell r="C34" t="str">
            <v>Gorong-gorong pipa baja gelombang.</v>
          </cell>
          <cell r="D34" t="str">
            <v>Gorong-gorong pipa baja gelombang.</v>
          </cell>
          <cell r="E34">
            <v>0</v>
          </cell>
          <cell r="F34" t="str">
            <v>ton</v>
          </cell>
          <cell r="G34">
            <v>0</v>
          </cell>
          <cell r="H34">
            <v>0</v>
          </cell>
          <cell r="I34">
            <v>0</v>
          </cell>
        </row>
        <row r="35">
          <cell r="I35">
            <v>0</v>
          </cell>
        </row>
        <row r="36">
          <cell r="B36" t="str">
            <v>2.3 (3)</v>
          </cell>
          <cell r="C36" t="str">
            <v>Saluran Beton Bertulang U  20 - 40 cm</v>
          </cell>
          <cell r="D36" t="str">
            <v>Saluran Beton Bertulang U  20 - 40 cm</v>
          </cell>
          <cell r="E36" t="e">
            <v>#REF!</v>
          </cell>
          <cell r="F36" t="str">
            <v>m</v>
          </cell>
          <cell r="G36">
            <v>0</v>
          </cell>
          <cell r="H36" t="e">
            <v>#REF!</v>
          </cell>
          <cell r="I36" t="e">
            <v>#REF!</v>
          </cell>
        </row>
        <row r="38">
          <cell r="B38" t="str">
            <v>2.3 (4)</v>
          </cell>
          <cell r="C38" t="str">
            <v>Saluran Beton Bertulang U  40 - 60 cm</v>
          </cell>
          <cell r="D38" t="str">
            <v>Saluran Beton Bertulang U  40 - 60 cm</v>
          </cell>
          <cell r="E38" t="e">
            <v>#REF!</v>
          </cell>
          <cell r="F38" t="str">
            <v>m</v>
          </cell>
          <cell r="G38">
            <v>0</v>
          </cell>
          <cell r="H38" t="e">
            <v>#REF!</v>
          </cell>
          <cell r="I38" t="e">
            <v>#REF!</v>
          </cell>
        </row>
        <row r="40">
          <cell r="B40" t="str">
            <v>2.4 (1)</v>
          </cell>
          <cell r="C40" t="str">
            <v xml:space="preserve">Urugan Berongga Atau Material Penyaring </v>
          </cell>
          <cell r="D40" t="str">
            <v xml:space="preserve">Urugan Berongga Atau Material Penyaring </v>
          </cell>
          <cell r="E40" t="e">
            <v>#REF!</v>
          </cell>
          <cell r="F40" t="str">
            <v>m3</v>
          </cell>
          <cell r="G40">
            <v>0</v>
          </cell>
          <cell r="H40" t="e">
            <v>#REF!</v>
          </cell>
          <cell r="I40" t="e">
            <v>#REF!</v>
          </cell>
        </row>
        <row r="42">
          <cell r="B42" t="str">
            <v>2.4(2)</v>
          </cell>
          <cell r="C42" t="str">
            <v>Pekerjaan drainase dibawah permukaan.</v>
          </cell>
          <cell r="D42" t="str">
            <v>Pekerjaan drainase dibawah permukaan.</v>
          </cell>
          <cell r="E42">
            <v>0</v>
          </cell>
          <cell r="F42" t="str">
            <v>m3</v>
          </cell>
          <cell r="G42">
            <v>0</v>
          </cell>
          <cell r="H42">
            <v>0</v>
          </cell>
          <cell r="I42">
            <v>0</v>
          </cell>
        </row>
        <row r="56">
          <cell r="B56" t="str">
            <v>3.1.(3a)</v>
          </cell>
          <cell r="C56" t="str">
            <v>Galian Kontruksi Kedalaman 0 - 2 m</v>
          </cell>
          <cell r="D56" t="str">
            <v>Galian Kontruksi Kedalaman 0 - 2 m</v>
          </cell>
          <cell r="E56">
            <v>0</v>
          </cell>
          <cell r="F56" t="str">
            <v>m3</v>
          </cell>
          <cell r="G56">
            <v>0</v>
          </cell>
          <cell r="H56">
            <v>0</v>
          </cell>
          <cell r="I56">
            <v>0</v>
          </cell>
        </row>
        <row r="58">
          <cell r="B58" t="str">
            <v>3.1.(3b)</v>
          </cell>
          <cell r="C58" t="str">
            <v>Galian Kontruksi Kedalaman 2 - 4 m</v>
          </cell>
          <cell r="D58" t="str">
            <v>Galian Kontruksi Kedalaman 2 - 4 m</v>
          </cell>
          <cell r="E58">
            <v>0</v>
          </cell>
          <cell r="F58" t="str">
            <v>m3</v>
          </cell>
          <cell r="G58">
            <v>0</v>
          </cell>
          <cell r="H58">
            <v>0</v>
          </cell>
          <cell r="I58">
            <v>0</v>
          </cell>
        </row>
        <row r="60">
          <cell r="B60" t="str">
            <v>3.1.(3c)</v>
          </cell>
          <cell r="C60" t="str">
            <v>Galian Kontruksi Kedalaman 4 - 6 m</v>
          </cell>
          <cell r="D60" t="str">
            <v>Galian Kontruksi Kedalaman 4 - 6 m</v>
          </cell>
          <cell r="E60">
            <v>0</v>
          </cell>
          <cell r="F60" t="str">
            <v>m3</v>
          </cell>
          <cell r="G60">
            <v>0</v>
          </cell>
          <cell r="H60">
            <v>0</v>
          </cell>
          <cell r="I60">
            <v>0</v>
          </cell>
        </row>
        <row r="62">
          <cell r="B62" t="str">
            <v>3.1.(4)</v>
          </cell>
          <cell r="C62" t="str">
            <v>Kisdam Pengering</v>
          </cell>
          <cell r="D62" t="str">
            <v>Kisdam Pengering</v>
          </cell>
          <cell r="E62">
            <v>0</v>
          </cell>
          <cell r="F62" t="str">
            <v>Ls</v>
          </cell>
          <cell r="G62">
            <v>0</v>
          </cell>
          <cell r="H62">
            <v>0</v>
          </cell>
          <cell r="I62">
            <v>0</v>
          </cell>
        </row>
        <row r="70">
          <cell r="B70" t="str">
            <v>3.4(1)</v>
          </cell>
          <cell r="C70" t="str">
            <v>Resapan pasir vertikal (diameter ....  cm)</v>
          </cell>
          <cell r="D70" t="str">
            <v>Resapan pasir vertikal (diameter ....  cm)</v>
          </cell>
          <cell r="E70">
            <v>0</v>
          </cell>
          <cell r="F70" t="str">
            <v>m</v>
          </cell>
          <cell r="G70">
            <v>0</v>
          </cell>
          <cell r="H70">
            <v>0</v>
          </cell>
          <cell r="I70">
            <v>0</v>
          </cell>
        </row>
        <row r="72">
          <cell r="B72" t="str">
            <v>3.4(2)</v>
          </cell>
          <cell r="C72" t="str">
            <v>Resapan pasir mendatar.</v>
          </cell>
          <cell r="D72" t="str">
            <v>Resapan pasir mendatar.</v>
          </cell>
          <cell r="E72">
            <v>0</v>
          </cell>
          <cell r="F72" t="str">
            <v>m3</v>
          </cell>
          <cell r="G72">
            <v>0</v>
          </cell>
          <cell r="H72">
            <v>0</v>
          </cell>
          <cell r="I72">
            <v>0</v>
          </cell>
        </row>
        <row r="86">
          <cell r="B86" t="str">
            <v>4.2(5)</v>
          </cell>
          <cell r="C86" t="str">
            <v>Bahu jalan agregat batu kapur.</v>
          </cell>
          <cell r="D86" t="str">
            <v>Bahu jalan agregat batu kapur.</v>
          </cell>
          <cell r="E86">
            <v>0</v>
          </cell>
          <cell r="F86" t="str">
            <v>m3</v>
          </cell>
          <cell r="G86">
            <v>0</v>
          </cell>
          <cell r="H86">
            <v>0</v>
          </cell>
          <cell r="I86">
            <v>0</v>
          </cell>
        </row>
        <row r="88">
          <cell r="B88" t="str">
            <v>4.2(6)</v>
          </cell>
          <cell r="C88" t="str">
            <v>Bahu jalan beton K . . . .</v>
          </cell>
          <cell r="D88" t="str">
            <v>Bahu jalan beton K . . . .</v>
          </cell>
          <cell r="E88">
            <v>0</v>
          </cell>
          <cell r="F88" t="str">
            <v>m3</v>
          </cell>
          <cell r="G88">
            <v>0</v>
          </cell>
          <cell r="H88">
            <v>0</v>
          </cell>
          <cell r="I88">
            <v>0</v>
          </cell>
        </row>
        <row r="90">
          <cell r="B90" t="str">
            <v>4.2(7)</v>
          </cell>
          <cell r="C90" t="str">
            <v>Bahu jalan paving block K . . . .</v>
          </cell>
          <cell r="D90" t="str">
            <v>Bahu jalan paving block K . . . .</v>
          </cell>
          <cell r="E90">
            <v>0</v>
          </cell>
          <cell r="F90" t="str">
            <v>m2</v>
          </cell>
          <cell r="G90">
            <v>0</v>
          </cell>
          <cell r="H90">
            <v>0</v>
          </cell>
          <cell r="I90">
            <v>0</v>
          </cell>
        </row>
        <row r="104">
          <cell r="B104">
            <v>5.3</v>
          </cell>
          <cell r="C104" t="str">
            <v>Lapis pondasi agregat Cement Treated Base (CTB).</v>
          </cell>
          <cell r="D104" t="str">
            <v>Lapis pondasi agregat Cement Treated Base (CTB).</v>
          </cell>
          <cell r="E104">
            <v>0</v>
          </cell>
          <cell r="F104" t="str">
            <v>m3</v>
          </cell>
          <cell r="G104">
            <v>0</v>
          </cell>
          <cell r="H104">
            <v>0</v>
          </cell>
          <cell r="I104">
            <v>0</v>
          </cell>
        </row>
        <row r="106">
          <cell r="B106" t="str">
            <v>5.4(1)</v>
          </cell>
          <cell r="C106" t="str">
            <v>Semen untuk lapis pondasi tanah semen.</v>
          </cell>
          <cell r="D106" t="str">
            <v>Semen untuk lapis pondasi tanah semen.</v>
          </cell>
          <cell r="E106">
            <v>0</v>
          </cell>
          <cell r="F106" t="str">
            <v>Ton</v>
          </cell>
          <cell r="G106">
            <v>0</v>
          </cell>
          <cell r="H106">
            <v>0</v>
          </cell>
          <cell r="I106">
            <v>0</v>
          </cell>
        </row>
        <row r="108">
          <cell r="B108" t="str">
            <v>5.4(2)</v>
          </cell>
          <cell r="C108" t="str">
            <v>Tanah untuk lapis pondasi tanah semen.</v>
          </cell>
          <cell r="D108" t="str">
            <v>Tanah untuk lapis pondasi tanah semen.</v>
          </cell>
          <cell r="E108">
            <v>0</v>
          </cell>
          <cell r="F108" t="str">
            <v>m3</v>
          </cell>
          <cell r="G108">
            <v>0</v>
          </cell>
          <cell r="H108">
            <v>0</v>
          </cell>
          <cell r="I108">
            <v>0</v>
          </cell>
        </row>
        <row r="126">
          <cell r="B126" t="str">
            <v>6.3(1)</v>
          </cell>
          <cell r="C126" t="str">
            <v>Latasir (sand sheet).</v>
          </cell>
          <cell r="D126" t="str">
            <v>Latasir (sand sheet).</v>
          </cell>
          <cell r="E126">
            <v>0</v>
          </cell>
          <cell r="F126" t="str">
            <v>m2</v>
          </cell>
          <cell r="G126">
            <v>0</v>
          </cell>
          <cell r="H126">
            <v>0</v>
          </cell>
          <cell r="I126">
            <v>0</v>
          </cell>
        </row>
        <row r="142">
          <cell r="B142" t="str">
            <v>7.1 (1)</v>
          </cell>
          <cell r="C142" t="str">
            <v>Beton K-350</v>
          </cell>
          <cell r="D142" t="str">
            <v>Beton K-350</v>
          </cell>
          <cell r="E142">
            <v>0</v>
          </cell>
          <cell r="F142" t="str">
            <v>m3</v>
          </cell>
          <cell r="G142">
            <v>0</v>
          </cell>
          <cell r="H142">
            <v>0</v>
          </cell>
          <cell r="I142">
            <v>0</v>
          </cell>
        </row>
        <row r="144">
          <cell r="B144" t="str">
            <v>7.1 (2)</v>
          </cell>
          <cell r="C144" t="str">
            <v>Beton K-300</v>
          </cell>
          <cell r="D144" t="str">
            <v>Beton K-300</v>
          </cell>
          <cell r="E144">
            <v>0</v>
          </cell>
          <cell r="F144" t="str">
            <v>m3</v>
          </cell>
          <cell r="G144">
            <v>0</v>
          </cell>
          <cell r="H144">
            <v>0</v>
          </cell>
          <cell r="I144">
            <v>0</v>
          </cell>
        </row>
        <row r="146">
          <cell r="B146" t="str">
            <v>7.1 (3)</v>
          </cell>
          <cell r="C146" t="str">
            <v>Beton K-275</v>
          </cell>
          <cell r="D146" t="str">
            <v>Beton K-275</v>
          </cell>
          <cell r="E146">
            <v>0</v>
          </cell>
          <cell r="F146" t="str">
            <v>m3</v>
          </cell>
          <cell r="G146">
            <v>0</v>
          </cell>
          <cell r="H146">
            <v>0</v>
          </cell>
          <cell r="I146">
            <v>0</v>
          </cell>
        </row>
        <row r="152">
          <cell r="B152" t="str">
            <v>7.1 (6)</v>
          </cell>
          <cell r="C152" t="str">
            <v>Beton Siklop ( K-175)</v>
          </cell>
          <cell r="D152" t="str">
            <v>Beton Siklop ( K-175)</v>
          </cell>
          <cell r="E152">
            <v>0</v>
          </cell>
          <cell r="F152" t="str">
            <v>m3</v>
          </cell>
          <cell r="G152">
            <v>0</v>
          </cell>
          <cell r="H152">
            <v>0</v>
          </cell>
          <cell r="I152">
            <v>0</v>
          </cell>
        </row>
        <row r="154">
          <cell r="B154" t="str">
            <v>7.1 (7)</v>
          </cell>
          <cell r="C154" t="str">
            <v>Beton Siklop ( K-225)</v>
          </cell>
          <cell r="D154" t="str">
            <v>Beton Siklop ( K-225)</v>
          </cell>
          <cell r="E154">
            <v>0</v>
          </cell>
          <cell r="F154" t="str">
            <v>m3</v>
          </cell>
          <cell r="G154">
            <v>0</v>
          </cell>
          <cell r="H154">
            <v>0</v>
          </cell>
          <cell r="I154">
            <v>0</v>
          </cell>
        </row>
        <row r="158">
          <cell r="B158" t="str">
            <v xml:space="preserve">7.1 (9) </v>
          </cell>
          <cell r="C158" t="str">
            <v>Tambahan biaya perancah beton dgn ketinggian diatas 5 m</v>
          </cell>
          <cell r="D158" t="str">
            <v>Tambahan biaya perancah beton dgn ketinggian diatas 5 m</v>
          </cell>
          <cell r="E158">
            <v>0</v>
          </cell>
          <cell r="F158" t="str">
            <v>m3</v>
          </cell>
          <cell r="G158">
            <v>0</v>
          </cell>
          <cell r="H158">
            <v>0</v>
          </cell>
          <cell r="I158">
            <v>0</v>
          </cell>
        </row>
        <row r="160">
          <cell r="B160" t="str">
            <v>7.2(1a)</v>
          </cell>
          <cell r="C160" t="str">
            <v>Pengadaan trucuk kayu dia ..... cm.</v>
          </cell>
          <cell r="D160" t="str">
            <v>Pengadaan trucuk kayu dia ..... cm.</v>
          </cell>
          <cell r="E160">
            <v>0</v>
          </cell>
          <cell r="F160" t="str">
            <v>m</v>
          </cell>
          <cell r="G160">
            <v>0</v>
          </cell>
          <cell r="H160">
            <v>0</v>
          </cell>
          <cell r="I160">
            <v>0</v>
          </cell>
        </row>
        <row r="162">
          <cell r="B162" t="str">
            <v>7.2(1 b)</v>
          </cell>
          <cell r="C162" t="str">
            <v>Pengadaan trucuk bambu dia ..... cm.</v>
          </cell>
          <cell r="D162" t="str">
            <v>Pengadaan trucuk bambu dia ..... cm.</v>
          </cell>
          <cell r="E162">
            <v>0</v>
          </cell>
          <cell r="F162" t="str">
            <v>m</v>
          </cell>
          <cell r="G162">
            <v>0</v>
          </cell>
          <cell r="H162">
            <v>0</v>
          </cell>
          <cell r="I162">
            <v>0</v>
          </cell>
        </row>
        <row r="164">
          <cell r="B164" t="str">
            <v>7.2(2)</v>
          </cell>
          <cell r="C164" t="str">
            <v>Pengadaan tiang pancang kayu dia ..... cm.</v>
          </cell>
          <cell r="D164" t="str">
            <v>Pengadaan tiang pancang kayu dia ..... cm.</v>
          </cell>
          <cell r="E164">
            <v>0</v>
          </cell>
          <cell r="F164" t="str">
            <v>m</v>
          </cell>
          <cell r="G164">
            <v>0</v>
          </cell>
          <cell r="H164">
            <v>0</v>
          </cell>
          <cell r="I164">
            <v>0</v>
          </cell>
        </row>
        <row r="166">
          <cell r="B166" t="str">
            <v>7.2(3)</v>
          </cell>
          <cell r="C166" t="str">
            <v>Pengadaan tiang pancang baja dia ..... cm.</v>
          </cell>
          <cell r="D166" t="str">
            <v>Pengadaan tiang pancang baja dia ..... cm.</v>
          </cell>
          <cell r="E166">
            <v>0</v>
          </cell>
          <cell r="F166" t="str">
            <v>m</v>
          </cell>
          <cell r="G166">
            <v>0</v>
          </cell>
          <cell r="H166">
            <v>0</v>
          </cell>
          <cell r="I166">
            <v>0</v>
          </cell>
        </row>
        <row r="168">
          <cell r="B168" t="str">
            <v>7.2(4)</v>
          </cell>
          <cell r="C168" t="str">
            <v>Pengadaan tiang pancang beton uk . . . x .   . cm</v>
          </cell>
          <cell r="D168" t="str">
            <v>Pengadaan tiang pancang beton uk . . . x .   . cm</v>
          </cell>
          <cell r="E168">
            <v>0</v>
          </cell>
          <cell r="F168" t="str">
            <v>m</v>
          </cell>
          <cell r="G168">
            <v>0</v>
          </cell>
          <cell r="H168">
            <v>0</v>
          </cell>
          <cell r="I168">
            <v>0</v>
          </cell>
        </row>
        <row r="170">
          <cell r="B170" t="str">
            <v>7.2(5)</v>
          </cell>
          <cell r="C170" t="str">
            <v>Pengadaan tiang pancang beton dia ... cm.</v>
          </cell>
          <cell r="D170" t="str">
            <v>Pengadaan tiang pancang beton dia ... cm.</v>
          </cell>
          <cell r="E170">
            <v>0</v>
          </cell>
          <cell r="F170" t="str">
            <v>m</v>
          </cell>
          <cell r="G170">
            <v>0</v>
          </cell>
          <cell r="H170">
            <v>0</v>
          </cell>
          <cell r="I170">
            <v>0</v>
          </cell>
        </row>
        <row r="172">
          <cell r="B172" t="str">
            <v>7.2(6)</v>
          </cell>
          <cell r="C172" t="str">
            <v>Pengadaan Sheet Pile baja.</v>
          </cell>
          <cell r="D172" t="str">
            <v>Pengadaan Sheet Pile baja.</v>
          </cell>
          <cell r="E172">
            <v>0</v>
          </cell>
          <cell r="F172" t="str">
            <v>m</v>
          </cell>
          <cell r="G172">
            <v>0</v>
          </cell>
          <cell r="H172">
            <v>0</v>
          </cell>
          <cell r="I172">
            <v>0</v>
          </cell>
        </row>
        <row r="174">
          <cell r="B174" t="str">
            <v>7.2(7)</v>
          </cell>
          <cell r="C174" t="str">
            <v>Pengadaan Sheet Pile beton.</v>
          </cell>
          <cell r="D174" t="str">
            <v>Pengadaan Sheet Pile beton.</v>
          </cell>
          <cell r="E174">
            <v>0</v>
          </cell>
          <cell r="F174" t="str">
            <v>m</v>
          </cell>
          <cell r="G174">
            <v>0</v>
          </cell>
          <cell r="H174">
            <v>0</v>
          </cell>
          <cell r="I174">
            <v>0</v>
          </cell>
        </row>
        <row r="176">
          <cell r="B176" t="str">
            <v>7.2(8a)</v>
          </cell>
          <cell r="C176" t="str">
            <v>Pemancangan trucuk kayu dia ..... cm.</v>
          </cell>
          <cell r="D176" t="str">
            <v>Pemancangan trucuk kayu dia ..... cm.</v>
          </cell>
          <cell r="E176">
            <v>0</v>
          </cell>
          <cell r="F176" t="str">
            <v>m</v>
          </cell>
          <cell r="G176">
            <v>0</v>
          </cell>
          <cell r="H176">
            <v>0</v>
          </cell>
          <cell r="I176">
            <v>0</v>
          </cell>
        </row>
        <row r="178">
          <cell r="B178" t="str">
            <v>7.2(8b)</v>
          </cell>
          <cell r="C178" t="str">
            <v>Pemancangan trucuk bambu dia ..... cm.</v>
          </cell>
          <cell r="D178" t="str">
            <v>Pemancangan trucuk bambu dia ..... cm.</v>
          </cell>
          <cell r="E178">
            <v>0</v>
          </cell>
          <cell r="F178" t="str">
            <v>m</v>
          </cell>
          <cell r="G178">
            <v>0</v>
          </cell>
          <cell r="H178">
            <v>0</v>
          </cell>
          <cell r="I178">
            <v>0</v>
          </cell>
        </row>
        <row r="180">
          <cell r="B180" t="str">
            <v>7.2(9)</v>
          </cell>
          <cell r="C180" t="str">
            <v>Pemancangan tiang pancang kayu dia ..... cm.</v>
          </cell>
          <cell r="D180" t="str">
            <v>Pemancangan tiang pancang kayu dia ..... cm.</v>
          </cell>
          <cell r="E180">
            <v>0</v>
          </cell>
          <cell r="F180" t="str">
            <v>m</v>
          </cell>
          <cell r="G180">
            <v>0</v>
          </cell>
          <cell r="H180">
            <v>0</v>
          </cell>
          <cell r="I180">
            <v>0</v>
          </cell>
        </row>
        <row r="182">
          <cell r="B182" t="str">
            <v>7.2(10)</v>
          </cell>
          <cell r="C182" t="str">
            <v>Pemancangan tiang pancang baja dia ..... cm.</v>
          </cell>
          <cell r="D182" t="str">
            <v>Pemancangan tiang pancang baja dia ..... cm.</v>
          </cell>
          <cell r="E182">
            <v>0</v>
          </cell>
          <cell r="F182" t="str">
            <v>m</v>
          </cell>
          <cell r="G182">
            <v>0</v>
          </cell>
          <cell r="H182">
            <v>0</v>
          </cell>
          <cell r="I182">
            <v>0</v>
          </cell>
        </row>
        <row r="184">
          <cell r="B184" t="str">
            <v>7.2(11)</v>
          </cell>
          <cell r="C184" t="str">
            <v>Pemancangan tiang pancang beton uk ... x ... cm.</v>
          </cell>
          <cell r="D184" t="str">
            <v>Pemancangan tiang pancang beton uk ... x ... cm.</v>
          </cell>
          <cell r="E184">
            <v>0</v>
          </cell>
          <cell r="F184" t="str">
            <v>m</v>
          </cell>
          <cell r="G184">
            <v>0</v>
          </cell>
          <cell r="H184">
            <v>0</v>
          </cell>
          <cell r="I184">
            <v>0</v>
          </cell>
        </row>
        <row r="186">
          <cell r="B186" t="str">
            <v>7.2 (12)</v>
          </cell>
          <cell r="C186" t="str">
            <v>Pemancangan Tiang Pancang Beton Dia 45 Cm</v>
          </cell>
          <cell r="D186" t="str">
            <v>Pemancangan Tiang Pancang Beton Dia 45 Cm</v>
          </cell>
          <cell r="E186">
            <v>0</v>
          </cell>
          <cell r="F186" t="str">
            <v>M'</v>
          </cell>
          <cell r="G186">
            <v>0</v>
          </cell>
          <cell r="H186">
            <v>0</v>
          </cell>
          <cell r="I186">
            <v>0</v>
          </cell>
        </row>
        <row r="188">
          <cell r="B188" t="str">
            <v>7.2(13)</v>
          </cell>
          <cell r="C188" t="str">
            <v>Pemancangan Sheet Pile baja.</v>
          </cell>
          <cell r="D188" t="str">
            <v>Pemancangan Sheet Pile baja.</v>
          </cell>
          <cell r="E188">
            <v>0</v>
          </cell>
          <cell r="F188" t="str">
            <v>m</v>
          </cell>
          <cell r="G188">
            <v>0</v>
          </cell>
          <cell r="H188">
            <v>0</v>
          </cell>
          <cell r="I188">
            <v>0</v>
          </cell>
        </row>
        <row r="190">
          <cell r="B190" t="str">
            <v>7.2(14)</v>
          </cell>
          <cell r="C190" t="str">
            <v>Pemancangan Sheet Pile beton.</v>
          </cell>
          <cell r="D190" t="str">
            <v>Pemancangan Sheet Pile beton.</v>
          </cell>
          <cell r="E190">
            <v>0</v>
          </cell>
          <cell r="F190" t="str">
            <v>m</v>
          </cell>
          <cell r="G190">
            <v>0</v>
          </cell>
          <cell r="H190">
            <v>0</v>
          </cell>
          <cell r="I190">
            <v>0</v>
          </cell>
        </row>
        <row r="194">
          <cell r="B194" t="str">
            <v>7.3(2)</v>
          </cell>
          <cell r="C194" t="str">
            <v>Baja tulangan U24 ulir.</v>
          </cell>
          <cell r="D194" t="str">
            <v>Baja tulangan U24 ulir.</v>
          </cell>
          <cell r="E194">
            <v>0</v>
          </cell>
          <cell r="F194" t="str">
            <v>kg</v>
          </cell>
          <cell r="G194">
            <v>0</v>
          </cell>
          <cell r="H194">
            <v>0</v>
          </cell>
          <cell r="I194">
            <v>0</v>
          </cell>
        </row>
        <row r="198">
          <cell r="B198" t="str">
            <v>7.4(1)</v>
          </cell>
          <cell r="C198" t="str">
            <v>Pabrikasi dan pemasangan baja bangunan, tegangan</v>
          </cell>
          <cell r="D198" t="str">
            <v>Pabrikasi dan pemasangan baja bangunan, tegangan</v>
          </cell>
          <cell r="E198">
            <v>0</v>
          </cell>
          <cell r="F198" t="str">
            <v>kg</v>
          </cell>
          <cell r="G198">
            <v>0</v>
          </cell>
          <cell r="H198">
            <v>0</v>
          </cell>
          <cell r="I198">
            <v>0</v>
          </cell>
        </row>
        <row r="199">
          <cell r="D199" t="str">
            <v>leleh 28 kg/mm2 untuk pipa railing dan drainase.</v>
          </cell>
        </row>
        <row r="200">
          <cell r="B200" t="str">
            <v>7.4(2)</v>
          </cell>
          <cell r="C200" t="str">
            <v>Pabrikasi dan pemasangan baja bangunan, tegangan</v>
          </cell>
          <cell r="D200" t="str">
            <v>Pabrikasi dan pemasangan baja bangunan, tegangan</v>
          </cell>
          <cell r="E200">
            <v>0</v>
          </cell>
          <cell r="F200" t="str">
            <v>kg</v>
          </cell>
          <cell r="G200">
            <v>0</v>
          </cell>
          <cell r="H200">
            <v>0</v>
          </cell>
          <cell r="I200">
            <v>0</v>
          </cell>
        </row>
        <row r="201">
          <cell r="D201" t="str">
            <v>leleh 35 kg/mm2 untuk plat dan profil.</v>
          </cell>
        </row>
        <row r="202">
          <cell r="B202" t="str">
            <v>7.4(3)</v>
          </cell>
          <cell r="C202" t="str">
            <v>Perletakan baja.</v>
          </cell>
          <cell r="D202" t="str">
            <v>Perletakan baja.</v>
          </cell>
          <cell r="E202">
            <v>0</v>
          </cell>
          <cell r="F202" t="str">
            <v>kg</v>
          </cell>
          <cell r="G202">
            <v>0</v>
          </cell>
          <cell r="H202">
            <v>0</v>
          </cell>
          <cell r="I202">
            <v>0</v>
          </cell>
        </row>
        <row r="204">
          <cell r="B204" t="str">
            <v>7.4(4)</v>
          </cell>
          <cell r="C204" t="str">
            <v>Perletakan elastomeric.</v>
          </cell>
          <cell r="D204" t="str">
            <v>Perletakan elastomeric.</v>
          </cell>
          <cell r="E204">
            <v>0</v>
          </cell>
          <cell r="F204" t="str">
            <v>dm3</v>
          </cell>
          <cell r="G204">
            <v>0</v>
          </cell>
          <cell r="H204">
            <v>0</v>
          </cell>
          <cell r="I204">
            <v>0</v>
          </cell>
        </row>
        <row r="206">
          <cell r="B206" t="str">
            <v>7.4(5)</v>
          </cell>
          <cell r="C206" t="str">
            <v>Pemasangan lengkap bangunan atas Steel Plate Girder.</v>
          </cell>
          <cell r="D206" t="str">
            <v>Pemasangan lengkap bangunan atas Steel Plate Girder.</v>
          </cell>
          <cell r="E206">
            <v>0</v>
          </cell>
          <cell r="F206" t="str">
            <v>kg</v>
          </cell>
          <cell r="G206">
            <v>0</v>
          </cell>
          <cell r="H206">
            <v>0</v>
          </cell>
          <cell r="I206">
            <v>0</v>
          </cell>
        </row>
        <row r="208">
          <cell r="B208" t="str">
            <v>7.4(6)</v>
          </cell>
          <cell r="C208" t="str">
            <v>Pemasangan lengkap bangunan atas Rangka Baja.</v>
          </cell>
          <cell r="D208" t="str">
            <v>Pemasangan lengkap bangunan atas Rangka Baja.</v>
          </cell>
          <cell r="E208">
            <v>0</v>
          </cell>
          <cell r="F208" t="str">
            <v>kg</v>
          </cell>
          <cell r="G208">
            <v>0</v>
          </cell>
          <cell r="H208">
            <v>0</v>
          </cell>
          <cell r="I208">
            <v>0</v>
          </cell>
        </row>
        <row r="210">
          <cell r="B210" t="str">
            <v>7.5(1)</v>
          </cell>
          <cell r="C210" t="str">
            <v>Sumuran silinder diameter .... cm.</v>
          </cell>
          <cell r="D210" t="str">
            <v>Sumuran silinder diameter .... cm.</v>
          </cell>
          <cell r="E210">
            <v>0</v>
          </cell>
          <cell r="F210" t="str">
            <v>m</v>
          </cell>
          <cell r="G210">
            <v>0</v>
          </cell>
          <cell r="H210">
            <v>0</v>
          </cell>
          <cell r="I210">
            <v>0</v>
          </cell>
        </row>
        <row r="212">
          <cell r="B212" t="str">
            <v>7.5(2)</v>
          </cell>
          <cell r="C212" t="str">
            <v>Sumuran box ukuran .... cm x .... cm.</v>
          </cell>
          <cell r="D212" t="str">
            <v>Sumuran box ukuran .... cm x .... cm.</v>
          </cell>
          <cell r="E212">
            <v>0</v>
          </cell>
          <cell r="F212" t="str">
            <v>m</v>
          </cell>
          <cell r="G212">
            <v>0</v>
          </cell>
          <cell r="H212">
            <v>0</v>
          </cell>
          <cell r="I212">
            <v>0</v>
          </cell>
        </row>
        <row r="214">
          <cell r="B214" t="str">
            <v>7.5(3)</v>
          </cell>
          <cell r="C214" t="str">
            <v>Menurunkan sumuran silinder diameter .... cm.</v>
          </cell>
          <cell r="D214" t="str">
            <v>Menurunkan sumuran silinder diameter .... cm.</v>
          </cell>
          <cell r="E214">
            <v>0</v>
          </cell>
          <cell r="F214" t="str">
            <v>m</v>
          </cell>
          <cell r="G214">
            <v>0</v>
          </cell>
          <cell r="H214">
            <v>0</v>
          </cell>
          <cell r="I214">
            <v>0</v>
          </cell>
        </row>
        <row r="216">
          <cell r="B216" t="str">
            <v>7.5(4)</v>
          </cell>
          <cell r="C216" t="str">
            <v>Menurunkan sumuran box ukuran .... cm x .... cm.</v>
          </cell>
          <cell r="D216" t="str">
            <v>Menurunkan sumuran box ukuran .... cm x .... cm.</v>
          </cell>
          <cell r="E216">
            <v>0</v>
          </cell>
          <cell r="F216" t="str">
            <v>m</v>
          </cell>
          <cell r="G216">
            <v>0</v>
          </cell>
          <cell r="H216">
            <v>0</v>
          </cell>
          <cell r="I216">
            <v>0</v>
          </cell>
        </row>
        <row r="218">
          <cell r="B218" t="str">
            <v>7.6(1)</v>
          </cell>
          <cell r="C218" t="str">
            <v>Beton Pratekan cast-in place bentang . . . . M.</v>
          </cell>
          <cell r="D218" t="str">
            <v>Beton Pratekan cast-in place bentang . . . . M.</v>
          </cell>
          <cell r="E218">
            <v>0</v>
          </cell>
          <cell r="F218" t="str">
            <v>Buah</v>
          </cell>
          <cell r="G218">
            <v>0</v>
          </cell>
          <cell r="H218">
            <v>0</v>
          </cell>
          <cell r="I218">
            <v>0</v>
          </cell>
        </row>
        <row r="220">
          <cell r="B220" t="str">
            <v>7.6(2)</v>
          </cell>
          <cell r="C220" t="str">
            <v>Beton Pratekan pre-cast bentang . . . . M.</v>
          </cell>
          <cell r="D220" t="str">
            <v>Beton Pratekan pre-cast bentang . . . . M.</v>
          </cell>
          <cell r="E220">
            <v>0</v>
          </cell>
          <cell r="F220" t="str">
            <v>Buah</v>
          </cell>
          <cell r="G220">
            <v>0</v>
          </cell>
          <cell r="H220">
            <v>0</v>
          </cell>
          <cell r="I220">
            <v>0</v>
          </cell>
        </row>
        <row r="222">
          <cell r="B222" t="str">
            <v>7.6(3)</v>
          </cell>
          <cell r="C222" t="str">
            <v>Pelat Berongga Beton Pratekan pre-cast bentang . . . . M.</v>
          </cell>
          <cell r="D222" t="str">
            <v>Pelat Berongga Beton Pratekan pre-cast bentang . . . . M.</v>
          </cell>
          <cell r="E222">
            <v>0</v>
          </cell>
          <cell r="F222" t="str">
            <v>Buah</v>
          </cell>
          <cell r="G222">
            <v>0</v>
          </cell>
          <cell r="H222">
            <v>0</v>
          </cell>
          <cell r="I222">
            <v>0</v>
          </cell>
        </row>
        <row r="224">
          <cell r="B224" t="str">
            <v>7.8(1)</v>
          </cell>
          <cell r="C224" t="str">
            <v>Pasangan batu kosong.</v>
          </cell>
          <cell r="D224" t="str">
            <v>Pasangan batu kosong.</v>
          </cell>
          <cell r="E224">
            <v>0</v>
          </cell>
          <cell r="F224" t="str">
            <v>m3</v>
          </cell>
          <cell r="G224">
            <v>0</v>
          </cell>
          <cell r="H224">
            <v>0</v>
          </cell>
          <cell r="I224">
            <v>0</v>
          </cell>
        </row>
        <row r="228">
          <cell r="B228" t="str">
            <v>7.8(2)</v>
          </cell>
          <cell r="C228" t="str">
            <v>Gabion (bronjong).</v>
          </cell>
          <cell r="D228" t="str">
            <v>Gabion (bronjong).</v>
          </cell>
          <cell r="E228">
            <v>0</v>
          </cell>
          <cell r="F228" t="str">
            <v>m3</v>
          </cell>
          <cell r="G228">
            <v>0</v>
          </cell>
          <cell r="H228">
            <v>0</v>
          </cell>
          <cell r="I228">
            <v>0</v>
          </cell>
        </row>
        <row r="230">
          <cell r="B230" t="str">
            <v>7.11(1)</v>
          </cell>
          <cell r="C230" t="str">
            <v>Expantiont joint type I.</v>
          </cell>
          <cell r="D230" t="str">
            <v>Expantiont joint type I.</v>
          </cell>
          <cell r="E230">
            <v>0</v>
          </cell>
          <cell r="F230" t="str">
            <v>m</v>
          </cell>
          <cell r="G230">
            <v>0</v>
          </cell>
          <cell r="H230">
            <v>0</v>
          </cell>
          <cell r="I230">
            <v>0</v>
          </cell>
        </row>
        <row r="232">
          <cell r="B232" t="str">
            <v>7.11(2)</v>
          </cell>
          <cell r="C232" t="str">
            <v>Expantiont joint type II (mutu tinggi).</v>
          </cell>
          <cell r="D232" t="str">
            <v>Expantiont joint type II (mutu tinggi).</v>
          </cell>
          <cell r="E232">
            <v>0</v>
          </cell>
          <cell r="F232" t="str">
            <v>m</v>
          </cell>
          <cell r="G232">
            <v>0</v>
          </cell>
          <cell r="H232">
            <v>0</v>
          </cell>
          <cell r="I232">
            <v>0</v>
          </cell>
        </row>
        <row r="254">
          <cell r="B254" t="str">
            <v>8.1 (6)</v>
          </cell>
          <cell r="C254" t="str">
            <v>Campuran Aspal Dingin untuk Pekerjaan Minor</v>
          </cell>
          <cell r="D254" t="str">
            <v>Campuran Aspal Dingin untuk Pekerjaan Minor</v>
          </cell>
          <cell r="E254">
            <v>0</v>
          </cell>
          <cell r="F254" t="str">
            <v>M3</v>
          </cell>
          <cell r="G254">
            <v>0</v>
          </cell>
          <cell r="H254">
            <v>0</v>
          </cell>
          <cell r="I254">
            <v>0</v>
          </cell>
        </row>
        <row r="266">
          <cell r="B266" t="str">
            <v>8.1(12)</v>
          </cell>
          <cell r="C266" t="str">
            <v>Material urugan pilihan untuk pekerjaan minor.</v>
          </cell>
          <cell r="D266" t="str">
            <v>Material urugan pilihan untuk pekerjaan minor.</v>
          </cell>
          <cell r="E266">
            <v>0</v>
          </cell>
          <cell r="F266" t="str">
            <v>m3</v>
          </cell>
          <cell r="G266">
            <v>0</v>
          </cell>
          <cell r="H266">
            <v>0</v>
          </cell>
          <cell r="I266">
            <v>0</v>
          </cell>
        </row>
        <row r="268">
          <cell r="B268" t="str">
            <v>8.1(13)</v>
          </cell>
          <cell r="C268" t="str">
            <v>Latasir (Sand sheet) untuk pekerjaan minor.</v>
          </cell>
          <cell r="D268" t="str">
            <v>Latasir (Sand sheet) untuk pekerjaan minor.</v>
          </cell>
          <cell r="E268">
            <v>0</v>
          </cell>
          <cell r="F268" t="str">
            <v>m2</v>
          </cell>
          <cell r="G268">
            <v>0</v>
          </cell>
          <cell r="H268">
            <v>0</v>
          </cell>
          <cell r="I268">
            <v>0</v>
          </cell>
        </row>
        <row r="270">
          <cell r="B270" t="str">
            <v>8.1(14)</v>
          </cell>
          <cell r="C270" t="str">
            <v>Beton K-125/BO untuk pekerjaan minor.</v>
          </cell>
          <cell r="D270" t="str">
            <v>Beton K-125/BO untuk pekerjaan minor.</v>
          </cell>
          <cell r="E270">
            <v>0</v>
          </cell>
          <cell r="F270" t="str">
            <v>m3</v>
          </cell>
          <cell r="G270">
            <v>0</v>
          </cell>
          <cell r="H270">
            <v>0</v>
          </cell>
          <cell r="I270">
            <v>0</v>
          </cell>
        </row>
        <row r="272">
          <cell r="B272" t="str">
            <v>8.1(15)</v>
          </cell>
          <cell r="C272" t="str">
            <v>Beton K-175 untuk pekerjaan minor.</v>
          </cell>
          <cell r="D272" t="str">
            <v>Beton K-175 untuk pekerjaan minor.</v>
          </cell>
          <cell r="E272">
            <v>0</v>
          </cell>
          <cell r="F272" t="str">
            <v>m3</v>
          </cell>
          <cell r="G272">
            <v>0</v>
          </cell>
          <cell r="H272">
            <v>0</v>
          </cell>
          <cell r="I272">
            <v>0</v>
          </cell>
        </row>
        <row r="274">
          <cell r="B274" t="str">
            <v>8.3(1)</v>
          </cell>
          <cell r="C274" t="str">
            <v>Stabilisasi dengan tanaman rumput.</v>
          </cell>
          <cell r="D274" t="str">
            <v>Stabilisasi dengan tanaman rumput.</v>
          </cell>
          <cell r="E274">
            <v>0</v>
          </cell>
          <cell r="F274" t="str">
            <v>m2</v>
          </cell>
          <cell r="G274">
            <v>0</v>
          </cell>
          <cell r="H274">
            <v>0</v>
          </cell>
          <cell r="I274">
            <v>0</v>
          </cell>
        </row>
        <row r="288">
          <cell r="B288" t="str">
            <v>8.4 (6)</v>
          </cell>
          <cell r="C288" t="str">
            <v>Rel Pengaman ( Guard Rail )</v>
          </cell>
          <cell r="D288" t="str">
            <v>Rel Pengaman ( Guard Rail )</v>
          </cell>
          <cell r="E288">
            <v>0</v>
          </cell>
          <cell r="F288" t="str">
            <v>Buah</v>
          </cell>
          <cell r="G288">
            <v>0</v>
          </cell>
          <cell r="H288">
            <v>0</v>
          </cell>
          <cell r="I288">
            <v>0</v>
          </cell>
        </row>
        <row r="290">
          <cell r="B290" t="str">
            <v>8.5(1)</v>
          </cell>
          <cell r="C290" t="str">
            <v>Pengembalian kondisi lantai jembatan beton.</v>
          </cell>
          <cell r="D290" t="str">
            <v>Pengembalian kondisi lantai jembatan beton.</v>
          </cell>
          <cell r="E290">
            <v>0</v>
          </cell>
          <cell r="F290" t="str">
            <v>m2</v>
          </cell>
          <cell r="G290">
            <v>0</v>
          </cell>
          <cell r="H290">
            <v>0</v>
          </cell>
          <cell r="I290">
            <v>0</v>
          </cell>
        </row>
        <row r="292">
          <cell r="B292" t="str">
            <v>8.5(2)</v>
          </cell>
          <cell r="C292" t="str">
            <v>Pengembalian kondisi lantai jembatan kayu.</v>
          </cell>
          <cell r="D292" t="str">
            <v>Pengembalian kondisi lantai jembatan kayu.</v>
          </cell>
          <cell r="E292">
            <v>0</v>
          </cell>
          <cell r="F292" t="str">
            <v>m2</v>
          </cell>
          <cell r="G292">
            <v>0</v>
          </cell>
          <cell r="H292">
            <v>0</v>
          </cell>
          <cell r="I292">
            <v>0</v>
          </cell>
        </row>
        <row r="294">
          <cell r="B294" t="str">
            <v>8.5(3)</v>
          </cell>
          <cell r="C294" t="str">
            <v>Pengembalian kondisi pelapisan permukaan baja struktur</v>
          </cell>
          <cell r="D294" t="str">
            <v>Pengembalian kondisi pelapisan permukaan baja struktur</v>
          </cell>
          <cell r="E294">
            <v>0</v>
          </cell>
          <cell r="F294" t="str">
            <v>m2</v>
          </cell>
          <cell r="G294">
            <v>0</v>
          </cell>
          <cell r="H294">
            <v>0</v>
          </cell>
          <cell r="I294">
            <v>0</v>
          </cell>
        </row>
        <row r="295">
          <cell r="D295" t="str">
            <v>(pengecatan).</v>
          </cell>
        </row>
        <row r="296">
          <cell r="B296" t="str">
            <v>8.5(4)</v>
          </cell>
          <cell r="C296" t="str">
            <v>Penyuntikan epoxy resin grout.</v>
          </cell>
          <cell r="D296" t="str">
            <v>Penyuntikan epoxy resin grout.</v>
          </cell>
          <cell r="E296">
            <v>0</v>
          </cell>
          <cell r="F296" t="str">
            <v>m2</v>
          </cell>
          <cell r="G296">
            <v>0</v>
          </cell>
          <cell r="H296">
            <v>0</v>
          </cell>
          <cell r="I296">
            <v>0</v>
          </cell>
        </row>
        <row r="298">
          <cell r="B298">
            <v>8.6</v>
          </cell>
          <cell r="C298" t="str">
            <v>Kerb beton.</v>
          </cell>
          <cell r="D298" t="str">
            <v>Kerb beton.</v>
          </cell>
          <cell r="E298">
            <v>0</v>
          </cell>
          <cell r="F298" t="str">
            <v>m</v>
          </cell>
          <cell r="G298">
            <v>0</v>
          </cell>
          <cell r="H298">
            <v>0</v>
          </cell>
          <cell r="I298">
            <v>0</v>
          </cell>
        </row>
        <row r="300">
          <cell r="B300">
            <v>8.6999999999999993</v>
          </cell>
          <cell r="C300" t="str">
            <v>Perkerasan blok pada trotoir dan median.</v>
          </cell>
          <cell r="D300" t="str">
            <v>Perkerasan blok pada trotoir dan median.</v>
          </cell>
          <cell r="E300">
            <v>0</v>
          </cell>
          <cell r="F300" t="str">
            <v>m2</v>
          </cell>
          <cell r="G300">
            <v>0</v>
          </cell>
          <cell r="H300">
            <v>0</v>
          </cell>
          <cell r="I300">
            <v>0</v>
          </cell>
        </row>
        <row r="302">
          <cell r="B302" t="str">
            <v>8.8(1)</v>
          </cell>
          <cell r="C302" t="str">
            <v>Penerangan jalan lampu tunggal.</v>
          </cell>
          <cell r="D302" t="str">
            <v>Penerangan jalan lampu tunggal.</v>
          </cell>
          <cell r="E302">
            <v>0</v>
          </cell>
          <cell r="F302" t="str">
            <v>Buah</v>
          </cell>
          <cell r="G302">
            <v>0</v>
          </cell>
          <cell r="H302">
            <v>0</v>
          </cell>
          <cell r="I302">
            <v>0</v>
          </cell>
        </row>
        <row r="304">
          <cell r="B304" t="str">
            <v>8.8(2)</v>
          </cell>
          <cell r="C304" t="str">
            <v>Penerangan jalan lampu ganda.</v>
          </cell>
          <cell r="D304" t="str">
            <v>Penerangan jalan lampu ganda.</v>
          </cell>
          <cell r="E304">
            <v>0</v>
          </cell>
          <cell r="F304" t="str">
            <v>Buah</v>
          </cell>
          <cell r="G304">
            <v>0</v>
          </cell>
          <cell r="H304">
            <v>0</v>
          </cell>
          <cell r="I304">
            <v>0</v>
          </cell>
        </row>
        <row r="306">
          <cell r="B306">
            <v>8.9</v>
          </cell>
          <cell r="C306" t="str">
            <v>Penghalang median beton pracetak.</v>
          </cell>
          <cell r="D306" t="str">
            <v>Penghalang median beton pracetak.</v>
          </cell>
          <cell r="E306">
            <v>0</v>
          </cell>
          <cell r="F306" t="str">
            <v>m</v>
          </cell>
          <cell r="G306">
            <v>0</v>
          </cell>
          <cell r="H306">
            <v>0</v>
          </cell>
          <cell r="I306">
            <v>0</v>
          </cell>
        </row>
        <row r="308">
          <cell r="B308" t="str">
            <v>8.10(1)</v>
          </cell>
          <cell r="C308" t="str">
            <v>Pengecatan kayu.</v>
          </cell>
          <cell r="D308" t="str">
            <v>Pengecatan kayu.</v>
          </cell>
          <cell r="E308">
            <v>0</v>
          </cell>
          <cell r="F308" t="str">
            <v>m2</v>
          </cell>
          <cell r="G308">
            <v>0</v>
          </cell>
          <cell r="H308">
            <v>0</v>
          </cell>
          <cell r="I308">
            <v>0</v>
          </cell>
        </row>
        <row r="310">
          <cell r="B310" t="str">
            <v>8.10(2)</v>
          </cell>
          <cell r="C310" t="str">
            <v>Pengecatan besi.</v>
          </cell>
          <cell r="D310" t="str">
            <v>Pengecatan besi.</v>
          </cell>
          <cell r="E310">
            <v>0</v>
          </cell>
          <cell r="F310" t="str">
            <v>m2</v>
          </cell>
          <cell r="G310">
            <v>0</v>
          </cell>
          <cell r="H310">
            <v>0</v>
          </cell>
          <cell r="I310">
            <v>0</v>
          </cell>
        </row>
        <row r="312">
          <cell r="B312" t="str">
            <v>8.10(3)</v>
          </cell>
          <cell r="C312" t="str">
            <v>Pengecatan tembok / beton.</v>
          </cell>
          <cell r="D312" t="str">
            <v>Pengecatan tembok / beton.</v>
          </cell>
          <cell r="E312">
            <v>0</v>
          </cell>
          <cell r="F312" t="str">
            <v>m2</v>
          </cell>
          <cell r="G312">
            <v>0</v>
          </cell>
          <cell r="H312">
            <v>0</v>
          </cell>
          <cell r="I312">
            <v>0</v>
          </cell>
        </row>
        <row r="314">
          <cell r="B314">
            <v>8.11</v>
          </cell>
          <cell r="C314" t="str">
            <v>Pagar penghalang (Guard rail).</v>
          </cell>
          <cell r="D314" t="str">
            <v>Pagar penghalang (Guard rail).</v>
          </cell>
          <cell r="E314">
            <v>0</v>
          </cell>
          <cell r="F314" t="str">
            <v>m</v>
          </cell>
          <cell r="G314">
            <v>0</v>
          </cell>
          <cell r="H314">
            <v>0</v>
          </cell>
          <cell r="I314">
            <v>0</v>
          </cell>
        </row>
        <row r="316">
          <cell r="B316">
            <v>8.1199999999999992</v>
          </cell>
          <cell r="C316" t="str">
            <v>Pipa utilitas</v>
          </cell>
          <cell r="D316" t="str">
            <v>Pipa utilitas</v>
          </cell>
          <cell r="E316">
            <v>0</v>
          </cell>
          <cell r="F316" t="str">
            <v>m</v>
          </cell>
          <cell r="G316">
            <v>0</v>
          </cell>
          <cell r="H316">
            <v>0</v>
          </cell>
          <cell r="I316">
            <v>0</v>
          </cell>
        </row>
        <row r="320">
          <cell r="B320" t="str">
            <v>DIV. IX</v>
          </cell>
          <cell r="C320" t="str">
            <v>PEKERJAAN HARIAN</v>
          </cell>
          <cell r="D320" t="str">
            <v>PEKERJAAN HARIAN</v>
          </cell>
        </row>
        <row r="322">
          <cell r="B322">
            <v>9.1</v>
          </cell>
          <cell r="C322" t="str">
            <v>Mandor.</v>
          </cell>
          <cell r="D322" t="str">
            <v>Mandor.</v>
          </cell>
          <cell r="E322">
            <v>0</v>
          </cell>
          <cell r="F322" t="str">
            <v>Jam</v>
          </cell>
          <cell r="G322">
            <v>0</v>
          </cell>
          <cell r="H322">
            <v>0</v>
          </cell>
          <cell r="I322">
            <v>0</v>
          </cell>
        </row>
        <row r="324">
          <cell r="B324">
            <v>9.1999999999999993</v>
          </cell>
          <cell r="C324" t="str">
            <v>Pekerja</v>
          </cell>
          <cell r="D324" t="str">
            <v>Pekerja</v>
          </cell>
          <cell r="E324">
            <v>0</v>
          </cell>
          <cell r="F324" t="str">
            <v>Jam</v>
          </cell>
          <cell r="G324">
            <v>0</v>
          </cell>
          <cell r="H324">
            <v>0</v>
          </cell>
          <cell r="I324">
            <v>0</v>
          </cell>
        </row>
        <row r="326">
          <cell r="B326">
            <v>9.3000000000000007</v>
          </cell>
          <cell r="C326" t="str">
            <v>Tukang</v>
          </cell>
          <cell r="D326" t="str">
            <v>Tukang</v>
          </cell>
          <cell r="E326">
            <v>0</v>
          </cell>
          <cell r="F326" t="str">
            <v>Jam</v>
          </cell>
          <cell r="G326">
            <v>0</v>
          </cell>
          <cell r="H326">
            <v>0</v>
          </cell>
          <cell r="I326">
            <v>0</v>
          </cell>
        </row>
        <row r="328">
          <cell r="B328">
            <v>9.4</v>
          </cell>
          <cell r="C328" t="str">
            <v>Dump Truck.</v>
          </cell>
          <cell r="D328" t="str">
            <v>Dump Truck.</v>
          </cell>
          <cell r="E328">
            <v>0</v>
          </cell>
          <cell r="F328" t="str">
            <v>Jam</v>
          </cell>
          <cell r="G328">
            <v>0</v>
          </cell>
          <cell r="H328">
            <v>0</v>
          </cell>
          <cell r="I328">
            <v>0</v>
          </cell>
        </row>
        <row r="330">
          <cell r="B330">
            <v>9.5</v>
          </cell>
          <cell r="C330" t="str">
            <v>Tangki Air.</v>
          </cell>
          <cell r="D330" t="str">
            <v>Tangki Air.</v>
          </cell>
          <cell r="E330">
            <v>0</v>
          </cell>
          <cell r="F330" t="str">
            <v>Jam</v>
          </cell>
          <cell r="G330">
            <v>0</v>
          </cell>
          <cell r="H330">
            <v>0</v>
          </cell>
          <cell r="I330">
            <v>0</v>
          </cell>
        </row>
        <row r="332">
          <cell r="B332">
            <v>9.6</v>
          </cell>
          <cell r="C332" t="str">
            <v>Bulldozer.</v>
          </cell>
          <cell r="D332" t="str">
            <v>Bulldozer.</v>
          </cell>
          <cell r="E332">
            <v>0</v>
          </cell>
          <cell r="F332" t="str">
            <v>Jam</v>
          </cell>
          <cell r="G332">
            <v>0</v>
          </cell>
          <cell r="H332">
            <v>0</v>
          </cell>
          <cell r="I332">
            <v>0</v>
          </cell>
        </row>
        <row r="334">
          <cell r="B334">
            <v>9.6999999999999993</v>
          </cell>
          <cell r="C334" t="str">
            <v>Motor Grader.</v>
          </cell>
          <cell r="D334" t="str">
            <v>Motor Grader.</v>
          </cell>
          <cell r="E334">
            <v>0</v>
          </cell>
          <cell r="F334" t="str">
            <v>Jam</v>
          </cell>
          <cell r="G334">
            <v>0</v>
          </cell>
          <cell r="H334">
            <v>0</v>
          </cell>
          <cell r="I334">
            <v>0</v>
          </cell>
        </row>
        <row r="336">
          <cell r="B336">
            <v>9.8000000000000007</v>
          </cell>
          <cell r="C336" t="str">
            <v>Wheel Loader.</v>
          </cell>
          <cell r="D336" t="str">
            <v>Wheel Loader.</v>
          </cell>
          <cell r="E336">
            <v>0</v>
          </cell>
          <cell r="F336" t="str">
            <v>Jam</v>
          </cell>
          <cell r="G336">
            <v>0</v>
          </cell>
          <cell r="H336">
            <v>0</v>
          </cell>
          <cell r="I336">
            <v>0</v>
          </cell>
        </row>
        <row r="338">
          <cell r="B338">
            <v>9.9</v>
          </cell>
          <cell r="C338" t="str">
            <v>Excavator.</v>
          </cell>
          <cell r="D338" t="str">
            <v>Excavator.</v>
          </cell>
          <cell r="E338">
            <v>0</v>
          </cell>
          <cell r="F338" t="str">
            <v>Jam</v>
          </cell>
          <cell r="G338">
            <v>0</v>
          </cell>
          <cell r="H338">
            <v>0</v>
          </cell>
          <cell r="I338">
            <v>0</v>
          </cell>
        </row>
        <row r="340">
          <cell r="B340">
            <v>9.1</v>
          </cell>
          <cell r="C340" t="str">
            <v>Crane.   .</v>
          </cell>
          <cell r="D340" t="str">
            <v>Crane.   .</v>
          </cell>
          <cell r="E340">
            <v>0</v>
          </cell>
          <cell r="F340" t="str">
            <v>Jam</v>
          </cell>
          <cell r="G340">
            <v>0</v>
          </cell>
          <cell r="H340">
            <v>0</v>
          </cell>
          <cell r="I340">
            <v>0</v>
          </cell>
        </row>
        <row r="342">
          <cell r="B342">
            <v>9.11</v>
          </cell>
          <cell r="C342" t="str">
            <v>Vibrator Rollers - 13 ton</v>
          </cell>
          <cell r="D342" t="str">
            <v>Vibrator Rollers - 13 ton</v>
          </cell>
          <cell r="E342">
            <v>0</v>
          </cell>
          <cell r="F342" t="str">
            <v>Jam</v>
          </cell>
          <cell r="G342">
            <v>0</v>
          </cell>
          <cell r="H342">
            <v>0</v>
          </cell>
          <cell r="I342">
            <v>0</v>
          </cell>
        </row>
        <row r="344">
          <cell r="B344">
            <v>9.1199999999999992</v>
          </cell>
          <cell r="C344" t="str">
            <v>Vibrator Roller 4 - 6 ton</v>
          </cell>
          <cell r="D344" t="str">
            <v>Vibrator Roller 4 - 6 ton</v>
          </cell>
          <cell r="E344">
            <v>0</v>
          </cell>
          <cell r="F344" t="str">
            <v>Jam</v>
          </cell>
          <cell r="G344">
            <v>0</v>
          </cell>
          <cell r="H344">
            <v>0</v>
          </cell>
          <cell r="I344">
            <v>0</v>
          </cell>
        </row>
        <row r="346">
          <cell r="B346">
            <v>9.1300000000000008</v>
          </cell>
          <cell r="C346" t="str">
            <v>Stamper</v>
          </cell>
          <cell r="D346" t="str">
            <v>Stamper</v>
          </cell>
          <cell r="E346">
            <v>0</v>
          </cell>
          <cell r="F346" t="str">
            <v>Jam</v>
          </cell>
          <cell r="G346">
            <v>0</v>
          </cell>
          <cell r="H346">
            <v>0</v>
          </cell>
          <cell r="I346">
            <v>0</v>
          </cell>
          <cell r="J346">
            <v>0</v>
          </cell>
          <cell r="K346">
            <v>60</v>
          </cell>
        </row>
        <row r="348">
          <cell r="B348">
            <v>9.14</v>
          </cell>
          <cell r="C348" t="str">
            <v>Drop Hammer 500 kg</v>
          </cell>
          <cell r="D348" t="str">
            <v>Drop Hammer 500 kg</v>
          </cell>
          <cell r="E348">
            <v>0</v>
          </cell>
          <cell r="F348" t="str">
            <v>Jam</v>
          </cell>
          <cell r="G348">
            <v>0</v>
          </cell>
          <cell r="H348">
            <v>0</v>
          </cell>
          <cell r="I348">
            <v>0</v>
          </cell>
        </row>
        <row r="350">
          <cell r="B350">
            <v>9.15</v>
          </cell>
          <cell r="C350" t="str">
            <v>Jack Hammer</v>
          </cell>
          <cell r="D350" t="str">
            <v>Jack Hammer</v>
          </cell>
          <cell r="E350">
            <v>0</v>
          </cell>
          <cell r="F350" t="str">
            <v>Jam</v>
          </cell>
          <cell r="G350">
            <v>0</v>
          </cell>
          <cell r="H350">
            <v>0</v>
          </cell>
          <cell r="I350">
            <v>0</v>
          </cell>
        </row>
        <row r="352">
          <cell r="B352">
            <v>9.16</v>
          </cell>
          <cell r="C352" t="str">
            <v>Chain Saw</v>
          </cell>
          <cell r="D352" t="str">
            <v>Chain Saw</v>
          </cell>
          <cell r="E352">
            <v>0</v>
          </cell>
          <cell r="F352" t="str">
            <v>Jam</v>
          </cell>
          <cell r="G352">
            <v>0</v>
          </cell>
          <cell r="H352">
            <v>0</v>
          </cell>
          <cell r="I352">
            <v>0</v>
          </cell>
        </row>
        <row r="354">
          <cell r="B354" t="str">
            <v>Jumlah Harga Pekerjaan Divisi IX</v>
          </cell>
          <cell r="C354">
            <v>0</v>
          </cell>
          <cell r="D354">
            <v>0</v>
          </cell>
          <cell r="E354">
            <v>0</v>
          </cell>
          <cell r="F354">
            <v>0</v>
          </cell>
          <cell r="G354">
            <v>0</v>
          </cell>
          <cell r="H354">
            <v>0</v>
          </cell>
          <cell r="I354">
            <v>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refreshError="1"/>
      <sheetData sheetId="427" refreshError="1"/>
      <sheetData sheetId="428" refreshError="1"/>
      <sheetData sheetId="429" refreshError="1"/>
      <sheetData sheetId="430" refreshError="1"/>
      <sheetData sheetId="431" refreshError="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refreshError="1"/>
      <sheetData sheetId="917" refreshError="1"/>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refreshError="1"/>
      <sheetData sheetId="1051" refreshError="1"/>
      <sheetData sheetId="1052" refreshError="1"/>
      <sheetData sheetId="1053"/>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sheetData sheetId="1066"/>
      <sheetData sheetId="1067"/>
      <sheetData sheetId="1068"/>
      <sheetData sheetId="1069"/>
      <sheetData sheetId="1070"/>
      <sheetData sheetId="1071" refreshError="1"/>
      <sheetData sheetId="1072" refreshError="1"/>
      <sheetData sheetId="1073" refreshError="1"/>
      <sheetData sheetId="1074"/>
      <sheetData sheetId="1075" refreshError="1"/>
      <sheetData sheetId="1076" refreshError="1"/>
      <sheetData sheetId="1077" refreshError="1"/>
      <sheetData sheetId="1078" refreshError="1"/>
      <sheetData sheetId="1079" refreshError="1"/>
      <sheetData sheetId="1080"/>
      <sheetData sheetId="108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I"/>
      <sheetName val="Kertas Kertas Sparing"/>
    </sheetNames>
    <sheetDataSet>
      <sheetData sheetId="0"/>
      <sheetData sheetId="1"/>
      <sheetData sheetId="2">
        <row r="4">
          <cell r="I4">
            <v>33485760</v>
          </cell>
        </row>
        <row r="5">
          <cell r="I5">
            <v>157616700.80000001</v>
          </cell>
        </row>
        <row r="6">
          <cell r="I6">
            <v>15625311</v>
          </cell>
        </row>
        <row r="7">
          <cell r="I7">
            <v>104837105</v>
          </cell>
        </row>
        <row r="41">
          <cell r="I41">
            <v>43775014</v>
          </cell>
        </row>
        <row r="47">
          <cell r="I47">
            <v>46140000</v>
          </cell>
        </row>
        <row r="61">
          <cell r="I61">
            <v>21775007</v>
          </cell>
        </row>
        <row r="67">
          <cell r="I67">
            <v>5250000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2:L2411"/>
  <sheetViews>
    <sheetView tabSelected="1" view="pageBreakPreview" topLeftCell="A32" zoomScale="55" zoomScaleNormal="55" zoomScaleSheetLayoutView="55" zoomScalePageLayoutView="90" workbookViewId="0">
      <selection activeCell="E14" sqref="E14"/>
    </sheetView>
  </sheetViews>
  <sheetFormatPr defaultColWidth="10.1796875" defaultRowHeight="17.149999999999999" customHeight="1"/>
  <cols>
    <col min="1" max="1" width="3.1796875" style="7" customWidth="1"/>
    <col min="2" max="3" width="5.1796875" style="5" customWidth="1"/>
    <col min="4" max="4" width="83.1796875" style="1" customWidth="1"/>
    <col min="5" max="5" width="33.90625" style="1" customWidth="1"/>
    <col min="6" max="6" width="7.1796875" style="1" customWidth="1"/>
    <col min="7" max="7" width="16.54296875" style="1" customWidth="1"/>
    <col min="8" max="8" width="22.6328125" style="20" customWidth="1"/>
    <col min="9" max="9" width="3.6328125" style="4" customWidth="1"/>
    <col min="10" max="10" width="22.6328125" style="4" customWidth="1"/>
    <col min="11" max="11" width="13.81640625" style="4" customWidth="1"/>
    <col min="12" max="12" width="213.1796875" style="1" customWidth="1"/>
    <col min="13" max="13" width="11.81640625" style="1" customWidth="1"/>
    <col min="14" max="14" width="18.81640625" style="1" customWidth="1"/>
    <col min="15" max="15" width="14.81640625" style="1" customWidth="1"/>
    <col min="16" max="16" width="11.1796875" style="1" customWidth="1"/>
    <col min="17" max="17" width="13.81640625" style="1" customWidth="1"/>
    <col min="18" max="18" width="10.1796875" style="1"/>
    <col min="19" max="19" width="5.81640625" style="1" customWidth="1"/>
    <col min="20" max="16384" width="10.1796875" style="1"/>
  </cols>
  <sheetData>
    <row r="2" spans="1:11" ht="32.5" customHeight="1">
      <c r="D2" s="171"/>
      <c r="E2" s="171"/>
      <c r="F2" s="171"/>
      <c r="G2" s="171"/>
      <c r="H2" s="171"/>
      <c r="I2" s="17"/>
      <c r="J2" s="18"/>
    </row>
    <row r="3" spans="1:11" ht="17.149999999999999" customHeight="1">
      <c r="D3" s="171"/>
      <c r="E3" s="171"/>
      <c r="F3" s="171"/>
      <c r="G3" s="171"/>
      <c r="H3" s="171"/>
      <c r="I3" s="3"/>
      <c r="J3" s="19"/>
    </row>
    <row r="4" spans="1:11" ht="17.149999999999999" customHeight="1">
      <c r="D4" s="172"/>
      <c r="E4" s="172"/>
      <c r="F4" s="172"/>
      <c r="G4" s="172"/>
      <c r="H4" s="172"/>
      <c r="J4" s="2"/>
    </row>
    <row r="5" spans="1:11" ht="17.149999999999999" customHeight="1">
      <c r="D5" s="172"/>
      <c r="E5" s="172"/>
      <c r="F5" s="172"/>
      <c r="G5" s="172"/>
      <c r="H5" s="172"/>
      <c r="J5" s="2"/>
    </row>
    <row r="6" spans="1:11" s="3" customFormat="1" ht="8.15" customHeight="1" thickBot="1">
      <c r="A6" s="8"/>
      <c r="B6" s="15"/>
      <c r="C6" s="15"/>
      <c r="D6" s="13"/>
      <c r="E6" s="13"/>
      <c r="F6" s="13"/>
      <c r="G6" s="13"/>
      <c r="H6" s="21"/>
      <c r="I6" s="14"/>
      <c r="J6" s="14"/>
      <c r="K6" s="71"/>
    </row>
    <row r="7" spans="1:11" s="3" customFormat="1" ht="13.5" customHeight="1" thickTop="1">
      <c r="A7" s="8"/>
      <c r="B7" s="16"/>
      <c r="C7" s="16"/>
      <c r="D7" s="7"/>
      <c r="E7" s="7"/>
      <c r="F7" s="7"/>
      <c r="G7" s="7"/>
      <c r="H7" s="22"/>
      <c r="I7" s="9"/>
      <c r="J7" s="9"/>
      <c r="K7" s="71"/>
    </row>
    <row r="8" spans="1:11" ht="17.149999999999999" customHeight="1">
      <c r="B8" s="175" t="s">
        <v>60</v>
      </c>
      <c r="C8" s="175"/>
      <c r="D8" s="175"/>
      <c r="E8" s="175"/>
      <c r="F8" s="175"/>
      <c r="G8" s="175"/>
      <c r="H8" s="175"/>
      <c r="I8" s="175"/>
      <c r="J8" s="175"/>
    </row>
    <row r="9" spans="1:11" ht="17.149999999999999" customHeight="1">
      <c r="B9" s="176"/>
      <c r="C9" s="176"/>
      <c r="D9" s="176"/>
      <c r="E9" s="176"/>
      <c r="F9" s="176"/>
      <c r="G9" s="176"/>
      <c r="H9" s="176"/>
      <c r="I9" s="176"/>
      <c r="J9" s="176"/>
    </row>
    <row r="10" spans="1:11" ht="17.149999999999999" customHeight="1">
      <c r="B10" s="62" t="s">
        <v>1</v>
      </c>
      <c r="C10" s="77"/>
      <c r="D10" s="62"/>
      <c r="E10" s="62"/>
      <c r="F10" s="62"/>
      <c r="G10" s="62"/>
      <c r="H10" s="64" t="s">
        <v>0</v>
      </c>
      <c r="I10" s="65" t="s">
        <v>11</v>
      </c>
      <c r="J10" s="66" t="s">
        <v>122</v>
      </c>
    </row>
    <row r="11" spans="1:11" ht="17.149999999999999" customHeight="1">
      <c r="B11" s="25"/>
      <c r="C11" s="25"/>
      <c r="D11" s="177" t="s">
        <v>124</v>
      </c>
      <c r="E11" s="177"/>
      <c r="F11" s="177"/>
      <c r="G11" s="62"/>
      <c r="H11" s="64" t="s">
        <v>2</v>
      </c>
      <c r="I11" s="65" t="s">
        <v>11</v>
      </c>
      <c r="J11" s="67">
        <v>46241</v>
      </c>
    </row>
    <row r="12" spans="1:11" ht="17.149999999999999" customHeight="1">
      <c r="B12" s="25"/>
      <c r="C12" s="25"/>
      <c r="D12" s="57" t="s">
        <v>125</v>
      </c>
      <c r="E12" s="68"/>
      <c r="F12" s="68"/>
      <c r="G12" s="68"/>
      <c r="H12" s="64" t="s">
        <v>3</v>
      </c>
      <c r="I12" s="65" t="s">
        <v>11</v>
      </c>
      <c r="J12" s="66" t="s">
        <v>123</v>
      </c>
    </row>
    <row r="13" spans="1:11" ht="17.149999999999999" customHeight="1">
      <c r="B13" s="25"/>
      <c r="C13" s="25"/>
      <c r="D13" s="25"/>
      <c r="E13" s="68"/>
      <c r="F13" s="68"/>
      <c r="G13" s="68"/>
      <c r="H13" s="64" t="s">
        <v>4</v>
      </c>
      <c r="I13" s="65" t="s">
        <v>11</v>
      </c>
      <c r="J13" s="66" t="s">
        <v>13</v>
      </c>
    </row>
    <row r="14" spans="1:11" ht="17.149999999999999" customHeight="1">
      <c r="B14" s="77" t="s">
        <v>62</v>
      </c>
      <c r="C14" s="77"/>
      <c r="D14" s="75" t="s">
        <v>126</v>
      </c>
      <c r="E14" s="58"/>
      <c r="F14" s="59"/>
      <c r="G14" s="25"/>
      <c r="H14" s="64" t="s">
        <v>5</v>
      </c>
      <c r="I14" s="65" t="s">
        <v>11</v>
      </c>
      <c r="J14" s="66" t="s">
        <v>6</v>
      </c>
    </row>
    <row r="15" spans="1:11" ht="17.149999999999999" customHeight="1">
      <c r="B15" s="78" t="s">
        <v>63</v>
      </c>
      <c r="C15" s="77"/>
      <c r="D15" s="76"/>
      <c r="E15" s="25"/>
      <c r="F15" s="25"/>
      <c r="G15" s="25"/>
      <c r="H15" s="64" t="s">
        <v>7</v>
      </c>
      <c r="I15" s="65" t="s">
        <v>11</v>
      </c>
      <c r="J15" s="66" t="s">
        <v>8</v>
      </c>
    </row>
    <row r="16" spans="1:11" ht="17.149999999999999" customHeight="1">
      <c r="B16" s="78"/>
      <c r="C16" s="77"/>
      <c r="D16" s="76"/>
      <c r="E16" s="25"/>
      <c r="F16" s="25"/>
      <c r="G16" s="25"/>
      <c r="H16" s="63"/>
      <c r="I16" s="65"/>
      <c r="J16" s="66"/>
    </row>
    <row r="17" spans="2:11" ht="17.149999999999999" customHeight="1" thickBot="1">
      <c r="B17"/>
      <c r="C17"/>
      <c r="I17" s="10"/>
      <c r="J17" s="11"/>
    </row>
    <row r="18" spans="2:11" ht="19" customHeight="1">
      <c r="B18" s="79" t="s">
        <v>9</v>
      </c>
      <c r="C18" s="173" t="s">
        <v>49</v>
      </c>
      <c r="D18" s="173"/>
      <c r="E18" s="173"/>
      <c r="F18" s="173"/>
      <c r="G18" s="173"/>
      <c r="H18" s="173"/>
      <c r="I18" s="173"/>
      <c r="J18" s="174"/>
    </row>
    <row r="19" spans="2:11" ht="19" customHeight="1">
      <c r="B19" s="80" t="s">
        <v>21</v>
      </c>
      <c r="C19" s="163" t="s">
        <v>20</v>
      </c>
      <c r="D19" s="163"/>
      <c r="E19" s="163"/>
      <c r="F19" s="26" t="s">
        <v>22</v>
      </c>
      <c r="G19" s="26" t="s">
        <v>23</v>
      </c>
      <c r="H19" s="157" t="s">
        <v>12</v>
      </c>
      <c r="I19" s="158"/>
      <c r="J19" s="81" t="s">
        <v>10</v>
      </c>
      <c r="K19" s="4" t="s">
        <v>57</v>
      </c>
    </row>
    <row r="20" spans="2:11" ht="17.149999999999999" customHeight="1">
      <c r="B20" s="82" t="s">
        <v>24</v>
      </c>
      <c r="C20" s="106" t="s">
        <v>56</v>
      </c>
      <c r="D20" s="106"/>
      <c r="E20" s="107"/>
      <c r="F20" s="54">
        <v>1</v>
      </c>
      <c r="G20" s="60" t="s">
        <v>40</v>
      </c>
      <c r="H20" s="169">
        <v>5000000</v>
      </c>
      <c r="I20" s="170"/>
      <c r="J20" s="83">
        <f>F20*H20</f>
        <v>5000000</v>
      </c>
      <c r="K20" s="72">
        <v>0.3</v>
      </c>
    </row>
    <row r="21" spans="2:11" ht="17.149999999999999" customHeight="1">
      <c r="B21" s="82"/>
      <c r="C21" s="108" t="s">
        <v>25</v>
      </c>
      <c r="D21" s="109" t="s">
        <v>26</v>
      </c>
      <c r="E21" s="107"/>
      <c r="F21" s="31"/>
      <c r="G21" s="61"/>
      <c r="H21" s="153"/>
      <c r="I21" s="154"/>
      <c r="J21" s="84"/>
    </row>
    <row r="22" spans="2:11" ht="17.149999999999999" customHeight="1">
      <c r="B22" s="85"/>
      <c r="C22" s="110" t="s">
        <v>28</v>
      </c>
      <c r="D22" s="109" t="s">
        <v>27</v>
      </c>
      <c r="E22" s="107"/>
      <c r="F22" s="31"/>
      <c r="G22" s="61"/>
      <c r="H22" s="153"/>
      <c r="I22" s="154"/>
      <c r="J22" s="86"/>
    </row>
    <row r="23" spans="2:11" ht="17.149999999999999" customHeight="1">
      <c r="B23" s="85"/>
      <c r="C23" s="110" t="s">
        <v>29</v>
      </c>
      <c r="D23" s="109" t="s">
        <v>31</v>
      </c>
      <c r="E23" s="107"/>
      <c r="F23" s="31"/>
      <c r="G23" s="61"/>
      <c r="H23" s="153"/>
      <c r="I23" s="154"/>
      <c r="J23" s="86"/>
    </row>
    <row r="24" spans="2:11" ht="17.149999999999999" customHeight="1">
      <c r="B24" s="85"/>
      <c r="C24" s="110" t="s">
        <v>30</v>
      </c>
      <c r="D24" s="109" t="s">
        <v>32</v>
      </c>
      <c r="E24" s="107"/>
      <c r="F24" s="31"/>
      <c r="G24" s="61"/>
      <c r="H24" s="153"/>
      <c r="I24" s="154"/>
      <c r="J24" s="86"/>
    </row>
    <row r="25" spans="2:11" ht="17.149999999999999" customHeight="1">
      <c r="B25" s="85"/>
      <c r="C25" s="110" t="s">
        <v>33</v>
      </c>
      <c r="D25" s="109" t="s">
        <v>34</v>
      </c>
      <c r="E25" s="107"/>
      <c r="F25" s="31"/>
      <c r="G25" s="61"/>
      <c r="H25" s="153"/>
      <c r="I25" s="154"/>
      <c r="J25" s="86"/>
    </row>
    <row r="26" spans="2:11" ht="17.149999999999999" customHeight="1">
      <c r="B26" s="85"/>
      <c r="C26" s="110" t="s">
        <v>35</v>
      </c>
      <c r="D26" s="109" t="s">
        <v>37</v>
      </c>
      <c r="E26" s="107"/>
      <c r="F26" s="31"/>
      <c r="G26" s="61"/>
      <c r="H26" s="153"/>
      <c r="I26" s="154"/>
      <c r="J26" s="86"/>
    </row>
    <row r="27" spans="2:11" ht="17.149999999999999" customHeight="1">
      <c r="B27" s="85"/>
      <c r="C27" s="110" t="s">
        <v>36</v>
      </c>
      <c r="D27" s="109" t="s">
        <v>38</v>
      </c>
      <c r="E27" s="107"/>
      <c r="F27" s="31"/>
      <c r="G27" s="61"/>
      <c r="H27" s="153"/>
      <c r="I27" s="154"/>
      <c r="J27" s="86"/>
    </row>
    <row r="28" spans="2:11" ht="17.149999999999999" customHeight="1">
      <c r="B28" s="85"/>
      <c r="C28" s="110"/>
      <c r="D28" s="109"/>
      <c r="E28" s="107"/>
      <c r="F28" s="31"/>
      <c r="G28" s="61"/>
      <c r="H28" s="153"/>
      <c r="I28" s="154"/>
      <c r="J28" s="86"/>
    </row>
    <row r="29" spans="2:11" ht="17.149999999999999" customHeight="1">
      <c r="B29" s="82" t="s">
        <v>39</v>
      </c>
      <c r="C29" s="106" t="s">
        <v>110</v>
      </c>
      <c r="D29" s="107"/>
      <c r="E29" s="107"/>
      <c r="F29" s="31">
        <v>1</v>
      </c>
      <c r="G29" s="61" t="s">
        <v>40</v>
      </c>
      <c r="H29" s="153">
        <v>10000000</v>
      </c>
      <c r="I29" s="154"/>
      <c r="J29" s="83">
        <f>F29*H29</f>
        <v>10000000</v>
      </c>
    </row>
    <row r="30" spans="2:11" ht="17.149999999999999" customHeight="1">
      <c r="B30" s="85"/>
      <c r="C30" s="109" t="s">
        <v>16</v>
      </c>
      <c r="D30" s="107"/>
      <c r="E30" s="107"/>
      <c r="F30" s="32"/>
      <c r="G30" s="24"/>
      <c r="H30" s="153"/>
      <c r="I30" s="154"/>
      <c r="J30" s="87"/>
    </row>
    <row r="31" spans="2:11" ht="17.149999999999999" customHeight="1">
      <c r="B31" s="88"/>
      <c r="C31" s="111" t="s">
        <v>17</v>
      </c>
      <c r="D31" s="25"/>
      <c r="E31" s="112"/>
      <c r="F31" s="33"/>
      <c r="G31" s="27"/>
      <c r="H31" s="153"/>
      <c r="I31" s="154"/>
      <c r="J31" s="89"/>
    </row>
    <row r="32" spans="2:11" ht="17.149999999999999" customHeight="1">
      <c r="B32" s="88"/>
      <c r="C32" s="111" t="s">
        <v>109</v>
      </c>
      <c r="D32" s="25"/>
      <c r="E32" s="112"/>
      <c r="F32" s="33"/>
      <c r="G32" s="27"/>
      <c r="H32" s="153"/>
      <c r="I32" s="154"/>
      <c r="J32" s="89"/>
    </row>
    <row r="33" spans="2:11" ht="17.149999999999999" customHeight="1">
      <c r="B33" s="88"/>
      <c r="C33" s="111" t="s">
        <v>18</v>
      </c>
      <c r="D33" s="25"/>
      <c r="E33" s="112"/>
      <c r="F33" s="33"/>
      <c r="G33" s="27"/>
      <c r="H33" s="153"/>
      <c r="I33" s="154"/>
      <c r="J33" s="89"/>
      <c r="K33" s="73"/>
    </row>
    <row r="34" spans="2:11" ht="17.149999999999999" customHeight="1">
      <c r="B34" s="90"/>
      <c r="C34" s="111" t="s">
        <v>111</v>
      </c>
      <c r="D34" s="25"/>
      <c r="E34" s="112"/>
      <c r="F34" s="33"/>
      <c r="G34" s="27"/>
      <c r="H34" s="153"/>
      <c r="I34" s="154"/>
      <c r="J34" s="89"/>
    </row>
    <row r="35" spans="2:11" ht="17.149999999999999" customHeight="1">
      <c r="B35" s="90"/>
      <c r="C35" s="164" t="s">
        <v>19</v>
      </c>
      <c r="D35" s="165"/>
      <c r="E35" s="165"/>
      <c r="F35" s="34"/>
      <c r="G35" s="28"/>
      <c r="H35" s="153"/>
      <c r="I35" s="154"/>
      <c r="J35" s="89"/>
    </row>
    <row r="36" spans="2:11" ht="17.149999999999999" customHeight="1">
      <c r="B36" s="90"/>
      <c r="C36" s="113"/>
      <c r="D36" s="113"/>
      <c r="E36" s="113"/>
      <c r="F36" s="34"/>
      <c r="G36" s="28"/>
      <c r="H36" s="153"/>
      <c r="I36" s="154"/>
      <c r="J36" s="89"/>
    </row>
    <row r="37" spans="2:11" ht="19" customHeight="1">
      <c r="B37" s="80" t="s">
        <v>41</v>
      </c>
      <c r="C37" s="163" t="s">
        <v>42</v>
      </c>
      <c r="D37" s="163"/>
      <c r="E37" s="163"/>
      <c r="F37" s="26" t="s">
        <v>22</v>
      </c>
      <c r="G37" s="26" t="s">
        <v>23</v>
      </c>
      <c r="H37" s="157" t="s">
        <v>12</v>
      </c>
      <c r="I37" s="158"/>
      <c r="J37" s="81" t="s">
        <v>10</v>
      </c>
    </row>
    <row r="38" spans="2:11" ht="17.149999999999999" customHeight="1">
      <c r="B38" s="82" t="s">
        <v>24</v>
      </c>
      <c r="C38" s="69" t="s">
        <v>43</v>
      </c>
      <c r="D38" s="30"/>
      <c r="E38" s="30"/>
      <c r="F38" s="36"/>
      <c r="G38" s="37"/>
      <c r="H38" s="159"/>
      <c r="I38" s="160"/>
      <c r="J38" s="91"/>
    </row>
    <row r="39" spans="2:11" ht="17.149999999999999" customHeight="1">
      <c r="B39" s="90"/>
      <c r="C39" s="70" t="s">
        <v>25</v>
      </c>
      <c r="D39" s="113" t="s">
        <v>58</v>
      </c>
      <c r="E39" s="113"/>
      <c r="F39" s="50">
        <v>1</v>
      </c>
      <c r="G39" s="51" t="s">
        <v>46</v>
      </c>
      <c r="H39" s="161">
        <f>CBI!G13</f>
        <v>15625311</v>
      </c>
      <c r="I39" s="162"/>
      <c r="J39" s="83" t="s">
        <v>52</v>
      </c>
    </row>
    <row r="40" spans="2:11" ht="17.149999999999999" customHeight="1">
      <c r="B40" s="90"/>
      <c r="C40" s="31" t="s">
        <v>28</v>
      </c>
      <c r="D40" s="113" t="s">
        <v>59</v>
      </c>
      <c r="E40" s="113"/>
      <c r="F40" s="50">
        <v>1</v>
      </c>
      <c r="G40" s="51" t="s">
        <v>46</v>
      </c>
      <c r="H40" s="161">
        <f>CBI!G12</f>
        <v>157616700.80000001</v>
      </c>
      <c r="I40" s="162"/>
      <c r="J40" s="83" t="s">
        <v>52</v>
      </c>
    </row>
    <row r="41" spans="2:11" ht="17.149999999999999" customHeight="1">
      <c r="B41" s="92"/>
      <c r="C41" s="31" t="s">
        <v>29</v>
      </c>
      <c r="D41" s="113" t="s">
        <v>107</v>
      </c>
      <c r="E41" s="113"/>
      <c r="F41" s="50">
        <v>1</v>
      </c>
      <c r="G41" s="51" t="s">
        <v>46</v>
      </c>
      <c r="H41" s="161">
        <f>CBI!G14</f>
        <v>104837105</v>
      </c>
      <c r="I41" s="162"/>
      <c r="J41" s="83" t="s">
        <v>52</v>
      </c>
    </row>
    <row r="42" spans="2:11" ht="17.149999999999999" customHeight="1">
      <c r="B42" s="92"/>
      <c r="C42" s="31" t="s">
        <v>30</v>
      </c>
      <c r="D42" s="113" t="s">
        <v>108</v>
      </c>
      <c r="E42" s="113"/>
      <c r="F42" s="50">
        <v>1</v>
      </c>
      <c r="G42" s="51" t="s">
        <v>46</v>
      </c>
      <c r="H42" s="161">
        <v>86750000</v>
      </c>
      <c r="I42" s="162"/>
      <c r="J42" s="83" t="s">
        <v>52</v>
      </c>
    </row>
    <row r="43" spans="2:11" ht="17.149999999999999" customHeight="1">
      <c r="B43" s="92"/>
      <c r="C43" s="31" t="s">
        <v>29</v>
      </c>
      <c r="D43" s="114" t="s">
        <v>44</v>
      </c>
      <c r="E43" s="114"/>
      <c r="F43" s="52">
        <v>1</v>
      </c>
      <c r="G43" s="53" t="s">
        <v>46</v>
      </c>
      <c r="H43" s="161">
        <f>CBI!G11</f>
        <v>33485760</v>
      </c>
      <c r="I43" s="162"/>
      <c r="J43" s="83" t="s">
        <v>52</v>
      </c>
      <c r="K43" s="74"/>
    </row>
    <row r="44" spans="2:11" ht="17.149999999999999" customHeight="1">
      <c r="B44" s="92"/>
      <c r="C44" s="31" t="s">
        <v>30</v>
      </c>
      <c r="D44" s="114" t="s">
        <v>94</v>
      </c>
      <c r="E44" s="114"/>
      <c r="F44" s="52">
        <v>1</v>
      </c>
      <c r="G44" s="53" t="s">
        <v>46</v>
      </c>
      <c r="H44" s="161">
        <f>CBI!$G$16</f>
        <v>46140000</v>
      </c>
      <c r="I44" s="162"/>
      <c r="J44" s="83" t="s">
        <v>52</v>
      </c>
      <c r="K44" s="74"/>
    </row>
    <row r="45" spans="2:11" ht="17.149999999999999" customHeight="1">
      <c r="B45" s="92"/>
      <c r="C45" s="31" t="s">
        <v>33</v>
      </c>
      <c r="D45" s="114" t="s">
        <v>97</v>
      </c>
      <c r="E45" s="114"/>
      <c r="F45" s="52">
        <v>1</v>
      </c>
      <c r="G45" s="53" t="s">
        <v>46</v>
      </c>
      <c r="H45" s="161">
        <f>CBI!$G$17</f>
        <v>5250000</v>
      </c>
      <c r="I45" s="162"/>
      <c r="J45" s="83" t="s">
        <v>52</v>
      </c>
      <c r="K45" s="74"/>
    </row>
    <row r="46" spans="2:11" ht="17.149999999999999" customHeight="1">
      <c r="B46" s="92"/>
      <c r="C46" s="31"/>
      <c r="D46" s="114"/>
      <c r="E46" s="114"/>
      <c r="F46" s="52"/>
      <c r="G46" s="53"/>
      <c r="H46" s="149"/>
      <c r="I46" s="150"/>
      <c r="J46" s="84"/>
      <c r="K46" s="74"/>
    </row>
    <row r="47" spans="2:11" ht="17.149999999999999" customHeight="1">
      <c r="B47" s="92">
        <v>2</v>
      </c>
      <c r="C47" s="152" t="s">
        <v>116</v>
      </c>
      <c r="D47" s="114"/>
      <c r="E47" s="114"/>
      <c r="F47" s="52"/>
      <c r="G47" s="53"/>
      <c r="H47" s="149"/>
      <c r="I47" s="150"/>
      <c r="J47" s="84"/>
      <c r="K47" s="74"/>
    </row>
    <row r="48" spans="2:11" ht="17.149999999999999" customHeight="1">
      <c r="B48" s="92"/>
      <c r="C48" s="31"/>
      <c r="D48" s="114" t="s">
        <v>119</v>
      </c>
      <c r="E48" s="114"/>
      <c r="F48" s="52">
        <v>1</v>
      </c>
      <c r="G48" s="53" t="s">
        <v>117</v>
      </c>
      <c r="H48" s="161">
        <v>350000</v>
      </c>
      <c r="I48" s="162"/>
      <c r="J48" s="83" t="s">
        <v>118</v>
      </c>
      <c r="K48" s="74"/>
    </row>
    <row r="49" spans="2:11" ht="17.149999999999999" customHeight="1">
      <c r="B49" s="92"/>
      <c r="C49" s="31"/>
      <c r="D49" s="114" t="s">
        <v>120</v>
      </c>
      <c r="E49" s="114"/>
      <c r="F49" s="52"/>
      <c r="G49" s="53"/>
      <c r="H49" s="149" t="s">
        <v>121</v>
      </c>
      <c r="I49" s="150"/>
      <c r="J49" s="84"/>
      <c r="K49" s="74"/>
    </row>
    <row r="50" spans="2:11" ht="17.149999999999999" customHeight="1">
      <c r="B50" s="93"/>
      <c r="C50" s="31"/>
      <c r="D50"/>
      <c r="E50" s="114"/>
      <c r="F50" s="38"/>
      <c r="G50" s="39"/>
      <c r="H50" s="155"/>
      <c r="I50" s="156"/>
      <c r="J50" s="94"/>
    </row>
    <row r="51" spans="2:11" ht="17.149999999999999" customHeight="1">
      <c r="B51" s="92"/>
      <c r="C51" s="54"/>
      <c r="D51" s="55"/>
      <c r="E51" s="55"/>
      <c r="F51" s="55"/>
      <c r="G51" s="55"/>
      <c r="H51" s="56"/>
      <c r="I51" s="56"/>
      <c r="J51" s="95"/>
    </row>
    <row r="52" spans="2:11" ht="42" customHeight="1">
      <c r="B52" s="92"/>
      <c r="C52" s="166" t="s">
        <v>48</v>
      </c>
      <c r="D52" s="167"/>
      <c r="E52" s="167"/>
      <c r="F52" s="167"/>
      <c r="G52" s="167"/>
      <c r="H52" s="167"/>
      <c r="I52" s="167"/>
      <c r="J52" s="168"/>
    </row>
    <row r="53" spans="2:11" ht="17.149999999999999" customHeight="1">
      <c r="B53" s="96"/>
      <c r="C53" s="115"/>
      <c r="D53" s="115"/>
      <c r="E53" s="115"/>
      <c r="F53" s="116"/>
      <c r="G53" s="116"/>
      <c r="H53" s="116"/>
      <c r="I53" s="116"/>
      <c r="J53" s="97"/>
    </row>
    <row r="54" spans="2:11" ht="17.149999999999999" customHeight="1">
      <c r="B54" s="98" t="s">
        <v>45</v>
      </c>
      <c r="C54" s="163" t="s">
        <v>112</v>
      </c>
      <c r="D54" s="163"/>
      <c r="E54" s="163"/>
      <c r="F54" s="29" t="s">
        <v>22</v>
      </c>
      <c r="G54" s="29" t="s">
        <v>23</v>
      </c>
      <c r="H54" s="157" t="s">
        <v>12</v>
      </c>
      <c r="I54" s="158"/>
      <c r="J54" s="81" t="s">
        <v>10</v>
      </c>
    </row>
    <row r="55" spans="2:11" ht="17.149999999999999" customHeight="1">
      <c r="B55" s="99"/>
      <c r="C55" s="35" t="s">
        <v>25</v>
      </c>
      <c r="D55" s="117" t="s">
        <v>53</v>
      </c>
      <c r="E55" s="115"/>
      <c r="F55" s="103">
        <v>1</v>
      </c>
      <c r="G55" s="104" t="s">
        <v>40</v>
      </c>
      <c r="H55" s="180">
        <v>3500000</v>
      </c>
      <c r="I55" s="181"/>
      <c r="J55" s="83">
        <f>F55*H55</f>
        <v>3500000</v>
      </c>
    </row>
    <row r="56" spans="2:11" ht="17.149999999999999" customHeight="1">
      <c r="B56" s="100"/>
      <c r="C56" s="35" t="s">
        <v>28</v>
      </c>
      <c r="D56" s="117" t="s">
        <v>51</v>
      </c>
      <c r="E56" s="115"/>
      <c r="F56" s="70">
        <v>1</v>
      </c>
      <c r="G56" s="105" t="s">
        <v>64</v>
      </c>
      <c r="H56" s="182">
        <v>1500000</v>
      </c>
      <c r="I56" s="183"/>
      <c r="J56" s="83">
        <f>F56*H56</f>
        <v>1500000</v>
      </c>
    </row>
    <row r="57" spans="2:11" ht="17.149999999999999" customHeight="1">
      <c r="B57" s="100"/>
      <c r="C57" s="35" t="s">
        <v>29</v>
      </c>
      <c r="D57" s="117" t="s">
        <v>67</v>
      </c>
      <c r="E57" s="115"/>
      <c r="F57" s="70">
        <v>1</v>
      </c>
      <c r="G57" s="105" t="s">
        <v>64</v>
      </c>
      <c r="H57" s="182">
        <v>500000</v>
      </c>
      <c r="I57" s="183"/>
      <c r="J57" s="83">
        <f>H57*F57</f>
        <v>500000</v>
      </c>
    </row>
    <row r="58" spans="2:11" ht="17.149999999999999" customHeight="1" thickBot="1">
      <c r="B58" s="118"/>
      <c r="C58" s="119" t="s">
        <v>30</v>
      </c>
      <c r="D58" s="120" t="s">
        <v>65</v>
      </c>
      <c r="E58" s="121"/>
      <c r="F58" s="122">
        <v>1</v>
      </c>
      <c r="G58" s="123" t="s">
        <v>64</v>
      </c>
      <c r="H58" s="184">
        <v>150000</v>
      </c>
      <c r="I58" s="185"/>
      <c r="J58" s="124">
        <f>F58*H58</f>
        <v>150000</v>
      </c>
    </row>
    <row r="59" spans="2:11" ht="17.149999999999999" customHeight="1">
      <c r="B59" s="42"/>
      <c r="C59" s="35"/>
      <c r="D59" s="43"/>
      <c r="E59"/>
      <c r="F59" s="44"/>
      <c r="G59" s="45"/>
      <c r="H59" s="186" t="s">
        <v>10</v>
      </c>
      <c r="I59" s="187"/>
      <c r="J59" s="125">
        <f>SUM(J20,J29,J55:J58)</f>
        <v>20650000</v>
      </c>
    </row>
    <row r="60" spans="2:11" ht="17.149999999999999" customHeight="1">
      <c r="B60" s="42"/>
      <c r="C60" s="35"/>
      <c r="D60" s="43"/>
      <c r="E60"/>
      <c r="F60" s="44"/>
      <c r="G60" s="45"/>
      <c r="H60" s="188" t="s">
        <v>61</v>
      </c>
      <c r="I60" s="189" t="s">
        <v>61</v>
      </c>
      <c r="J60" s="101">
        <f>J59*K60</f>
        <v>2271500</v>
      </c>
      <c r="K60" s="72">
        <v>0.11</v>
      </c>
    </row>
    <row r="61" spans="2:11" ht="17.149999999999999" customHeight="1" thickBot="1">
      <c r="B61" s="42"/>
      <c r="C61" s="35"/>
      <c r="D61" s="43"/>
      <c r="E61"/>
      <c r="F61" s="44"/>
      <c r="G61" s="45"/>
      <c r="H61" s="190" t="s">
        <v>55</v>
      </c>
      <c r="I61" s="191" t="s">
        <v>55</v>
      </c>
      <c r="J61" s="102">
        <f>SUM(J59:J60)</f>
        <v>22921500</v>
      </c>
    </row>
    <row r="62" spans="2:11" ht="17.25" customHeight="1">
      <c r="B62" s="42"/>
      <c r="C62" s="35"/>
      <c r="D62" s="43"/>
      <c r="E62"/>
      <c r="F62" s="44"/>
      <c r="G62" s="45"/>
      <c r="H62" s="46"/>
      <c r="I62" s="47"/>
      <c r="J62" s="48"/>
    </row>
    <row r="63" spans="2:11" ht="71.5" customHeight="1">
      <c r="B63" s="42"/>
      <c r="C63" s="179" t="s">
        <v>66</v>
      </c>
      <c r="D63" s="179"/>
      <c r="E63" s="179"/>
      <c r="F63" s="179"/>
      <c r="G63" s="49"/>
      <c r="H63" s="46"/>
      <c r="I63" s="47"/>
      <c r="J63" s="48"/>
    </row>
    <row r="64" spans="2:11" ht="17.149999999999999" customHeight="1">
      <c r="B64" s="6"/>
      <c r="C64" s="6"/>
    </row>
    <row r="65" spans="1:12" ht="17.149999999999999" customHeight="1">
      <c r="B65" s="6"/>
      <c r="C65" s="6"/>
    </row>
    <row r="66" spans="1:12" ht="17.149999999999999" customHeight="1">
      <c r="A66" s="1"/>
      <c r="B66" s="6" t="s">
        <v>14</v>
      </c>
      <c r="C66" s="6"/>
      <c r="I66" s="4" t="s">
        <v>54</v>
      </c>
    </row>
    <row r="67" spans="1:12" ht="17.149999999999999" customHeight="1">
      <c r="A67" s="1"/>
      <c r="B67" s="23" t="s">
        <v>15</v>
      </c>
      <c r="C67" s="40"/>
      <c r="D67" s="40"/>
      <c r="E67" s="40"/>
    </row>
    <row r="68" spans="1:12" ht="17.149999999999999" customHeight="1">
      <c r="A68" s="1"/>
      <c r="B68" s="23"/>
      <c r="C68" s="40"/>
      <c r="D68" s="40"/>
      <c r="E68" s="40"/>
    </row>
    <row r="69" spans="1:12" ht="17.149999999999999" customHeight="1">
      <c r="A69" s="1"/>
      <c r="B69" s="23"/>
      <c r="C69" s="40"/>
      <c r="D69" s="40"/>
      <c r="E69" s="40"/>
    </row>
    <row r="70" spans="1:12" ht="17.149999999999999" customHeight="1">
      <c r="A70" s="1"/>
      <c r="C70" s="40"/>
      <c r="D70" s="40"/>
      <c r="E70" s="40"/>
      <c r="L70" s="12"/>
    </row>
    <row r="71" spans="1:12" ht="17.149999999999999" customHeight="1">
      <c r="A71" s="1"/>
      <c r="C71" s="40"/>
      <c r="D71" s="40"/>
      <c r="E71" s="40"/>
    </row>
    <row r="72" spans="1:12" ht="17.149999999999999" customHeight="1">
      <c r="A72" s="1"/>
      <c r="B72" s="41" t="s">
        <v>50</v>
      </c>
      <c r="C72" s="40"/>
      <c r="D72" s="40"/>
      <c r="E72" s="40"/>
    </row>
    <row r="73" spans="1:12" ht="17.149999999999999" customHeight="1">
      <c r="A73" s="1"/>
      <c r="B73" s="178"/>
      <c r="C73" s="178"/>
      <c r="D73" s="178"/>
      <c r="E73" s="178"/>
    </row>
    <row r="74" spans="1:12" ht="17.149999999999999" customHeight="1">
      <c r="A74" s="1"/>
      <c r="B74" s="3"/>
      <c r="C74" s="1"/>
      <c r="D74" s="5"/>
    </row>
    <row r="75" spans="1:12" ht="17.149999999999999" customHeight="1">
      <c r="A75" s="1"/>
    </row>
    <row r="76" spans="1:12" ht="17.149999999999999" customHeight="1">
      <c r="A76" s="1"/>
    </row>
    <row r="77" spans="1:12" ht="17.149999999999999" customHeight="1">
      <c r="A77" s="1"/>
    </row>
    <row r="78" spans="1:12" ht="17.149999999999999" customHeight="1">
      <c r="A78" s="1"/>
    </row>
    <row r="79" spans="1:12" ht="17.149999999999999" customHeight="1">
      <c r="A79" s="1"/>
    </row>
    <row r="80" spans="1:12" ht="17.149999999999999" customHeight="1">
      <c r="A80" s="1"/>
    </row>
    <row r="81" spans="1:1" ht="17.149999999999999" customHeight="1">
      <c r="A81" s="1"/>
    </row>
    <row r="82" spans="1:1" ht="17.149999999999999" customHeight="1">
      <c r="A82" s="1"/>
    </row>
    <row r="83" spans="1:1" ht="17.149999999999999" customHeight="1">
      <c r="A83" s="1"/>
    </row>
    <row r="84" spans="1:1" ht="17.149999999999999" customHeight="1">
      <c r="A84" s="1"/>
    </row>
    <row r="85" spans="1:1" ht="17.149999999999999" customHeight="1">
      <c r="A85" s="1"/>
    </row>
    <row r="86" spans="1:1" ht="17.149999999999999" customHeight="1">
      <c r="A86" s="1"/>
    </row>
    <row r="87" spans="1:1" ht="17.149999999999999" customHeight="1">
      <c r="A87" s="1"/>
    </row>
    <row r="88" spans="1:1" ht="17.149999999999999" customHeight="1">
      <c r="A88" s="1"/>
    </row>
    <row r="89" spans="1:1" ht="17.149999999999999" customHeight="1">
      <c r="A89" s="1"/>
    </row>
    <row r="90" spans="1:1" ht="17.149999999999999" customHeight="1">
      <c r="A90" s="1"/>
    </row>
    <row r="91" spans="1:1" ht="17.149999999999999" customHeight="1">
      <c r="A91" s="1"/>
    </row>
    <row r="92" spans="1:1" ht="17.149999999999999" customHeight="1">
      <c r="A92" s="1"/>
    </row>
    <row r="93" spans="1:1" ht="17.149999999999999" customHeight="1">
      <c r="A93" s="1"/>
    </row>
    <row r="94" spans="1:1" ht="17.149999999999999" customHeight="1">
      <c r="A94" s="1"/>
    </row>
    <row r="95" spans="1:1" ht="17.149999999999999" customHeight="1">
      <c r="A95" s="1"/>
    </row>
    <row r="96" spans="1:1" ht="17.149999999999999" customHeight="1">
      <c r="A96" s="1"/>
    </row>
    <row r="97" spans="1:1" ht="17.149999999999999" customHeight="1">
      <c r="A97" s="1"/>
    </row>
    <row r="98" spans="1:1" ht="17.149999999999999" customHeight="1">
      <c r="A98" s="1"/>
    </row>
    <row r="99" spans="1:1" ht="17.149999999999999" customHeight="1">
      <c r="A99" s="1"/>
    </row>
    <row r="100" spans="1:1" ht="17.149999999999999" customHeight="1">
      <c r="A100" s="1"/>
    </row>
    <row r="101" spans="1:1" ht="17.149999999999999" customHeight="1">
      <c r="A101" s="1"/>
    </row>
    <row r="102" spans="1:1" ht="17.149999999999999" customHeight="1">
      <c r="A102" s="1"/>
    </row>
    <row r="103" spans="1:1" ht="17.149999999999999" customHeight="1">
      <c r="A103" s="1"/>
    </row>
    <row r="104" spans="1:1" ht="17.149999999999999" customHeight="1">
      <c r="A104" s="1"/>
    </row>
    <row r="105" spans="1:1" ht="17.149999999999999" customHeight="1">
      <c r="A105" s="1"/>
    </row>
    <row r="106" spans="1:1" ht="17.149999999999999" customHeight="1">
      <c r="A106" s="1"/>
    </row>
    <row r="107" spans="1:1" ht="17.149999999999999" customHeight="1">
      <c r="A107" s="1"/>
    </row>
    <row r="108" spans="1:1" ht="17.149999999999999" customHeight="1">
      <c r="A108" s="1"/>
    </row>
    <row r="109" spans="1:1" ht="17.149999999999999" customHeight="1">
      <c r="A109" s="1"/>
    </row>
    <row r="110" spans="1:1" ht="17.149999999999999" customHeight="1">
      <c r="A110" s="1"/>
    </row>
    <row r="111" spans="1:1" ht="17.149999999999999" customHeight="1">
      <c r="A111" s="1"/>
    </row>
    <row r="112" spans="1:1" ht="17.149999999999999" customHeight="1">
      <c r="A112" s="1"/>
    </row>
    <row r="113" spans="1:1" ht="17.149999999999999" customHeight="1">
      <c r="A113" s="1"/>
    </row>
    <row r="114" spans="1:1" ht="17.149999999999999" customHeight="1">
      <c r="A114" s="1"/>
    </row>
    <row r="115" spans="1:1" ht="17.149999999999999" customHeight="1">
      <c r="A115" s="1"/>
    </row>
    <row r="116" spans="1:1" ht="17.149999999999999" customHeight="1">
      <c r="A116" s="1"/>
    </row>
    <row r="117" spans="1:1" ht="17.149999999999999" customHeight="1">
      <c r="A117" s="1"/>
    </row>
    <row r="118" spans="1:1" ht="17.149999999999999" customHeight="1">
      <c r="A118" s="1"/>
    </row>
    <row r="119" spans="1:1" ht="17.149999999999999" customHeight="1">
      <c r="A119" s="1"/>
    </row>
    <row r="120" spans="1:1" ht="17.149999999999999" customHeight="1">
      <c r="A120" s="1"/>
    </row>
    <row r="121" spans="1:1" ht="17.149999999999999" customHeight="1">
      <c r="A121" s="1"/>
    </row>
    <row r="122" spans="1:1" ht="17.149999999999999" customHeight="1">
      <c r="A122" s="1"/>
    </row>
    <row r="123" spans="1:1" ht="17.149999999999999" customHeight="1">
      <c r="A123" s="1"/>
    </row>
    <row r="124" spans="1:1" ht="17.149999999999999" customHeight="1">
      <c r="A124" s="1"/>
    </row>
    <row r="125" spans="1:1" ht="17.149999999999999" customHeight="1">
      <c r="A125" s="1"/>
    </row>
    <row r="126" spans="1:1" ht="17.149999999999999" customHeight="1">
      <c r="A126" s="1"/>
    </row>
    <row r="127" spans="1:1" ht="17.149999999999999" customHeight="1">
      <c r="A127" s="1"/>
    </row>
    <row r="128" spans="1:1" ht="17.149999999999999" customHeight="1">
      <c r="A128" s="1"/>
    </row>
    <row r="129" spans="1:1" ht="17.149999999999999" customHeight="1">
      <c r="A129" s="1"/>
    </row>
    <row r="130" spans="1:1" ht="17.149999999999999" customHeight="1">
      <c r="A130" s="1"/>
    </row>
    <row r="131" spans="1:1" ht="17.149999999999999" customHeight="1">
      <c r="A131" s="1"/>
    </row>
    <row r="132" spans="1:1" ht="17.149999999999999" customHeight="1">
      <c r="A132" s="1"/>
    </row>
    <row r="133" spans="1:1" ht="17.149999999999999" customHeight="1">
      <c r="A133" s="1"/>
    </row>
    <row r="134" spans="1:1" ht="17.149999999999999" customHeight="1">
      <c r="A134" s="1"/>
    </row>
    <row r="135" spans="1:1" ht="17.149999999999999" customHeight="1">
      <c r="A135" s="1"/>
    </row>
    <row r="136" spans="1:1" ht="17.149999999999999" customHeight="1">
      <c r="A136" s="1"/>
    </row>
    <row r="137" spans="1:1" ht="17.149999999999999" customHeight="1">
      <c r="A137" s="1"/>
    </row>
    <row r="138" spans="1:1" ht="17.149999999999999" customHeight="1">
      <c r="A138" s="1"/>
    </row>
    <row r="139" spans="1:1" ht="17.149999999999999" customHeight="1">
      <c r="A139" s="1"/>
    </row>
    <row r="140" spans="1:1" ht="17.149999999999999" customHeight="1">
      <c r="A140" s="1"/>
    </row>
    <row r="141" spans="1:1" ht="17.149999999999999" customHeight="1">
      <c r="A141" s="1"/>
    </row>
    <row r="142" spans="1:1" ht="17.149999999999999" customHeight="1">
      <c r="A142" s="1"/>
    </row>
    <row r="143" spans="1:1" ht="17.149999999999999" customHeight="1">
      <c r="A143" s="1"/>
    </row>
    <row r="144" spans="1:1" ht="17.149999999999999" customHeight="1">
      <c r="A144" s="1"/>
    </row>
    <row r="145" spans="1:1" ht="17.149999999999999" customHeight="1">
      <c r="A145" s="1"/>
    </row>
    <row r="146" spans="1:1" ht="17.149999999999999" customHeight="1">
      <c r="A146" s="1"/>
    </row>
    <row r="147" spans="1:1" ht="17.149999999999999" customHeight="1">
      <c r="A147" s="1"/>
    </row>
    <row r="148" spans="1:1" ht="17.149999999999999" customHeight="1">
      <c r="A148" s="1"/>
    </row>
    <row r="149" spans="1:1" ht="17.149999999999999" customHeight="1">
      <c r="A149" s="1"/>
    </row>
    <row r="150" spans="1:1" ht="17.149999999999999" customHeight="1">
      <c r="A150" s="1"/>
    </row>
    <row r="151" spans="1:1" ht="17.149999999999999" customHeight="1">
      <c r="A151" s="1"/>
    </row>
    <row r="152" spans="1:1" ht="17.149999999999999" customHeight="1">
      <c r="A152" s="1"/>
    </row>
    <row r="153" spans="1:1" ht="17.149999999999999" customHeight="1">
      <c r="A153" s="1"/>
    </row>
    <row r="154" spans="1:1" ht="17.149999999999999" customHeight="1">
      <c r="A154" s="1"/>
    </row>
    <row r="155" spans="1:1" ht="17.149999999999999" customHeight="1">
      <c r="A155" s="1"/>
    </row>
    <row r="156" spans="1:1" ht="17.149999999999999" customHeight="1">
      <c r="A156" s="1"/>
    </row>
    <row r="157" spans="1:1" ht="17.149999999999999" customHeight="1">
      <c r="A157" s="1"/>
    </row>
    <row r="158" spans="1:1" ht="17.149999999999999" customHeight="1">
      <c r="A158" s="1"/>
    </row>
    <row r="159" spans="1:1" ht="17.149999999999999" customHeight="1">
      <c r="A159" s="1"/>
    </row>
    <row r="160" spans="1:1" ht="17.149999999999999" customHeight="1">
      <c r="A160" s="1"/>
    </row>
    <row r="161" spans="1:1" ht="17.149999999999999" customHeight="1">
      <c r="A161" s="1"/>
    </row>
    <row r="162" spans="1:1" ht="17.149999999999999" customHeight="1">
      <c r="A162" s="1"/>
    </row>
    <row r="163" spans="1:1" ht="17.149999999999999" customHeight="1">
      <c r="A163" s="1"/>
    </row>
    <row r="164" spans="1:1" ht="17.149999999999999" customHeight="1">
      <c r="A164" s="1"/>
    </row>
    <row r="165" spans="1:1" ht="17.149999999999999" customHeight="1">
      <c r="A165" s="1"/>
    </row>
    <row r="166" spans="1:1" ht="17.149999999999999" customHeight="1">
      <c r="A166" s="1"/>
    </row>
    <row r="167" spans="1:1" ht="17.149999999999999" customHeight="1">
      <c r="A167" s="1"/>
    </row>
    <row r="168" spans="1:1" ht="17.149999999999999" customHeight="1">
      <c r="A168" s="1"/>
    </row>
    <row r="169" spans="1:1" ht="17.149999999999999" customHeight="1">
      <c r="A169" s="1"/>
    </row>
    <row r="170" spans="1:1" ht="17.149999999999999" customHeight="1">
      <c r="A170" s="1"/>
    </row>
    <row r="171" spans="1:1" ht="17.149999999999999" customHeight="1">
      <c r="A171" s="1"/>
    </row>
    <row r="172" spans="1:1" ht="17.149999999999999" customHeight="1">
      <c r="A172" s="1"/>
    </row>
    <row r="173" spans="1:1" ht="17.149999999999999" customHeight="1">
      <c r="A173" s="1"/>
    </row>
    <row r="174" spans="1:1" ht="17.149999999999999" customHeight="1">
      <c r="A174" s="1"/>
    </row>
    <row r="175" spans="1:1" ht="17.149999999999999" customHeight="1">
      <c r="A175" s="1"/>
    </row>
    <row r="176" spans="1:1" ht="17.149999999999999" customHeight="1">
      <c r="A176" s="1"/>
    </row>
    <row r="177" spans="1:1" ht="17.149999999999999" customHeight="1">
      <c r="A177" s="1"/>
    </row>
    <row r="178" spans="1:1" ht="17.149999999999999" customHeight="1">
      <c r="A178" s="1"/>
    </row>
    <row r="179" spans="1:1" ht="17.149999999999999" customHeight="1">
      <c r="A179" s="1"/>
    </row>
    <row r="180" spans="1:1" ht="17.149999999999999" customHeight="1">
      <c r="A180" s="1"/>
    </row>
    <row r="181" spans="1:1" ht="17.149999999999999" customHeight="1">
      <c r="A181" s="1"/>
    </row>
    <row r="182" spans="1:1" ht="17.149999999999999" customHeight="1">
      <c r="A182" s="1"/>
    </row>
    <row r="183" spans="1:1" ht="17.149999999999999" customHeight="1">
      <c r="A183" s="1"/>
    </row>
    <row r="184" spans="1:1" ht="17.149999999999999" customHeight="1">
      <c r="A184" s="1"/>
    </row>
    <row r="185" spans="1:1" ht="17.149999999999999" customHeight="1">
      <c r="A185" s="1"/>
    </row>
    <row r="186" spans="1:1" ht="17.149999999999999" customHeight="1">
      <c r="A186" s="1"/>
    </row>
    <row r="187" spans="1:1" ht="17.149999999999999" customHeight="1">
      <c r="A187" s="1"/>
    </row>
    <row r="188" spans="1:1" ht="17.149999999999999" customHeight="1">
      <c r="A188" s="1"/>
    </row>
    <row r="189" spans="1:1" ht="17.149999999999999" customHeight="1">
      <c r="A189" s="1"/>
    </row>
    <row r="190" spans="1:1" ht="17.149999999999999" customHeight="1">
      <c r="A190" s="1"/>
    </row>
    <row r="191" spans="1:1" ht="17.149999999999999" customHeight="1">
      <c r="A191" s="1"/>
    </row>
    <row r="192" spans="1:1" ht="17.149999999999999" customHeight="1">
      <c r="A192" s="1"/>
    </row>
    <row r="193" spans="1:1" ht="17.149999999999999" customHeight="1">
      <c r="A193" s="1"/>
    </row>
    <row r="194" spans="1:1" ht="17.149999999999999" customHeight="1">
      <c r="A194" s="1"/>
    </row>
    <row r="195" spans="1:1" ht="17.149999999999999" customHeight="1">
      <c r="A195" s="1"/>
    </row>
    <row r="196" spans="1:1" ht="17.149999999999999" customHeight="1">
      <c r="A196" s="1"/>
    </row>
    <row r="197" spans="1:1" ht="17.149999999999999" customHeight="1">
      <c r="A197" s="1"/>
    </row>
    <row r="198" spans="1:1" ht="17.149999999999999" customHeight="1">
      <c r="A198" s="1"/>
    </row>
    <row r="199" spans="1:1" ht="17.149999999999999" customHeight="1">
      <c r="A199" s="1"/>
    </row>
    <row r="200" spans="1:1" ht="17.149999999999999" customHeight="1">
      <c r="A200" s="1"/>
    </row>
    <row r="201" spans="1:1" ht="17.149999999999999" customHeight="1">
      <c r="A201" s="1"/>
    </row>
    <row r="202" spans="1:1" ht="17.149999999999999" customHeight="1">
      <c r="A202" s="1"/>
    </row>
    <row r="203" spans="1:1" ht="17.149999999999999" customHeight="1">
      <c r="A203" s="1"/>
    </row>
    <row r="204" spans="1:1" ht="17.149999999999999" customHeight="1">
      <c r="A204" s="1"/>
    </row>
    <row r="205" spans="1:1" ht="17.149999999999999" customHeight="1">
      <c r="A205" s="1"/>
    </row>
    <row r="206" spans="1:1" ht="17.149999999999999" customHeight="1">
      <c r="A206" s="1"/>
    </row>
    <row r="207" spans="1:1" ht="17.149999999999999" customHeight="1">
      <c r="A207" s="1"/>
    </row>
    <row r="208" spans="1:1" ht="17.149999999999999" customHeight="1">
      <c r="A208" s="1"/>
    </row>
    <row r="209" spans="1:1" ht="17.149999999999999" customHeight="1">
      <c r="A209" s="1"/>
    </row>
    <row r="210" spans="1:1" ht="17.149999999999999" customHeight="1">
      <c r="A210" s="1"/>
    </row>
    <row r="211" spans="1:1" ht="17.149999999999999" customHeight="1">
      <c r="A211" s="1"/>
    </row>
    <row r="212" spans="1:1" ht="17.149999999999999" customHeight="1">
      <c r="A212" s="1"/>
    </row>
    <row r="213" spans="1:1" ht="17.149999999999999" customHeight="1">
      <c r="A213" s="1"/>
    </row>
    <row r="214" spans="1:1" ht="17.149999999999999" customHeight="1">
      <c r="A214" s="1"/>
    </row>
    <row r="215" spans="1:1" ht="17.149999999999999" customHeight="1">
      <c r="A215" s="1"/>
    </row>
    <row r="216" spans="1:1" ht="17.149999999999999" customHeight="1">
      <c r="A216" s="1"/>
    </row>
    <row r="217" spans="1:1" ht="17.149999999999999" customHeight="1">
      <c r="A217" s="1"/>
    </row>
    <row r="218" spans="1:1" ht="17.149999999999999" customHeight="1">
      <c r="A218" s="1"/>
    </row>
    <row r="219" spans="1:1" ht="17.149999999999999" customHeight="1">
      <c r="A219" s="1"/>
    </row>
    <row r="220" spans="1:1" ht="17.149999999999999" customHeight="1">
      <c r="A220" s="1"/>
    </row>
    <row r="221" spans="1:1" ht="17.149999999999999" customHeight="1">
      <c r="A221" s="1"/>
    </row>
    <row r="222" spans="1:1" ht="17.149999999999999" customHeight="1">
      <c r="A222" s="1"/>
    </row>
    <row r="223" spans="1:1" ht="17.149999999999999" customHeight="1">
      <c r="A223" s="1"/>
    </row>
    <row r="224" spans="1:1" ht="17.149999999999999" customHeight="1">
      <c r="A224" s="1"/>
    </row>
    <row r="225" spans="1:1" ht="17.149999999999999" customHeight="1">
      <c r="A225" s="1"/>
    </row>
    <row r="226" spans="1:1" ht="17.149999999999999" customHeight="1">
      <c r="A226" s="1"/>
    </row>
    <row r="227" spans="1:1" ht="17.149999999999999" customHeight="1">
      <c r="A227" s="1"/>
    </row>
    <row r="228" spans="1:1" ht="17.149999999999999" customHeight="1">
      <c r="A228" s="1"/>
    </row>
    <row r="229" spans="1:1" ht="17.149999999999999" customHeight="1">
      <c r="A229" s="1"/>
    </row>
    <row r="230" spans="1:1" ht="17.149999999999999" customHeight="1">
      <c r="A230" s="1"/>
    </row>
    <row r="231" spans="1:1" ht="17.149999999999999" customHeight="1">
      <c r="A231" s="1"/>
    </row>
    <row r="232" spans="1:1" ht="17.149999999999999" customHeight="1">
      <c r="A232" s="1"/>
    </row>
    <row r="233" spans="1:1" ht="17.149999999999999" customHeight="1">
      <c r="A233" s="1"/>
    </row>
    <row r="234" spans="1:1" ht="17.149999999999999" customHeight="1">
      <c r="A234" s="1"/>
    </row>
    <row r="235" spans="1:1" ht="17.149999999999999" customHeight="1">
      <c r="A235" s="1"/>
    </row>
    <row r="236" spans="1:1" ht="17.149999999999999" customHeight="1">
      <c r="A236" s="1"/>
    </row>
    <row r="237" spans="1:1" ht="17.149999999999999" customHeight="1">
      <c r="A237" s="1"/>
    </row>
    <row r="238" spans="1:1" ht="17.149999999999999" customHeight="1">
      <c r="A238" s="1"/>
    </row>
    <row r="239" spans="1:1" ht="17.149999999999999" customHeight="1">
      <c r="A239" s="1"/>
    </row>
    <row r="240" spans="1:1" ht="17.149999999999999" customHeight="1">
      <c r="A240" s="1"/>
    </row>
    <row r="241" spans="1:1" ht="17.149999999999999" customHeight="1">
      <c r="A241" s="1"/>
    </row>
    <row r="242" spans="1:1" ht="17.149999999999999" customHeight="1">
      <c r="A242" s="1"/>
    </row>
    <row r="243" spans="1:1" ht="17.149999999999999" customHeight="1">
      <c r="A243" s="1"/>
    </row>
    <row r="244" spans="1:1" ht="17.149999999999999" customHeight="1">
      <c r="A244" s="1"/>
    </row>
    <row r="245" spans="1:1" ht="17.149999999999999" customHeight="1">
      <c r="A245" s="1"/>
    </row>
    <row r="246" spans="1:1" ht="17.149999999999999" customHeight="1">
      <c r="A246" s="1"/>
    </row>
    <row r="247" spans="1:1" ht="17.149999999999999" customHeight="1">
      <c r="A247" s="1"/>
    </row>
    <row r="248" spans="1:1" ht="17.149999999999999" customHeight="1">
      <c r="A248" s="1"/>
    </row>
    <row r="249" spans="1:1" ht="17.149999999999999" customHeight="1">
      <c r="A249" s="1"/>
    </row>
    <row r="250" spans="1:1" ht="17.149999999999999" customHeight="1">
      <c r="A250" s="1"/>
    </row>
    <row r="251" spans="1:1" ht="17.149999999999999" customHeight="1">
      <c r="A251" s="1"/>
    </row>
    <row r="252" spans="1:1" ht="17.149999999999999" customHeight="1">
      <c r="A252" s="1"/>
    </row>
    <row r="253" spans="1:1" ht="17.149999999999999" customHeight="1">
      <c r="A253" s="1"/>
    </row>
    <row r="254" spans="1:1" ht="17.149999999999999" customHeight="1">
      <c r="A254" s="1"/>
    </row>
    <row r="255" spans="1:1" ht="17.149999999999999" customHeight="1">
      <c r="A255" s="1"/>
    </row>
    <row r="256" spans="1:1" ht="17.149999999999999" customHeight="1">
      <c r="A256" s="1"/>
    </row>
    <row r="257" spans="1:1" ht="17.149999999999999" customHeight="1">
      <c r="A257" s="1"/>
    </row>
    <row r="258" spans="1:1" ht="17.149999999999999" customHeight="1">
      <c r="A258" s="1"/>
    </row>
    <row r="259" spans="1:1" ht="17.149999999999999" customHeight="1">
      <c r="A259" s="1"/>
    </row>
    <row r="260" spans="1:1" ht="17.149999999999999" customHeight="1">
      <c r="A260" s="1"/>
    </row>
    <row r="261" spans="1:1" ht="17.149999999999999" customHeight="1">
      <c r="A261" s="1"/>
    </row>
    <row r="262" spans="1:1" ht="17.149999999999999" customHeight="1">
      <c r="A262" s="1"/>
    </row>
    <row r="263" spans="1:1" ht="17.149999999999999" customHeight="1">
      <c r="A263" s="1"/>
    </row>
    <row r="264" spans="1:1" ht="17.149999999999999" customHeight="1">
      <c r="A264" s="1"/>
    </row>
    <row r="265" spans="1:1" ht="17.149999999999999" customHeight="1">
      <c r="A265" s="1"/>
    </row>
    <row r="266" spans="1:1" ht="17.149999999999999" customHeight="1">
      <c r="A266" s="1"/>
    </row>
    <row r="267" spans="1:1" ht="17.149999999999999" customHeight="1">
      <c r="A267" s="1"/>
    </row>
    <row r="268" spans="1:1" ht="17.149999999999999" customHeight="1">
      <c r="A268" s="1"/>
    </row>
    <row r="269" spans="1:1" ht="17.149999999999999" customHeight="1">
      <c r="A269" s="1"/>
    </row>
    <row r="270" spans="1:1" ht="17.149999999999999" customHeight="1">
      <c r="A270" s="1"/>
    </row>
    <row r="271" spans="1:1" ht="17.149999999999999" customHeight="1">
      <c r="A271" s="1"/>
    </row>
    <row r="272" spans="1:1" ht="17.149999999999999" customHeight="1">
      <c r="A272" s="1"/>
    </row>
    <row r="273" spans="1:1" ht="17.149999999999999" customHeight="1">
      <c r="A273" s="1"/>
    </row>
    <row r="274" spans="1:1" ht="17.149999999999999" customHeight="1">
      <c r="A274" s="1"/>
    </row>
    <row r="275" spans="1:1" ht="17.149999999999999" customHeight="1">
      <c r="A275" s="1"/>
    </row>
    <row r="276" spans="1:1" ht="17.149999999999999" customHeight="1">
      <c r="A276" s="1"/>
    </row>
    <row r="277" spans="1:1" ht="17.149999999999999" customHeight="1">
      <c r="A277" s="1"/>
    </row>
    <row r="278" spans="1:1" ht="17.149999999999999" customHeight="1">
      <c r="A278" s="1"/>
    </row>
    <row r="279" spans="1:1" ht="17.149999999999999" customHeight="1">
      <c r="A279" s="1"/>
    </row>
    <row r="280" spans="1:1" ht="17.149999999999999" customHeight="1">
      <c r="A280" s="1"/>
    </row>
    <row r="281" spans="1:1" ht="17.149999999999999" customHeight="1">
      <c r="A281" s="1"/>
    </row>
    <row r="282" spans="1:1" ht="17.149999999999999" customHeight="1">
      <c r="A282" s="1"/>
    </row>
    <row r="283" spans="1:1" ht="17.149999999999999" customHeight="1">
      <c r="A283" s="1"/>
    </row>
    <row r="284" spans="1:1" ht="17.149999999999999" customHeight="1">
      <c r="A284" s="1"/>
    </row>
    <row r="285" spans="1:1" ht="17.149999999999999" customHeight="1">
      <c r="A285" s="1"/>
    </row>
    <row r="286" spans="1:1" ht="17.149999999999999" customHeight="1">
      <c r="A286" s="1"/>
    </row>
    <row r="287" spans="1:1" ht="17.149999999999999" customHeight="1">
      <c r="A287" s="1"/>
    </row>
    <row r="288" spans="1:1" ht="17.149999999999999" customHeight="1">
      <c r="A288" s="1"/>
    </row>
    <row r="289" spans="1:1" ht="17.149999999999999" customHeight="1">
      <c r="A289" s="1"/>
    </row>
    <row r="290" spans="1:1" ht="17.149999999999999" customHeight="1">
      <c r="A290" s="1"/>
    </row>
    <row r="291" spans="1:1" ht="17.149999999999999" customHeight="1">
      <c r="A291" s="1"/>
    </row>
    <row r="292" spans="1:1" ht="17.149999999999999" customHeight="1">
      <c r="A292" s="1"/>
    </row>
    <row r="293" spans="1:1" ht="17.149999999999999" customHeight="1">
      <c r="A293" s="1"/>
    </row>
    <row r="294" spans="1:1" ht="17.149999999999999" customHeight="1">
      <c r="A294" s="1"/>
    </row>
    <row r="295" spans="1:1" ht="17.149999999999999" customHeight="1">
      <c r="A295" s="1"/>
    </row>
    <row r="296" spans="1:1" ht="17.149999999999999" customHeight="1">
      <c r="A296" s="1"/>
    </row>
    <row r="297" spans="1:1" ht="17.149999999999999" customHeight="1">
      <c r="A297" s="1"/>
    </row>
    <row r="298" spans="1:1" ht="17.149999999999999" customHeight="1">
      <c r="A298" s="1"/>
    </row>
    <row r="299" spans="1:1" ht="17.149999999999999" customHeight="1">
      <c r="A299" s="1"/>
    </row>
    <row r="300" spans="1:1" ht="17.149999999999999" customHeight="1">
      <c r="A300" s="1"/>
    </row>
    <row r="301" spans="1:1" ht="17.149999999999999" customHeight="1">
      <c r="A301" s="1"/>
    </row>
    <row r="302" spans="1:1" ht="17.149999999999999" customHeight="1">
      <c r="A302" s="1"/>
    </row>
    <row r="303" spans="1:1" ht="17.149999999999999" customHeight="1">
      <c r="A303" s="1"/>
    </row>
    <row r="304" spans="1:1" ht="17.149999999999999" customHeight="1">
      <c r="A304" s="1"/>
    </row>
    <row r="305" spans="1:1" ht="17.149999999999999" customHeight="1">
      <c r="A305" s="1"/>
    </row>
    <row r="306" spans="1:1" ht="17.149999999999999" customHeight="1">
      <c r="A306" s="1"/>
    </row>
    <row r="307" spans="1:1" ht="17.149999999999999" customHeight="1">
      <c r="A307" s="1"/>
    </row>
    <row r="308" spans="1:1" ht="17.149999999999999" customHeight="1">
      <c r="A308" s="1"/>
    </row>
    <row r="309" spans="1:1" ht="17.149999999999999" customHeight="1">
      <c r="A309" s="1"/>
    </row>
    <row r="310" spans="1:1" ht="17.149999999999999" customHeight="1">
      <c r="A310" s="1"/>
    </row>
    <row r="311" spans="1:1" ht="17.149999999999999" customHeight="1">
      <c r="A311" s="1"/>
    </row>
    <row r="312" spans="1:1" ht="17.149999999999999" customHeight="1">
      <c r="A312" s="1"/>
    </row>
    <row r="313" spans="1:1" ht="17.149999999999999" customHeight="1">
      <c r="A313" s="1"/>
    </row>
    <row r="314" spans="1:1" ht="17.149999999999999" customHeight="1">
      <c r="A314" s="1"/>
    </row>
    <row r="315" spans="1:1" ht="17.149999999999999" customHeight="1">
      <c r="A315" s="1"/>
    </row>
    <row r="316" spans="1:1" ht="17.149999999999999" customHeight="1">
      <c r="A316" s="1"/>
    </row>
    <row r="317" spans="1:1" ht="17.149999999999999" customHeight="1">
      <c r="A317" s="1"/>
    </row>
    <row r="318" spans="1:1" ht="17.149999999999999" customHeight="1">
      <c r="A318" s="1"/>
    </row>
    <row r="319" spans="1:1" ht="17.149999999999999" customHeight="1">
      <c r="A319" s="1"/>
    </row>
    <row r="320" spans="1:1" ht="17.149999999999999" customHeight="1">
      <c r="A320" s="1"/>
    </row>
    <row r="321" spans="1:1" ht="17.149999999999999" customHeight="1">
      <c r="A321" s="1"/>
    </row>
    <row r="322" spans="1:1" ht="17.149999999999999" customHeight="1">
      <c r="A322" s="1"/>
    </row>
    <row r="323" spans="1:1" ht="17.149999999999999" customHeight="1">
      <c r="A323" s="1"/>
    </row>
    <row r="324" spans="1:1" ht="17.149999999999999" customHeight="1">
      <c r="A324" s="1"/>
    </row>
    <row r="325" spans="1:1" ht="17.149999999999999" customHeight="1">
      <c r="A325" s="1"/>
    </row>
    <row r="326" spans="1:1" ht="17.149999999999999" customHeight="1">
      <c r="A326" s="1"/>
    </row>
    <row r="327" spans="1:1" ht="17.149999999999999" customHeight="1">
      <c r="A327" s="1"/>
    </row>
    <row r="328" spans="1:1" ht="17.149999999999999" customHeight="1">
      <c r="A328" s="1"/>
    </row>
    <row r="329" spans="1:1" ht="17.149999999999999" customHeight="1">
      <c r="A329" s="1"/>
    </row>
    <row r="330" spans="1:1" ht="17.149999999999999" customHeight="1">
      <c r="A330" s="1"/>
    </row>
    <row r="331" spans="1:1" ht="17.149999999999999" customHeight="1">
      <c r="A331" s="1"/>
    </row>
    <row r="332" spans="1:1" ht="17.149999999999999" customHeight="1">
      <c r="A332" s="1"/>
    </row>
    <row r="333" spans="1:1" ht="17.149999999999999" customHeight="1">
      <c r="A333" s="1"/>
    </row>
    <row r="334" spans="1:1" ht="17.149999999999999" customHeight="1">
      <c r="A334" s="1"/>
    </row>
    <row r="335" spans="1:1" ht="17.149999999999999" customHeight="1">
      <c r="A335" s="1"/>
    </row>
    <row r="336" spans="1:1" ht="17.149999999999999" customHeight="1">
      <c r="A336" s="1"/>
    </row>
    <row r="337" spans="1:1" ht="17.149999999999999" customHeight="1">
      <c r="A337" s="1"/>
    </row>
    <row r="338" spans="1:1" ht="17.149999999999999" customHeight="1">
      <c r="A338" s="1"/>
    </row>
    <row r="339" spans="1:1" ht="17.149999999999999" customHeight="1">
      <c r="A339" s="1"/>
    </row>
    <row r="340" spans="1:1" ht="17.149999999999999" customHeight="1">
      <c r="A340" s="1"/>
    </row>
    <row r="341" spans="1:1" ht="17.149999999999999" customHeight="1">
      <c r="A341" s="1"/>
    </row>
    <row r="342" spans="1:1" ht="17.149999999999999" customHeight="1">
      <c r="A342" s="1"/>
    </row>
    <row r="343" spans="1:1" ht="17.149999999999999" customHeight="1">
      <c r="A343" s="1"/>
    </row>
    <row r="344" spans="1:1" ht="17.149999999999999" customHeight="1">
      <c r="A344" s="1"/>
    </row>
    <row r="345" spans="1:1" ht="17.149999999999999" customHeight="1">
      <c r="A345" s="1"/>
    </row>
    <row r="346" spans="1:1" ht="17.149999999999999" customHeight="1">
      <c r="A346" s="1"/>
    </row>
    <row r="347" spans="1:1" ht="17.149999999999999" customHeight="1">
      <c r="A347" s="1"/>
    </row>
    <row r="348" spans="1:1" ht="17.149999999999999" customHeight="1">
      <c r="A348" s="1"/>
    </row>
    <row r="349" spans="1:1" ht="17.149999999999999" customHeight="1">
      <c r="A349" s="1"/>
    </row>
    <row r="350" spans="1:1" ht="17.149999999999999" customHeight="1">
      <c r="A350" s="1"/>
    </row>
    <row r="351" spans="1:1" ht="17.149999999999999" customHeight="1">
      <c r="A351" s="1"/>
    </row>
    <row r="352" spans="1:1" ht="17.149999999999999" customHeight="1">
      <c r="A352" s="1"/>
    </row>
    <row r="353" spans="1:1" ht="17.149999999999999" customHeight="1">
      <c r="A353" s="1"/>
    </row>
    <row r="354" spans="1:1" ht="17.149999999999999" customHeight="1">
      <c r="A354" s="1"/>
    </row>
    <row r="355" spans="1:1" ht="17.149999999999999" customHeight="1">
      <c r="A355" s="1"/>
    </row>
    <row r="356" spans="1:1" ht="17.149999999999999" customHeight="1">
      <c r="A356" s="1"/>
    </row>
    <row r="357" spans="1:1" ht="17.149999999999999" customHeight="1">
      <c r="A357" s="1"/>
    </row>
    <row r="358" spans="1:1" ht="17.149999999999999" customHeight="1">
      <c r="A358" s="1"/>
    </row>
    <row r="359" spans="1:1" ht="17.149999999999999" customHeight="1">
      <c r="A359" s="1"/>
    </row>
    <row r="360" spans="1:1" ht="17.149999999999999" customHeight="1">
      <c r="A360" s="1"/>
    </row>
    <row r="361" spans="1:1" ht="17.149999999999999" customHeight="1">
      <c r="A361" s="1"/>
    </row>
    <row r="362" spans="1:1" ht="17.149999999999999" customHeight="1">
      <c r="A362" s="1"/>
    </row>
    <row r="363" spans="1:1" ht="17.149999999999999" customHeight="1">
      <c r="A363" s="1"/>
    </row>
    <row r="364" spans="1:1" ht="17.149999999999999" customHeight="1">
      <c r="A364" s="1"/>
    </row>
    <row r="365" spans="1:1" ht="17.149999999999999" customHeight="1">
      <c r="A365" s="1"/>
    </row>
    <row r="366" spans="1:1" ht="17.149999999999999" customHeight="1">
      <c r="A366" s="1"/>
    </row>
    <row r="367" spans="1:1" ht="17.149999999999999" customHeight="1">
      <c r="A367" s="1"/>
    </row>
    <row r="368" spans="1:1" ht="17.149999999999999" customHeight="1">
      <c r="A368" s="1"/>
    </row>
    <row r="369" spans="1:1" ht="17.149999999999999" customHeight="1">
      <c r="A369" s="1"/>
    </row>
    <row r="370" spans="1:1" ht="17.149999999999999" customHeight="1">
      <c r="A370" s="1"/>
    </row>
    <row r="371" spans="1:1" ht="17.149999999999999" customHeight="1">
      <c r="A371" s="1"/>
    </row>
    <row r="372" spans="1:1" ht="17.149999999999999" customHeight="1">
      <c r="A372" s="1"/>
    </row>
    <row r="373" spans="1:1" ht="17.149999999999999" customHeight="1">
      <c r="A373" s="1"/>
    </row>
    <row r="374" spans="1:1" ht="17.149999999999999" customHeight="1">
      <c r="A374" s="1"/>
    </row>
    <row r="375" spans="1:1" ht="17.149999999999999" customHeight="1">
      <c r="A375" s="1"/>
    </row>
    <row r="376" spans="1:1" ht="17.149999999999999" customHeight="1">
      <c r="A376" s="1"/>
    </row>
    <row r="377" spans="1:1" ht="17.149999999999999" customHeight="1">
      <c r="A377" s="1"/>
    </row>
    <row r="378" spans="1:1" ht="17.149999999999999" customHeight="1">
      <c r="A378" s="1"/>
    </row>
    <row r="379" spans="1:1" ht="17.149999999999999" customHeight="1">
      <c r="A379" s="1"/>
    </row>
    <row r="380" spans="1:1" ht="17.149999999999999" customHeight="1">
      <c r="A380" s="1"/>
    </row>
    <row r="381" spans="1:1" ht="17.149999999999999" customHeight="1">
      <c r="A381" s="1"/>
    </row>
    <row r="382" spans="1:1" ht="17.149999999999999" customHeight="1">
      <c r="A382" s="1"/>
    </row>
    <row r="383" spans="1:1" ht="17.149999999999999" customHeight="1">
      <c r="A383" s="1"/>
    </row>
    <row r="384" spans="1:1" ht="17.149999999999999" customHeight="1">
      <c r="A384" s="1"/>
    </row>
    <row r="385" spans="1:1" ht="17.149999999999999" customHeight="1">
      <c r="A385" s="1"/>
    </row>
    <row r="386" spans="1:1" ht="17.149999999999999" customHeight="1">
      <c r="A386" s="1"/>
    </row>
    <row r="387" spans="1:1" ht="17.149999999999999" customHeight="1">
      <c r="A387" s="1"/>
    </row>
    <row r="388" spans="1:1" ht="17.149999999999999" customHeight="1">
      <c r="A388" s="1"/>
    </row>
    <row r="389" spans="1:1" ht="17.149999999999999" customHeight="1">
      <c r="A389" s="1"/>
    </row>
    <row r="390" spans="1:1" ht="17.149999999999999" customHeight="1">
      <c r="A390" s="1"/>
    </row>
    <row r="391" spans="1:1" ht="17.149999999999999" customHeight="1">
      <c r="A391" s="1"/>
    </row>
    <row r="392" spans="1:1" ht="17.149999999999999" customHeight="1">
      <c r="A392" s="1"/>
    </row>
    <row r="393" spans="1:1" ht="17.149999999999999" customHeight="1">
      <c r="A393" s="1"/>
    </row>
    <row r="394" spans="1:1" ht="17.149999999999999" customHeight="1">
      <c r="A394" s="1"/>
    </row>
    <row r="395" spans="1:1" ht="17.149999999999999" customHeight="1">
      <c r="A395" s="1"/>
    </row>
    <row r="396" spans="1:1" ht="17.149999999999999" customHeight="1">
      <c r="A396" s="1"/>
    </row>
    <row r="397" spans="1:1" ht="17.149999999999999" customHeight="1">
      <c r="A397" s="1"/>
    </row>
    <row r="398" spans="1:1" ht="17.149999999999999" customHeight="1">
      <c r="A398" s="1"/>
    </row>
    <row r="399" spans="1:1" ht="17.149999999999999" customHeight="1">
      <c r="A399" s="1"/>
    </row>
    <row r="400" spans="1:1" ht="17.149999999999999" customHeight="1">
      <c r="A400" s="1"/>
    </row>
    <row r="401" spans="1:1" ht="17.149999999999999" customHeight="1">
      <c r="A401" s="1"/>
    </row>
    <row r="402" spans="1:1" ht="17.149999999999999" customHeight="1">
      <c r="A402" s="1"/>
    </row>
    <row r="403" spans="1:1" ht="17.149999999999999" customHeight="1">
      <c r="A403" s="1"/>
    </row>
    <row r="404" spans="1:1" ht="17.149999999999999" customHeight="1">
      <c r="A404" s="1"/>
    </row>
    <row r="405" spans="1:1" ht="17.149999999999999" customHeight="1">
      <c r="A405" s="1"/>
    </row>
    <row r="406" spans="1:1" ht="17.149999999999999" customHeight="1">
      <c r="A406" s="1"/>
    </row>
    <row r="407" spans="1:1" ht="17.149999999999999" customHeight="1">
      <c r="A407" s="1"/>
    </row>
    <row r="408" spans="1:1" ht="17.149999999999999" customHeight="1">
      <c r="A408" s="1"/>
    </row>
    <row r="409" spans="1:1" ht="17.149999999999999" customHeight="1">
      <c r="A409" s="1"/>
    </row>
    <row r="410" spans="1:1" ht="17.149999999999999" customHeight="1">
      <c r="A410" s="1"/>
    </row>
    <row r="411" spans="1:1" ht="17.149999999999999" customHeight="1">
      <c r="A411" s="1"/>
    </row>
    <row r="412" spans="1:1" ht="17.149999999999999" customHeight="1">
      <c r="A412" s="1"/>
    </row>
    <row r="413" spans="1:1" ht="17.149999999999999" customHeight="1">
      <c r="A413" s="1"/>
    </row>
    <row r="414" spans="1:1" ht="17.149999999999999" customHeight="1">
      <c r="A414" s="1"/>
    </row>
    <row r="415" spans="1:1" ht="17.149999999999999" customHeight="1">
      <c r="A415" s="1"/>
    </row>
    <row r="416" spans="1:1" ht="17.149999999999999" customHeight="1">
      <c r="A416" s="1"/>
    </row>
    <row r="417" spans="1:1" ht="17.149999999999999" customHeight="1">
      <c r="A417" s="1"/>
    </row>
    <row r="418" spans="1:1" ht="17.149999999999999" customHeight="1">
      <c r="A418" s="1"/>
    </row>
    <row r="419" spans="1:1" ht="17.149999999999999" customHeight="1">
      <c r="A419" s="1"/>
    </row>
    <row r="420" spans="1:1" ht="17.149999999999999" customHeight="1">
      <c r="A420" s="1"/>
    </row>
    <row r="421" spans="1:1" ht="17.149999999999999" customHeight="1">
      <c r="A421" s="1"/>
    </row>
    <row r="422" spans="1:1" ht="17.149999999999999" customHeight="1">
      <c r="A422" s="1"/>
    </row>
    <row r="423" spans="1:1" ht="17.149999999999999" customHeight="1">
      <c r="A423" s="1"/>
    </row>
    <row r="424" spans="1:1" ht="17.149999999999999" customHeight="1">
      <c r="A424" s="1"/>
    </row>
    <row r="425" spans="1:1" ht="17.149999999999999" customHeight="1">
      <c r="A425" s="1"/>
    </row>
    <row r="426" spans="1:1" ht="17.149999999999999" customHeight="1">
      <c r="A426" s="1"/>
    </row>
    <row r="427" spans="1:1" ht="17.149999999999999" customHeight="1">
      <c r="A427" s="1"/>
    </row>
    <row r="428" spans="1:1" ht="17.149999999999999" customHeight="1">
      <c r="A428" s="1"/>
    </row>
    <row r="429" spans="1:1" ht="17.149999999999999" customHeight="1">
      <c r="A429" s="1"/>
    </row>
    <row r="430" spans="1:1" ht="17.149999999999999" customHeight="1">
      <c r="A430" s="1"/>
    </row>
    <row r="431" spans="1:1" ht="17.149999999999999" customHeight="1">
      <c r="A431" s="1"/>
    </row>
    <row r="432" spans="1:1" ht="17.149999999999999" customHeight="1">
      <c r="A432" s="1"/>
    </row>
    <row r="433" spans="1:1" ht="17.149999999999999" customHeight="1">
      <c r="A433" s="1"/>
    </row>
    <row r="434" spans="1:1" ht="17.149999999999999" customHeight="1">
      <c r="A434" s="1"/>
    </row>
    <row r="435" spans="1:1" ht="17.149999999999999" customHeight="1">
      <c r="A435" s="1"/>
    </row>
    <row r="436" spans="1:1" ht="17.149999999999999" customHeight="1">
      <c r="A436" s="1"/>
    </row>
    <row r="437" spans="1:1" ht="17.149999999999999" customHeight="1">
      <c r="A437" s="1"/>
    </row>
    <row r="438" spans="1:1" ht="17.149999999999999" customHeight="1">
      <c r="A438" s="1"/>
    </row>
    <row r="439" spans="1:1" ht="17.149999999999999" customHeight="1">
      <c r="A439" s="1"/>
    </row>
    <row r="440" spans="1:1" ht="17.149999999999999" customHeight="1">
      <c r="A440" s="1"/>
    </row>
    <row r="441" spans="1:1" ht="17.149999999999999" customHeight="1">
      <c r="A441" s="1"/>
    </row>
    <row r="442" spans="1:1" ht="17.149999999999999" customHeight="1">
      <c r="A442" s="1"/>
    </row>
    <row r="443" spans="1:1" ht="17.149999999999999" customHeight="1">
      <c r="A443" s="1"/>
    </row>
    <row r="444" spans="1:1" ht="17.149999999999999" customHeight="1">
      <c r="A444" s="1"/>
    </row>
    <row r="445" spans="1:1" ht="17.149999999999999" customHeight="1">
      <c r="A445" s="1"/>
    </row>
    <row r="446" spans="1:1" ht="17.149999999999999" customHeight="1">
      <c r="A446" s="1"/>
    </row>
    <row r="447" spans="1:1" ht="17.149999999999999" customHeight="1">
      <c r="A447" s="1"/>
    </row>
    <row r="448" spans="1:1" ht="17.149999999999999" customHeight="1">
      <c r="A448" s="1"/>
    </row>
    <row r="449" spans="1:1" ht="17.149999999999999" customHeight="1">
      <c r="A449" s="1"/>
    </row>
    <row r="450" spans="1:1" ht="17.149999999999999" customHeight="1">
      <c r="A450" s="1"/>
    </row>
    <row r="451" spans="1:1" ht="17.149999999999999" customHeight="1">
      <c r="A451" s="1"/>
    </row>
    <row r="452" spans="1:1" ht="17.149999999999999" customHeight="1">
      <c r="A452" s="1"/>
    </row>
    <row r="453" spans="1:1" ht="17.149999999999999" customHeight="1">
      <c r="A453" s="1"/>
    </row>
    <row r="454" spans="1:1" ht="17.149999999999999" customHeight="1">
      <c r="A454" s="1"/>
    </row>
    <row r="455" spans="1:1" ht="17.149999999999999" customHeight="1">
      <c r="A455" s="1"/>
    </row>
    <row r="456" spans="1:1" ht="17.149999999999999" customHeight="1">
      <c r="A456" s="1"/>
    </row>
    <row r="457" spans="1:1" ht="17.149999999999999" customHeight="1">
      <c r="A457" s="1"/>
    </row>
    <row r="458" spans="1:1" ht="17.149999999999999" customHeight="1">
      <c r="A458" s="1"/>
    </row>
    <row r="459" spans="1:1" ht="17.149999999999999" customHeight="1">
      <c r="A459" s="1"/>
    </row>
    <row r="460" spans="1:1" ht="17.149999999999999" customHeight="1">
      <c r="A460" s="1"/>
    </row>
    <row r="461" spans="1:1" ht="17.149999999999999" customHeight="1">
      <c r="A461" s="1"/>
    </row>
    <row r="462" spans="1:1" ht="17.149999999999999" customHeight="1">
      <c r="A462" s="1"/>
    </row>
    <row r="463" spans="1:1" ht="17.149999999999999" customHeight="1">
      <c r="A463" s="1"/>
    </row>
    <row r="464" spans="1:1" ht="17.149999999999999" customHeight="1">
      <c r="A464" s="1"/>
    </row>
    <row r="465" spans="1:1" ht="17.149999999999999" customHeight="1">
      <c r="A465" s="1"/>
    </row>
    <row r="466" spans="1:1" ht="17.149999999999999" customHeight="1">
      <c r="A466" s="1"/>
    </row>
    <row r="467" spans="1:1" ht="17.149999999999999" customHeight="1">
      <c r="A467" s="1"/>
    </row>
    <row r="468" spans="1:1" ht="17.149999999999999" customHeight="1">
      <c r="A468" s="1"/>
    </row>
    <row r="469" spans="1:1" ht="17.149999999999999" customHeight="1">
      <c r="A469" s="1"/>
    </row>
    <row r="470" spans="1:1" ht="17.149999999999999" customHeight="1">
      <c r="A470" s="1"/>
    </row>
    <row r="471" spans="1:1" ht="17.149999999999999" customHeight="1">
      <c r="A471" s="1"/>
    </row>
    <row r="472" spans="1:1" ht="17.149999999999999" customHeight="1">
      <c r="A472" s="1"/>
    </row>
    <row r="473" spans="1:1" ht="17.149999999999999" customHeight="1">
      <c r="A473" s="1"/>
    </row>
    <row r="474" spans="1:1" ht="17.149999999999999" customHeight="1">
      <c r="A474" s="1"/>
    </row>
    <row r="475" spans="1:1" ht="17.149999999999999" customHeight="1">
      <c r="A475" s="1"/>
    </row>
    <row r="476" spans="1:1" ht="17.149999999999999" customHeight="1">
      <c r="A476" s="1"/>
    </row>
    <row r="477" spans="1:1" ht="17.149999999999999" customHeight="1">
      <c r="A477" s="1"/>
    </row>
    <row r="478" spans="1:1" ht="17.149999999999999" customHeight="1">
      <c r="A478" s="1"/>
    </row>
    <row r="479" spans="1:1" ht="17.149999999999999" customHeight="1">
      <c r="A479" s="1"/>
    </row>
    <row r="480" spans="1:1" ht="17.149999999999999" customHeight="1">
      <c r="A480" s="1"/>
    </row>
    <row r="481" spans="1:1" ht="17.149999999999999" customHeight="1">
      <c r="A481" s="1"/>
    </row>
    <row r="482" spans="1:1" ht="17.149999999999999" customHeight="1">
      <c r="A482" s="1"/>
    </row>
    <row r="483" spans="1:1" ht="17.149999999999999" customHeight="1">
      <c r="A483" s="1"/>
    </row>
    <row r="484" spans="1:1" ht="17.149999999999999" customHeight="1">
      <c r="A484" s="1"/>
    </row>
    <row r="485" spans="1:1" ht="17.149999999999999" customHeight="1">
      <c r="A485" s="1"/>
    </row>
    <row r="486" spans="1:1" ht="17.149999999999999" customHeight="1">
      <c r="A486" s="1"/>
    </row>
    <row r="487" spans="1:1" ht="17.149999999999999" customHeight="1">
      <c r="A487" s="1"/>
    </row>
    <row r="488" spans="1:1" ht="17.149999999999999" customHeight="1">
      <c r="A488" s="1"/>
    </row>
    <row r="489" spans="1:1" ht="17.149999999999999" customHeight="1">
      <c r="A489" s="1"/>
    </row>
    <row r="490" spans="1:1" ht="17.149999999999999" customHeight="1">
      <c r="A490" s="1"/>
    </row>
    <row r="491" spans="1:1" ht="17.149999999999999" customHeight="1">
      <c r="A491" s="1"/>
    </row>
    <row r="492" spans="1:1" ht="17.149999999999999" customHeight="1">
      <c r="A492" s="1"/>
    </row>
    <row r="493" spans="1:1" ht="17.149999999999999" customHeight="1">
      <c r="A493" s="1"/>
    </row>
    <row r="494" spans="1:1" ht="17.149999999999999" customHeight="1">
      <c r="A494" s="1"/>
    </row>
    <row r="495" spans="1:1" ht="17.149999999999999" customHeight="1">
      <c r="A495" s="1"/>
    </row>
    <row r="496" spans="1:1" ht="17.149999999999999" customHeight="1">
      <c r="A496" s="1"/>
    </row>
    <row r="497" spans="1:1" ht="17.149999999999999" customHeight="1">
      <c r="A497" s="1"/>
    </row>
    <row r="498" spans="1:1" ht="17.149999999999999" customHeight="1">
      <c r="A498" s="1"/>
    </row>
    <row r="499" spans="1:1" ht="17.149999999999999" customHeight="1">
      <c r="A499" s="1"/>
    </row>
    <row r="500" spans="1:1" ht="17.149999999999999" customHeight="1">
      <c r="A500" s="1"/>
    </row>
    <row r="501" spans="1:1" ht="17.149999999999999" customHeight="1">
      <c r="A501" s="1"/>
    </row>
    <row r="502" spans="1:1" ht="17.149999999999999" customHeight="1">
      <c r="A502" s="1"/>
    </row>
    <row r="503" spans="1:1" ht="17.149999999999999" customHeight="1">
      <c r="A503" s="1"/>
    </row>
    <row r="504" spans="1:1" ht="17.149999999999999" customHeight="1">
      <c r="A504" s="1"/>
    </row>
    <row r="505" spans="1:1" ht="17.149999999999999" customHeight="1">
      <c r="A505" s="1"/>
    </row>
    <row r="506" spans="1:1" ht="17.149999999999999" customHeight="1">
      <c r="A506" s="1"/>
    </row>
    <row r="507" spans="1:1" ht="17.149999999999999" customHeight="1">
      <c r="A507" s="1"/>
    </row>
    <row r="508" spans="1:1" ht="17.149999999999999" customHeight="1">
      <c r="A508" s="1"/>
    </row>
    <row r="509" spans="1:1" ht="17.149999999999999" customHeight="1">
      <c r="A509" s="1"/>
    </row>
    <row r="510" spans="1:1" ht="17.149999999999999" customHeight="1">
      <c r="A510" s="1"/>
    </row>
    <row r="511" spans="1:1" ht="17.149999999999999" customHeight="1">
      <c r="A511" s="1"/>
    </row>
    <row r="512" spans="1:1" ht="17.149999999999999" customHeight="1">
      <c r="A512" s="1"/>
    </row>
    <row r="513" spans="1:1" ht="17.149999999999999" customHeight="1">
      <c r="A513" s="1"/>
    </row>
    <row r="514" spans="1:1" ht="17.149999999999999" customHeight="1">
      <c r="A514" s="1"/>
    </row>
    <row r="515" spans="1:1" ht="17.149999999999999" customHeight="1">
      <c r="A515" s="1"/>
    </row>
    <row r="516" spans="1:1" ht="17.149999999999999" customHeight="1">
      <c r="A516" s="1"/>
    </row>
    <row r="517" spans="1:1" ht="17.149999999999999" customHeight="1">
      <c r="A517" s="1"/>
    </row>
    <row r="518" spans="1:1" ht="17.149999999999999" customHeight="1">
      <c r="A518" s="1"/>
    </row>
    <row r="519" spans="1:1" ht="17.149999999999999" customHeight="1">
      <c r="A519" s="1"/>
    </row>
    <row r="520" spans="1:1" ht="17.149999999999999" customHeight="1">
      <c r="A520" s="1"/>
    </row>
    <row r="521" spans="1:1" ht="17.149999999999999" customHeight="1">
      <c r="A521" s="1"/>
    </row>
    <row r="522" spans="1:1" ht="17.149999999999999" customHeight="1">
      <c r="A522" s="1"/>
    </row>
    <row r="523" spans="1:1" ht="17.149999999999999" customHeight="1">
      <c r="A523" s="1"/>
    </row>
    <row r="524" spans="1:1" ht="17.149999999999999" customHeight="1">
      <c r="A524" s="1"/>
    </row>
    <row r="525" spans="1:1" ht="17.149999999999999" customHeight="1">
      <c r="A525" s="1"/>
    </row>
    <row r="526" spans="1:1" ht="17.149999999999999" customHeight="1">
      <c r="A526" s="1"/>
    </row>
    <row r="527" spans="1:1" ht="17.149999999999999" customHeight="1">
      <c r="A527" s="1"/>
    </row>
    <row r="528" spans="1:1" ht="17.149999999999999" customHeight="1">
      <c r="A528" s="1"/>
    </row>
    <row r="529" spans="1:1" ht="17.149999999999999" customHeight="1">
      <c r="A529" s="1"/>
    </row>
    <row r="530" spans="1:1" ht="17.149999999999999" customHeight="1">
      <c r="A530" s="1"/>
    </row>
    <row r="531" spans="1:1" ht="17.149999999999999" customHeight="1">
      <c r="A531" s="1"/>
    </row>
    <row r="532" spans="1:1" ht="17.149999999999999" customHeight="1">
      <c r="A532" s="1"/>
    </row>
    <row r="533" spans="1:1" ht="17.149999999999999" customHeight="1">
      <c r="A533" s="1"/>
    </row>
    <row r="534" spans="1:1" ht="17.149999999999999" customHeight="1">
      <c r="A534" s="1"/>
    </row>
    <row r="535" spans="1:1" ht="17.149999999999999" customHeight="1">
      <c r="A535" s="1"/>
    </row>
    <row r="536" spans="1:1" ht="17.149999999999999" customHeight="1">
      <c r="A536" s="1"/>
    </row>
    <row r="537" spans="1:1" ht="17.149999999999999" customHeight="1">
      <c r="A537" s="1"/>
    </row>
    <row r="538" spans="1:1" ht="17.149999999999999" customHeight="1">
      <c r="A538" s="1"/>
    </row>
    <row r="539" spans="1:1" ht="17.149999999999999" customHeight="1">
      <c r="A539" s="1"/>
    </row>
    <row r="540" spans="1:1" ht="17.149999999999999" customHeight="1">
      <c r="A540" s="1"/>
    </row>
    <row r="541" spans="1:1" ht="17.149999999999999" customHeight="1">
      <c r="A541" s="1"/>
    </row>
    <row r="542" spans="1:1" ht="17.149999999999999" customHeight="1">
      <c r="A542" s="1"/>
    </row>
    <row r="543" spans="1:1" ht="17.149999999999999" customHeight="1">
      <c r="A543" s="1"/>
    </row>
    <row r="544" spans="1:1" ht="17.149999999999999" customHeight="1">
      <c r="A544" s="1"/>
    </row>
    <row r="545" spans="1:1" ht="17.149999999999999" customHeight="1">
      <c r="A545" s="1"/>
    </row>
    <row r="546" spans="1:1" ht="17.149999999999999" customHeight="1">
      <c r="A546" s="1"/>
    </row>
    <row r="547" spans="1:1" ht="17.149999999999999" customHeight="1">
      <c r="A547" s="1"/>
    </row>
    <row r="548" spans="1:1" ht="17.149999999999999" customHeight="1">
      <c r="A548" s="1"/>
    </row>
    <row r="549" spans="1:1" ht="17.149999999999999" customHeight="1">
      <c r="A549" s="1"/>
    </row>
    <row r="550" spans="1:1" ht="17.149999999999999" customHeight="1">
      <c r="A550" s="1"/>
    </row>
    <row r="551" spans="1:1" ht="17.149999999999999" customHeight="1">
      <c r="A551" s="1"/>
    </row>
    <row r="552" spans="1:1" ht="17.149999999999999" customHeight="1">
      <c r="A552" s="1"/>
    </row>
    <row r="553" spans="1:1" ht="17.149999999999999" customHeight="1">
      <c r="A553" s="1"/>
    </row>
    <row r="554" spans="1:1" ht="17.149999999999999" customHeight="1">
      <c r="A554" s="1"/>
    </row>
    <row r="555" spans="1:1" ht="17.149999999999999" customHeight="1">
      <c r="A555" s="1"/>
    </row>
    <row r="556" spans="1:1" ht="17.149999999999999" customHeight="1">
      <c r="A556" s="1"/>
    </row>
    <row r="557" spans="1:1" ht="17.149999999999999" customHeight="1">
      <c r="A557" s="1"/>
    </row>
    <row r="558" spans="1:1" ht="17.149999999999999" customHeight="1">
      <c r="A558" s="1"/>
    </row>
    <row r="559" spans="1:1" ht="17.149999999999999" customHeight="1">
      <c r="A559" s="1"/>
    </row>
    <row r="560" spans="1:1" ht="17.149999999999999" customHeight="1">
      <c r="A560" s="1"/>
    </row>
    <row r="561" spans="1:1" ht="17.149999999999999" customHeight="1">
      <c r="A561" s="1"/>
    </row>
    <row r="562" spans="1:1" ht="17.149999999999999" customHeight="1">
      <c r="A562" s="1"/>
    </row>
    <row r="563" spans="1:1" ht="17.149999999999999" customHeight="1">
      <c r="A563" s="1"/>
    </row>
    <row r="564" spans="1:1" ht="17.149999999999999" customHeight="1">
      <c r="A564" s="1"/>
    </row>
    <row r="565" spans="1:1" ht="17.149999999999999" customHeight="1">
      <c r="A565" s="1"/>
    </row>
    <row r="566" spans="1:1" ht="17.149999999999999" customHeight="1">
      <c r="A566" s="1"/>
    </row>
    <row r="567" spans="1:1" ht="17.149999999999999" customHeight="1">
      <c r="A567" s="1"/>
    </row>
    <row r="568" spans="1:1" ht="17.149999999999999" customHeight="1">
      <c r="A568" s="1"/>
    </row>
    <row r="569" spans="1:1" ht="17.149999999999999" customHeight="1">
      <c r="A569" s="1"/>
    </row>
    <row r="570" spans="1:1" ht="17.149999999999999" customHeight="1">
      <c r="A570" s="1"/>
    </row>
    <row r="571" spans="1:1" ht="17.149999999999999" customHeight="1">
      <c r="A571" s="1"/>
    </row>
    <row r="572" spans="1:1" ht="17.149999999999999" customHeight="1">
      <c r="A572" s="1"/>
    </row>
    <row r="573" spans="1:1" ht="17.149999999999999" customHeight="1">
      <c r="A573" s="1"/>
    </row>
    <row r="574" spans="1:1" ht="17.149999999999999" customHeight="1">
      <c r="A574" s="1"/>
    </row>
    <row r="575" spans="1:1" ht="17.149999999999999" customHeight="1">
      <c r="A575" s="1"/>
    </row>
    <row r="576" spans="1:1" ht="17.149999999999999" customHeight="1">
      <c r="A576" s="1"/>
    </row>
    <row r="577" spans="1:1" ht="17.149999999999999" customHeight="1">
      <c r="A577" s="1"/>
    </row>
    <row r="578" spans="1:1" ht="17.149999999999999" customHeight="1">
      <c r="A578" s="1"/>
    </row>
    <row r="579" spans="1:1" ht="17.149999999999999" customHeight="1">
      <c r="A579" s="1"/>
    </row>
    <row r="580" spans="1:1" ht="17.149999999999999" customHeight="1">
      <c r="A580" s="1"/>
    </row>
    <row r="581" spans="1:1" ht="17.149999999999999" customHeight="1">
      <c r="A581" s="1"/>
    </row>
    <row r="582" spans="1:1" ht="17.149999999999999" customHeight="1">
      <c r="A582" s="1"/>
    </row>
    <row r="583" spans="1:1" ht="17.149999999999999" customHeight="1">
      <c r="A583" s="1"/>
    </row>
    <row r="584" spans="1:1" ht="17.149999999999999" customHeight="1">
      <c r="A584" s="1"/>
    </row>
    <row r="585" spans="1:1" ht="17.149999999999999" customHeight="1">
      <c r="A585" s="1"/>
    </row>
    <row r="586" spans="1:1" ht="17.149999999999999" customHeight="1">
      <c r="A586" s="1"/>
    </row>
    <row r="587" spans="1:1" ht="17.149999999999999" customHeight="1">
      <c r="A587" s="1"/>
    </row>
    <row r="588" spans="1:1" ht="17.149999999999999" customHeight="1">
      <c r="A588" s="1"/>
    </row>
    <row r="589" spans="1:1" ht="17.149999999999999" customHeight="1">
      <c r="A589" s="1"/>
    </row>
    <row r="590" spans="1:1" ht="17.149999999999999" customHeight="1">
      <c r="A590" s="1"/>
    </row>
    <row r="591" spans="1:1" ht="17.149999999999999" customHeight="1">
      <c r="A591" s="1"/>
    </row>
    <row r="592" spans="1:1" ht="17.149999999999999" customHeight="1">
      <c r="A592" s="1"/>
    </row>
    <row r="593" spans="1:1" ht="17.149999999999999" customHeight="1">
      <c r="A593" s="1"/>
    </row>
    <row r="594" spans="1:1" ht="17.149999999999999" customHeight="1">
      <c r="A594" s="1"/>
    </row>
    <row r="595" spans="1:1" ht="17.149999999999999" customHeight="1">
      <c r="A595" s="1"/>
    </row>
    <row r="596" spans="1:1" ht="17.149999999999999" customHeight="1">
      <c r="A596" s="1"/>
    </row>
    <row r="597" spans="1:1" ht="17.149999999999999" customHeight="1">
      <c r="A597" s="1"/>
    </row>
    <row r="598" spans="1:1" ht="17.149999999999999" customHeight="1">
      <c r="A598" s="1"/>
    </row>
    <row r="599" spans="1:1" ht="17.149999999999999" customHeight="1">
      <c r="A599" s="1"/>
    </row>
    <row r="600" spans="1:1" ht="17.149999999999999" customHeight="1">
      <c r="A600" s="1"/>
    </row>
    <row r="601" spans="1:1" ht="17.149999999999999" customHeight="1">
      <c r="A601" s="1"/>
    </row>
    <row r="602" spans="1:1" ht="17.149999999999999" customHeight="1">
      <c r="A602" s="1"/>
    </row>
    <row r="603" spans="1:1" ht="17.149999999999999" customHeight="1">
      <c r="A603" s="1"/>
    </row>
    <row r="604" spans="1:1" ht="17.149999999999999" customHeight="1">
      <c r="A604" s="1"/>
    </row>
    <row r="605" spans="1:1" ht="17.149999999999999" customHeight="1">
      <c r="A605" s="1"/>
    </row>
    <row r="606" spans="1:1" ht="17.149999999999999" customHeight="1">
      <c r="A606" s="1"/>
    </row>
    <row r="607" spans="1:1" ht="17.149999999999999" customHeight="1">
      <c r="A607" s="1"/>
    </row>
    <row r="608" spans="1:1" ht="17.149999999999999" customHeight="1">
      <c r="A608" s="1"/>
    </row>
    <row r="609" spans="1:1" ht="17.149999999999999" customHeight="1">
      <c r="A609" s="1"/>
    </row>
    <row r="610" spans="1:1" ht="17.149999999999999" customHeight="1">
      <c r="A610" s="1"/>
    </row>
    <row r="611" spans="1:1" ht="17.149999999999999" customHeight="1">
      <c r="A611" s="1"/>
    </row>
    <row r="612" spans="1:1" ht="17.149999999999999" customHeight="1">
      <c r="A612" s="1"/>
    </row>
    <row r="613" spans="1:1" ht="17.149999999999999" customHeight="1">
      <c r="A613" s="1"/>
    </row>
    <row r="614" spans="1:1" ht="17.149999999999999" customHeight="1">
      <c r="A614" s="1"/>
    </row>
    <row r="615" spans="1:1" ht="17.149999999999999" customHeight="1">
      <c r="A615" s="1"/>
    </row>
    <row r="616" spans="1:1" ht="17.149999999999999" customHeight="1">
      <c r="A616" s="1"/>
    </row>
    <row r="617" spans="1:1" ht="17.149999999999999" customHeight="1">
      <c r="A617" s="1"/>
    </row>
    <row r="618" spans="1:1" ht="17.149999999999999" customHeight="1">
      <c r="A618" s="1"/>
    </row>
    <row r="619" spans="1:1" ht="17.149999999999999" customHeight="1">
      <c r="A619" s="1"/>
    </row>
    <row r="620" spans="1:1" ht="17.149999999999999" customHeight="1">
      <c r="A620" s="1"/>
    </row>
    <row r="621" spans="1:1" ht="17.149999999999999" customHeight="1">
      <c r="A621" s="1"/>
    </row>
    <row r="622" spans="1:1" ht="17.149999999999999" customHeight="1">
      <c r="A622" s="1"/>
    </row>
    <row r="623" spans="1:1" ht="17.149999999999999" customHeight="1">
      <c r="A623" s="1"/>
    </row>
    <row r="624" spans="1:1" ht="17.149999999999999" customHeight="1">
      <c r="A624" s="1"/>
    </row>
    <row r="625" spans="1:1" ht="17.149999999999999" customHeight="1">
      <c r="A625" s="1"/>
    </row>
    <row r="626" spans="1:1" ht="17.149999999999999" customHeight="1">
      <c r="A626" s="1"/>
    </row>
    <row r="627" spans="1:1" ht="17.149999999999999" customHeight="1">
      <c r="A627" s="1"/>
    </row>
    <row r="628" spans="1:1" ht="17.149999999999999" customHeight="1">
      <c r="A628" s="1"/>
    </row>
    <row r="629" spans="1:1" ht="17.149999999999999" customHeight="1">
      <c r="A629" s="1"/>
    </row>
    <row r="630" spans="1:1" ht="17.149999999999999" customHeight="1">
      <c r="A630" s="1"/>
    </row>
    <row r="631" spans="1:1" ht="17.149999999999999" customHeight="1">
      <c r="A631" s="1"/>
    </row>
    <row r="632" spans="1:1" ht="17.149999999999999" customHeight="1">
      <c r="A632" s="1"/>
    </row>
    <row r="633" spans="1:1" ht="17.149999999999999" customHeight="1">
      <c r="A633" s="1"/>
    </row>
    <row r="634" spans="1:1" ht="17.149999999999999" customHeight="1">
      <c r="A634" s="1"/>
    </row>
    <row r="635" spans="1:1" ht="17.149999999999999" customHeight="1">
      <c r="A635" s="1"/>
    </row>
    <row r="636" spans="1:1" ht="17.149999999999999" customHeight="1">
      <c r="A636" s="1"/>
    </row>
    <row r="637" spans="1:1" ht="17.149999999999999" customHeight="1">
      <c r="A637" s="1"/>
    </row>
    <row r="638" spans="1:1" ht="17.149999999999999" customHeight="1">
      <c r="A638" s="1"/>
    </row>
    <row r="639" spans="1:1" ht="17.149999999999999" customHeight="1">
      <c r="A639" s="1"/>
    </row>
    <row r="640" spans="1:1" ht="17.149999999999999" customHeight="1">
      <c r="A640" s="1"/>
    </row>
    <row r="641" spans="1:1" ht="17.149999999999999" customHeight="1">
      <c r="A641" s="1"/>
    </row>
    <row r="642" spans="1:1" ht="17.149999999999999" customHeight="1">
      <c r="A642" s="1"/>
    </row>
    <row r="643" spans="1:1" ht="17.149999999999999" customHeight="1">
      <c r="A643" s="1"/>
    </row>
    <row r="644" spans="1:1" ht="17.149999999999999" customHeight="1">
      <c r="A644" s="1"/>
    </row>
    <row r="645" spans="1:1" ht="17.149999999999999" customHeight="1">
      <c r="A645" s="1"/>
    </row>
    <row r="646" spans="1:1" ht="17.149999999999999" customHeight="1">
      <c r="A646" s="1"/>
    </row>
    <row r="647" spans="1:1" ht="17.149999999999999" customHeight="1">
      <c r="A647" s="1"/>
    </row>
    <row r="648" spans="1:1" ht="17.149999999999999" customHeight="1">
      <c r="A648" s="1"/>
    </row>
    <row r="649" spans="1:1" ht="17.149999999999999" customHeight="1">
      <c r="A649" s="1"/>
    </row>
    <row r="650" spans="1:1" ht="17.149999999999999" customHeight="1">
      <c r="A650" s="1"/>
    </row>
    <row r="651" spans="1:1" ht="17.149999999999999" customHeight="1">
      <c r="A651" s="1"/>
    </row>
    <row r="652" spans="1:1" ht="17.149999999999999" customHeight="1">
      <c r="A652" s="1"/>
    </row>
    <row r="653" spans="1:1" ht="17.149999999999999" customHeight="1">
      <c r="A653" s="1"/>
    </row>
    <row r="654" spans="1:1" ht="17.149999999999999" customHeight="1">
      <c r="A654" s="1"/>
    </row>
    <row r="655" spans="1:1" ht="17.149999999999999" customHeight="1">
      <c r="A655" s="1"/>
    </row>
    <row r="656" spans="1:1" ht="17.149999999999999" customHeight="1">
      <c r="A656" s="1"/>
    </row>
    <row r="657" spans="1:1" ht="17.149999999999999" customHeight="1">
      <c r="A657" s="1"/>
    </row>
    <row r="658" spans="1:1" ht="17.149999999999999" customHeight="1">
      <c r="A658" s="1"/>
    </row>
    <row r="659" spans="1:1" ht="17.149999999999999" customHeight="1">
      <c r="A659" s="1"/>
    </row>
    <row r="660" spans="1:1" ht="17.149999999999999" customHeight="1">
      <c r="A660" s="1"/>
    </row>
    <row r="661" spans="1:1" ht="17.149999999999999" customHeight="1">
      <c r="A661" s="1"/>
    </row>
    <row r="662" spans="1:1" ht="17.149999999999999" customHeight="1">
      <c r="A662" s="1"/>
    </row>
    <row r="663" spans="1:1" ht="17.149999999999999" customHeight="1">
      <c r="A663" s="1"/>
    </row>
    <row r="664" spans="1:1" ht="17.149999999999999" customHeight="1">
      <c r="A664" s="1"/>
    </row>
    <row r="665" spans="1:1" ht="17.149999999999999" customHeight="1">
      <c r="A665" s="1"/>
    </row>
    <row r="666" spans="1:1" ht="17.149999999999999" customHeight="1">
      <c r="A666" s="1"/>
    </row>
    <row r="667" spans="1:1" ht="17.149999999999999" customHeight="1">
      <c r="A667" s="1"/>
    </row>
    <row r="668" spans="1:1" ht="17.149999999999999" customHeight="1">
      <c r="A668" s="1"/>
    </row>
    <row r="669" spans="1:1" ht="17.149999999999999" customHeight="1">
      <c r="A669" s="1"/>
    </row>
    <row r="670" spans="1:1" ht="17.149999999999999" customHeight="1">
      <c r="A670" s="1"/>
    </row>
    <row r="671" spans="1:1" ht="17.149999999999999" customHeight="1">
      <c r="A671" s="1"/>
    </row>
    <row r="672" spans="1:1" ht="17.149999999999999" customHeight="1">
      <c r="A672" s="1"/>
    </row>
    <row r="673" spans="1:1" ht="17.149999999999999" customHeight="1">
      <c r="A673" s="1"/>
    </row>
    <row r="674" spans="1:1" ht="17.149999999999999" customHeight="1">
      <c r="A674" s="1"/>
    </row>
    <row r="675" spans="1:1" ht="17.149999999999999" customHeight="1">
      <c r="A675" s="1"/>
    </row>
    <row r="676" spans="1:1" ht="17.149999999999999" customHeight="1">
      <c r="A676" s="1"/>
    </row>
    <row r="677" spans="1:1" ht="17.149999999999999" customHeight="1">
      <c r="A677" s="1"/>
    </row>
    <row r="678" spans="1:1" ht="17.149999999999999" customHeight="1">
      <c r="A678" s="1"/>
    </row>
    <row r="679" spans="1:1" ht="17.149999999999999" customHeight="1">
      <c r="A679" s="1"/>
    </row>
    <row r="680" spans="1:1" ht="17.149999999999999" customHeight="1">
      <c r="A680" s="1"/>
    </row>
    <row r="681" spans="1:1" ht="17.149999999999999" customHeight="1">
      <c r="A681" s="1"/>
    </row>
    <row r="682" spans="1:1" ht="17.149999999999999" customHeight="1">
      <c r="A682" s="1"/>
    </row>
    <row r="683" spans="1:1" ht="17.149999999999999" customHeight="1">
      <c r="A683" s="1"/>
    </row>
    <row r="684" spans="1:1" ht="17.149999999999999" customHeight="1">
      <c r="A684" s="1"/>
    </row>
    <row r="685" spans="1:1" ht="17.149999999999999" customHeight="1">
      <c r="A685" s="1"/>
    </row>
    <row r="686" spans="1:1" ht="17.149999999999999" customHeight="1">
      <c r="A686" s="1"/>
    </row>
    <row r="687" spans="1:1" ht="17.149999999999999" customHeight="1">
      <c r="A687" s="1"/>
    </row>
    <row r="688" spans="1:1" ht="17.149999999999999" customHeight="1">
      <c r="A688" s="1"/>
    </row>
    <row r="689" spans="1:1" ht="17.149999999999999" customHeight="1">
      <c r="A689" s="1"/>
    </row>
    <row r="690" spans="1:1" ht="17.149999999999999" customHeight="1">
      <c r="A690" s="1"/>
    </row>
    <row r="691" spans="1:1" ht="17.149999999999999" customHeight="1">
      <c r="A691" s="1"/>
    </row>
    <row r="692" spans="1:1" ht="17.149999999999999" customHeight="1">
      <c r="A692" s="1"/>
    </row>
    <row r="693" spans="1:1" ht="17.149999999999999" customHeight="1">
      <c r="A693" s="1"/>
    </row>
    <row r="694" spans="1:1" ht="17.149999999999999" customHeight="1">
      <c r="A694" s="1"/>
    </row>
    <row r="695" spans="1:1" ht="17.149999999999999" customHeight="1">
      <c r="A695" s="1"/>
    </row>
    <row r="696" spans="1:1" ht="17.149999999999999" customHeight="1">
      <c r="A696" s="1"/>
    </row>
    <row r="697" spans="1:1" ht="17.149999999999999" customHeight="1">
      <c r="A697" s="1"/>
    </row>
    <row r="698" spans="1:1" ht="17.149999999999999" customHeight="1">
      <c r="A698" s="1"/>
    </row>
    <row r="699" spans="1:1" ht="17.149999999999999" customHeight="1">
      <c r="A699" s="1"/>
    </row>
    <row r="700" spans="1:1" ht="17.149999999999999" customHeight="1">
      <c r="A700" s="1"/>
    </row>
    <row r="701" spans="1:1" ht="17.149999999999999" customHeight="1">
      <c r="A701" s="1"/>
    </row>
    <row r="702" spans="1:1" ht="17.149999999999999" customHeight="1">
      <c r="A702" s="1"/>
    </row>
    <row r="703" spans="1:1" ht="17.149999999999999" customHeight="1">
      <c r="A703" s="1"/>
    </row>
    <row r="704" spans="1:1" ht="17.149999999999999" customHeight="1">
      <c r="A704" s="1"/>
    </row>
    <row r="705" spans="1:1" ht="17.149999999999999" customHeight="1">
      <c r="A705" s="1"/>
    </row>
    <row r="706" spans="1:1" ht="17.149999999999999" customHeight="1">
      <c r="A706" s="1"/>
    </row>
    <row r="707" spans="1:1" ht="17.149999999999999" customHeight="1">
      <c r="A707" s="1"/>
    </row>
    <row r="708" spans="1:1" ht="17.149999999999999" customHeight="1">
      <c r="A708" s="1"/>
    </row>
    <row r="709" spans="1:1" ht="17.149999999999999" customHeight="1">
      <c r="A709" s="1"/>
    </row>
    <row r="710" spans="1:1" ht="17.149999999999999" customHeight="1">
      <c r="A710" s="1"/>
    </row>
    <row r="711" spans="1:1" ht="17.149999999999999" customHeight="1">
      <c r="A711" s="1"/>
    </row>
    <row r="712" spans="1:1" ht="17.149999999999999" customHeight="1">
      <c r="A712" s="1"/>
    </row>
    <row r="713" spans="1:1" ht="17.149999999999999" customHeight="1">
      <c r="A713" s="1"/>
    </row>
    <row r="714" spans="1:1" ht="17.149999999999999" customHeight="1">
      <c r="A714" s="1"/>
    </row>
    <row r="715" spans="1:1" ht="17.149999999999999" customHeight="1">
      <c r="A715" s="1"/>
    </row>
    <row r="716" spans="1:1" ht="17.149999999999999" customHeight="1">
      <c r="A716" s="1"/>
    </row>
    <row r="717" spans="1:1" ht="17.149999999999999" customHeight="1">
      <c r="A717" s="1"/>
    </row>
    <row r="718" spans="1:1" ht="17.149999999999999" customHeight="1">
      <c r="A718" s="1"/>
    </row>
    <row r="719" spans="1:1" ht="17.149999999999999" customHeight="1">
      <c r="A719" s="1"/>
    </row>
    <row r="720" spans="1:1" ht="17.149999999999999" customHeight="1">
      <c r="A720" s="1"/>
    </row>
    <row r="721" spans="1:1" ht="17.149999999999999" customHeight="1">
      <c r="A721" s="1"/>
    </row>
    <row r="722" spans="1:1" ht="17.149999999999999" customHeight="1">
      <c r="A722" s="1"/>
    </row>
    <row r="723" spans="1:1" ht="17.149999999999999" customHeight="1">
      <c r="A723" s="1"/>
    </row>
    <row r="724" spans="1:1" ht="17.149999999999999" customHeight="1">
      <c r="A724" s="1"/>
    </row>
    <row r="725" spans="1:1" ht="17.149999999999999" customHeight="1">
      <c r="A725" s="1"/>
    </row>
    <row r="726" spans="1:1" ht="17.149999999999999" customHeight="1">
      <c r="A726" s="1"/>
    </row>
    <row r="727" spans="1:1" ht="17.149999999999999" customHeight="1">
      <c r="A727" s="1"/>
    </row>
    <row r="728" spans="1:1" ht="17.149999999999999" customHeight="1">
      <c r="A728" s="1"/>
    </row>
    <row r="729" spans="1:1" ht="17.149999999999999" customHeight="1">
      <c r="A729" s="1"/>
    </row>
    <row r="730" spans="1:1" ht="17.149999999999999" customHeight="1">
      <c r="A730" s="1"/>
    </row>
    <row r="731" spans="1:1" ht="17.149999999999999" customHeight="1">
      <c r="A731" s="1"/>
    </row>
    <row r="732" spans="1:1" ht="17.149999999999999" customHeight="1">
      <c r="A732" s="1"/>
    </row>
    <row r="733" spans="1:1" ht="17.149999999999999" customHeight="1">
      <c r="A733" s="1"/>
    </row>
    <row r="734" spans="1:1" ht="17.149999999999999" customHeight="1">
      <c r="A734" s="1"/>
    </row>
    <row r="735" spans="1:1" ht="17.149999999999999" customHeight="1">
      <c r="A735" s="1"/>
    </row>
    <row r="736" spans="1:1" ht="17.149999999999999" customHeight="1">
      <c r="A736" s="1"/>
    </row>
    <row r="737" spans="1:1" ht="17.149999999999999" customHeight="1">
      <c r="A737" s="1"/>
    </row>
    <row r="738" spans="1:1" ht="17.149999999999999" customHeight="1">
      <c r="A738" s="1"/>
    </row>
    <row r="739" spans="1:1" ht="17.149999999999999" customHeight="1">
      <c r="A739" s="1"/>
    </row>
    <row r="740" spans="1:1" ht="17.149999999999999" customHeight="1">
      <c r="A740" s="1"/>
    </row>
    <row r="741" spans="1:1" ht="17.149999999999999" customHeight="1">
      <c r="A741" s="1"/>
    </row>
    <row r="742" spans="1:1" ht="17.149999999999999" customHeight="1">
      <c r="A742" s="1"/>
    </row>
    <row r="743" spans="1:1" ht="17.149999999999999" customHeight="1">
      <c r="A743" s="1"/>
    </row>
    <row r="744" spans="1:1" ht="17.149999999999999" customHeight="1">
      <c r="A744" s="1"/>
    </row>
    <row r="745" spans="1:1" ht="17.149999999999999" customHeight="1">
      <c r="A745" s="1"/>
    </row>
    <row r="746" spans="1:1" ht="17.149999999999999" customHeight="1">
      <c r="A746" s="1"/>
    </row>
    <row r="747" spans="1:1" ht="17.149999999999999" customHeight="1">
      <c r="A747" s="1"/>
    </row>
    <row r="748" spans="1:1" ht="17.149999999999999" customHeight="1">
      <c r="A748" s="1"/>
    </row>
    <row r="749" spans="1:1" ht="17.149999999999999" customHeight="1">
      <c r="A749" s="1"/>
    </row>
    <row r="750" spans="1:1" ht="17.149999999999999" customHeight="1">
      <c r="A750" s="1"/>
    </row>
    <row r="751" spans="1:1" ht="17.149999999999999" customHeight="1">
      <c r="A751" s="1"/>
    </row>
    <row r="752" spans="1:1" ht="17.149999999999999" customHeight="1">
      <c r="A752" s="1"/>
    </row>
    <row r="753" spans="1:1" ht="17.149999999999999" customHeight="1">
      <c r="A753" s="1"/>
    </row>
    <row r="754" spans="1:1" ht="17.149999999999999" customHeight="1">
      <c r="A754" s="1"/>
    </row>
    <row r="755" spans="1:1" ht="17.149999999999999" customHeight="1">
      <c r="A755" s="1"/>
    </row>
    <row r="756" spans="1:1" ht="17.149999999999999" customHeight="1">
      <c r="A756" s="1"/>
    </row>
    <row r="757" spans="1:1" ht="17.149999999999999" customHeight="1">
      <c r="A757" s="1"/>
    </row>
    <row r="758" spans="1:1" ht="17.149999999999999" customHeight="1">
      <c r="A758" s="1"/>
    </row>
    <row r="759" spans="1:1" ht="17.149999999999999" customHeight="1">
      <c r="A759" s="1"/>
    </row>
    <row r="760" spans="1:1" ht="17.149999999999999" customHeight="1">
      <c r="A760" s="1"/>
    </row>
    <row r="761" spans="1:1" ht="17.149999999999999" customHeight="1">
      <c r="A761" s="1"/>
    </row>
    <row r="762" spans="1:1" ht="17.149999999999999" customHeight="1">
      <c r="A762" s="1"/>
    </row>
    <row r="763" spans="1:1" ht="17.149999999999999" customHeight="1">
      <c r="A763" s="1"/>
    </row>
    <row r="764" spans="1:1" ht="17.149999999999999" customHeight="1">
      <c r="A764" s="1"/>
    </row>
    <row r="765" spans="1:1" ht="17.149999999999999" customHeight="1">
      <c r="A765" s="1"/>
    </row>
    <row r="766" spans="1:1" ht="17.149999999999999" customHeight="1">
      <c r="A766" s="1"/>
    </row>
    <row r="767" spans="1:1" ht="17.149999999999999" customHeight="1">
      <c r="A767" s="1"/>
    </row>
    <row r="768" spans="1:1" ht="17.149999999999999" customHeight="1">
      <c r="A768" s="1"/>
    </row>
    <row r="769" spans="1:1" ht="17.149999999999999" customHeight="1">
      <c r="A769" s="1"/>
    </row>
    <row r="770" spans="1:1" ht="17.149999999999999" customHeight="1">
      <c r="A770" s="1"/>
    </row>
    <row r="771" spans="1:1" ht="17.149999999999999" customHeight="1">
      <c r="A771" s="1"/>
    </row>
    <row r="772" spans="1:1" ht="17.149999999999999" customHeight="1">
      <c r="A772" s="1"/>
    </row>
    <row r="773" spans="1:1" ht="17.149999999999999" customHeight="1">
      <c r="A773" s="1"/>
    </row>
    <row r="774" spans="1:1" ht="17.149999999999999" customHeight="1">
      <c r="A774" s="1"/>
    </row>
    <row r="775" spans="1:1" ht="17.149999999999999" customHeight="1">
      <c r="A775" s="1"/>
    </row>
    <row r="776" spans="1:1" ht="17.149999999999999" customHeight="1">
      <c r="A776" s="1"/>
    </row>
    <row r="777" spans="1:1" ht="17.149999999999999" customHeight="1">
      <c r="A777" s="1"/>
    </row>
    <row r="778" spans="1:1" ht="17.149999999999999" customHeight="1">
      <c r="A778" s="1"/>
    </row>
    <row r="779" spans="1:1" ht="17.149999999999999" customHeight="1">
      <c r="A779" s="1"/>
    </row>
    <row r="780" spans="1:1" ht="17.149999999999999" customHeight="1">
      <c r="A780" s="1"/>
    </row>
    <row r="781" spans="1:1" ht="17.149999999999999" customHeight="1">
      <c r="A781" s="1"/>
    </row>
    <row r="782" spans="1:1" ht="17.149999999999999" customHeight="1">
      <c r="A782" s="1"/>
    </row>
    <row r="783" spans="1:1" ht="17.149999999999999" customHeight="1">
      <c r="A783" s="1"/>
    </row>
    <row r="784" spans="1:1" ht="17.149999999999999" customHeight="1">
      <c r="A784" s="1"/>
    </row>
    <row r="785" spans="1:1" ht="17.149999999999999" customHeight="1">
      <c r="A785" s="1"/>
    </row>
    <row r="786" spans="1:1" ht="17.149999999999999" customHeight="1">
      <c r="A786" s="1"/>
    </row>
    <row r="787" spans="1:1" ht="17.149999999999999" customHeight="1">
      <c r="A787" s="1"/>
    </row>
    <row r="788" spans="1:1" ht="17.149999999999999" customHeight="1">
      <c r="A788" s="1"/>
    </row>
    <row r="789" spans="1:1" ht="17.149999999999999" customHeight="1">
      <c r="A789" s="1"/>
    </row>
    <row r="790" spans="1:1" ht="17.149999999999999" customHeight="1">
      <c r="A790" s="1"/>
    </row>
    <row r="791" spans="1:1" ht="17.149999999999999" customHeight="1">
      <c r="A791" s="1"/>
    </row>
    <row r="792" spans="1:1" ht="17.149999999999999" customHeight="1">
      <c r="A792" s="1"/>
    </row>
    <row r="793" spans="1:1" ht="17.149999999999999" customHeight="1">
      <c r="A793" s="1"/>
    </row>
    <row r="794" spans="1:1" ht="17.149999999999999" customHeight="1">
      <c r="A794" s="1"/>
    </row>
    <row r="795" spans="1:1" ht="17.149999999999999" customHeight="1">
      <c r="A795" s="1"/>
    </row>
    <row r="796" spans="1:1" ht="17.149999999999999" customHeight="1">
      <c r="A796" s="1"/>
    </row>
    <row r="797" spans="1:1" ht="17.149999999999999" customHeight="1">
      <c r="A797" s="1"/>
    </row>
    <row r="798" spans="1:1" ht="17.149999999999999" customHeight="1">
      <c r="A798" s="1"/>
    </row>
    <row r="799" spans="1:1" ht="17.149999999999999" customHeight="1">
      <c r="A799" s="1"/>
    </row>
    <row r="800" spans="1:1" ht="17.149999999999999" customHeight="1">
      <c r="A800" s="1"/>
    </row>
    <row r="801" spans="1:1" ht="17.149999999999999" customHeight="1">
      <c r="A801" s="1"/>
    </row>
    <row r="802" spans="1:1" ht="17.149999999999999" customHeight="1">
      <c r="A802" s="1"/>
    </row>
    <row r="803" spans="1:1" ht="17.149999999999999" customHeight="1">
      <c r="A803" s="1"/>
    </row>
    <row r="804" spans="1:1" ht="17.149999999999999" customHeight="1">
      <c r="A804" s="1"/>
    </row>
    <row r="805" spans="1:1" ht="17.149999999999999" customHeight="1">
      <c r="A805" s="1"/>
    </row>
    <row r="806" spans="1:1" ht="17.149999999999999" customHeight="1">
      <c r="A806" s="1"/>
    </row>
    <row r="807" spans="1:1" ht="17.149999999999999" customHeight="1">
      <c r="A807" s="1"/>
    </row>
    <row r="808" spans="1:1" ht="17.149999999999999" customHeight="1">
      <c r="A808" s="1"/>
    </row>
    <row r="809" spans="1:1" ht="17.149999999999999" customHeight="1">
      <c r="A809" s="1"/>
    </row>
    <row r="810" spans="1:1" ht="17.149999999999999" customHeight="1">
      <c r="A810" s="1"/>
    </row>
    <row r="811" spans="1:1" ht="17.149999999999999" customHeight="1">
      <c r="A811" s="1"/>
    </row>
    <row r="812" spans="1:1" ht="17.149999999999999" customHeight="1">
      <c r="A812" s="1"/>
    </row>
    <row r="813" spans="1:1" ht="17.149999999999999" customHeight="1">
      <c r="A813" s="1"/>
    </row>
    <row r="814" spans="1:1" ht="17.149999999999999" customHeight="1">
      <c r="A814" s="1"/>
    </row>
    <row r="815" spans="1:1" ht="17.149999999999999" customHeight="1">
      <c r="A815" s="1"/>
    </row>
    <row r="816" spans="1:1" ht="17.149999999999999" customHeight="1">
      <c r="A816" s="1"/>
    </row>
    <row r="817" spans="1:1" ht="17.149999999999999" customHeight="1">
      <c r="A817" s="1"/>
    </row>
    <row r="818" spans="1:1" ht="17.149999999999999" customHeight="1">
      <c r="A818" s="1"/>
    </row>
    <row r="819" spans="1:1" ht="17.149999999999999" customHeight="1">
      <c r="A819" s="1"/>
    </row>
    <row r="820" spans="1:1" ht="17.149999999999999" customHeight="1">
      <c r="A820" s="1"/>
    </row>
    <row r="821" spans="1:1" ht="17.149999999999999" customHeight="1">
      <c r="A821" s="1"/>
    </row>
    <row r="822" spans="1:1" ht="17.149999999999999" customHeight="1">
      <c r="A822" s="1"/>
    </row>
    <row r="823" spans="1:1" ht="17.149999999999999" customHeight="1">
      <c r="A823" s="1"/>
    </row>
    <row r="824" spans="1:1" ht="17.149999999999999" customHeight="1">
      <c r="A824" s="1"/>
    </row>
    <row r="825" spans="1:1" ht="17.149999999999999" customHeight="1">
      <c r="A825" s="1"/>
    </row>
    <row r="826" spans="1:1" ht="17.149999999999999" customHeight="1">
      <c r="A826" s="1"/>
    </row>
    <row r="827" spans="1:1" ht="17.149999999999999" customHeight="1">
      <c r="A827" s="1"/>
    </row>
    <row r="828" spans="1:1" ht="17.149999999999999" customHeight="1">
      <c r="A828" s="1"/>
    </row>
    <row r="829" spans="1:1" ht="17.149999999999999" customHeight="1">
      <c r="A829" s="1"/>
    </row>
    <row r="830" spans="1:1" ht="17.149999999999999" customHeight="1">
      <c r="A830" s="1"/>
    </row>
    <row r="831" spans="1:1" ht="17.149999999999999" customHeight="1">
      <c r="A831" s="1"/>
    </row>
    <row r="832" spans="1:1" ht="17.149999999999999" customHeight="1">
      <c r="A832" s="1"/>
    </row>
    <row r="833" spans="1:1" ht="17.149999999999999" customHeight="1">
      <c r="A833" s="1"/>
    </row>
    <row r="834" spans="1:1" ht="17.149999999999999" customHeight="1">
      <c r="A834" s="1"/>
    </row>
    <row r="835" spans="1:1" ht="17.149999999999999" customHeight="1">
      <c r="A835" s="1"/>
    </row>
    <row r="836" spans="1:1" ht="17.149999999999999" customHeight="1">
      <c r="A836" s="1"/>
    </row>
    <row r="837" spans="1:1" ht="17.149999999999999" customHeight="1">
      <c r="A837" s="1"/>
    </row>
    <row r="838" spans="1:1" ht="17.149999999999999" customHeight="1">
      <c r="A838" s="1"/>
    </row>
    <row r="839" spans="1:1" ht="17.149999999999999" customHeight="1">
      <c r="A839" s="1"/>
    </row>
    <row r="840" spans="1:1" ht="17.149999999999999" customHeight="1">
      <c r="A840" s="1"/>
    </row>
    <row r="841" spans="1:1" ht="17.149999999999999" customHeight="1">
      <c r="A841" s="1"/>
    </row>
    <row r="842" spans="1:1" ht="17.149999999999999" customHeight="1">
      <c r="A842" s="1"/>
    </row>
    <row r="843" spans="1:1" ht="17.149999999999999" customHeight="1">
      <c r="A843" s="1"/>
    </row>
    <row r="844" spans="1:1" ht="17.149999999999999" customHeight="1">
      <c r="A844" s="1"/>
    </row>
    <row r="845" spans="1:1" ht="17.149999999999999" customHeight="1">
      <c r="A845" s="1"/>
    </row>
    <row r="846" spans="1:1" ht="17.149999999999999" customHeight="1">
      <c r="A846" s="1"/>
    </row>
    <row r="847" spans="1:1" ht="17.149999999999999" customHeight="1">
      <c r="A847" s="1"/>
    </row>
    <row r="848" spans="1:1" ht="17.149999999999999" customHeight="1">
      <c r="A848" s="1"/>
    </row>
    <row r="849" spans="1:1" ht="17.149999999999999" customHeight="1">
      <c r="A849" s="1"/>
    </row>
    <row r="850" spans="1:1" ht="17.149999999999999" customHeight="1">
      <c r="A850" s="1"/>
    </row>
    <row r="851" spans="1:1" ht="17.149999999999999" customHeight="1">
      <c r="A851" s="1"/>
    </row>
    <row r="852" spans="1:1" ht="17.149999999999999" customHeight="1">
      <c r="A852" s="1"/>
    </row>
    <row r="853" spans="1:1" ht="17.149999999999999" customHeight="1">
      <c r="A853" s="1"/>
    </row>
    <row r="854" spans="1:1" ht="17.149999999999999" customHeight="1">
      <c r="A854" s="1"/>
    </row>
    <row r="855" spans="1:1" ht="17.149999999999999" customHeight="1">
      <c r="A855" s="1"/>
    </row>
    <row r="856" spans="1:1" ht="17.149999999999999" customHeight="1">
      <c r="A856" s="1"/>
    </row>
    <row r="857" spans="1:1" ht="17.149999999999999" customHeight="1">
      <c r="A857" s="1"/>
    </row>
    <row r="858" spans="1:1" ht="17.149999999999999" customHeight="1">
      <c r="A858" s="1"/>
    </row>
    <row r="859" spans="1:1" ht="17.149999999999999" customHeight="1">
      <c r="A859" s="1"/>
    </row>
    <row r="860" spans="1:1" ht="17.149999999999999" customHeight="1">
      <c r="A860" s="1"/>
    </row>
    <row r="861" spans="1:1" ht="17.149999999999999" customHeight="1">
      <c r="A861" s="1"/>
    </row>
    <row r="862" spans="1:1" ht="17.149999999999999" customHeight="1">
      <c r="A862" s="1"/>
    </row>
    <row r="863" spans="1:1" ht="17.149999999999999" customHeight="1">
      <c r="A863" s="1"/>
    </row>
    <row r="864" spans="1:1" ht="17.149999999999999" customHeight="1">
      <c r="A864" s="1"/>
    </row>
    <row r="865" spans="1:1" ht="17.149999999999999" customHeight="1">
      <c r="A865" s="1"/>
    </row>
    <row r="866" spans="1:1" ht="17.149999999999999" customHeight="1">
      <c r="A866" s="1"/>
    </row>
    <row r="867" spans="1:1" ht="17.149999999999999" customHeight="1">
      <c r="A867" s="1"/>
    </row>
    <row r="868" spans="1:1" ht="17.149999999999999" customHeight="1">
      <c r="A868" s="1"/>
    </row>
    <row r="869" spans="1:1" ht="17.149999999999999" customHeight="1">
      <c r="A869" s="1"/>
    </row>
    <row r="870" spans="1:1" ht="17.149999999999999" customHeight="1">
      <c r="A870" s="1"/>
    </row>
    <row r="871" spans="1:1" ht="17.149999999999999" customHeight="1">
      <c r="A871" s="1"/>
    </row>
    <row r="872" spans="1:1" ht="17.149999999999999" customHeight="1">
      <c r="A872" s="1"/>
    </row>
    <row r="873" spans="1:1" ht="17.149999999999999" customHeight="1">
      <c r="A873" s="1"/>
    </row>
    <row r="874" spans="1:1" ht="17.149999999999999" customHeight="1">
      <c r="A874" s="1"/>
    </row>
    <row r="875" spans="1:1" ht="17.149999999999999" customHeight="1">
      <c r="A875" s="1"/>
    </row>
    <row r="876" spans="1:1" ht="17.149999999999999" customHeight="1">
      <c r="A876" s="1"/>
    </row>
    <row r="877" spans="1:1" ht="17.149999999999999" customHeight="1">
      <c r="A877" s="1"/>
    </row>
    <row r="878" spans="1:1" ht="17.149999999999999" customHeight="1">
      <c r="A878" s="1"/>
    </row>
    <row r="879" spans="1:1" ht="17.149999999999999" customHeight="1">
      <c r="A879" s="1"/>
    </row>
    <row r="880" spans="1:1" ht="17.149999999999999" customHeight="1">
      <c r="A880" s="1"/>
    </row>
    <row r="881" spans="1:1" ht="17.149999999999999" customHeight="1">
      <c r="A881" s="1"/>
    </row>
    <row r="882" spans="1:1" ht="17.149999999999999" customHeight="1">
      <c r="A882" s="1"/>
    </row>
    <row r="883" spans="1:1" ht="17.149999999999999" customHeight="1">
      <c r="A883" s="1"/>
    </row>
    <row r="884" spans="1:1" ht="17.149999999999999" customHeight="1">
      <c r="A884" s="1"/>
    </row>
    <row r="885" spans="1:1" ht="17.149999999999999" customHeight="1">
      <c r="A885" s="1"/>
    </row>
    <row r="886" spans="1:1" ht="17.149999999999999" customHeight="1">
      <c r="A886" s="1"/>
    </row>
    <row r="887" spans="1:1" ht="17.149999999999999" customHeight="1">
      <c r="A887" s="1"/>
    </row>
    <row r="888" spans="1:1" ht="17.149999999999999" customHeight="1">
      <c r="A888" s="1"/>
    </row>
    <row r="889" spans="1:1" ht="17.149999999999999" customHeight="1">
      <c r="A889" s="1"/>
    </row>
    <row r="890" spans="1:1" ht="17.149999999999999" customHeight="1">
      <c r="A890" s="1"/>
    </row>
    <row r="891" spans="1:1" ht="17.149999999999999" customHeight="1">
      <c r="A891" s="1"/>
    </row>
    <row r="892" spans="1:1" ht="17.149999999999999" customHeight="1">
      <c r="A892" s="1"/>
    </row>
    <row r="893" spans="1:1" ht="17.149999999999999" customHeight="1">
      <c r="A893" s="1"/>
    </row>
    <row r="894" spans="1:1" ht="17.149999999999999" customHeight="1">
      <c r="A894" s="1"/>
    </row>
    <row r="895" spans="1:1" ht="17.149999999999999" customHeight="1">
      <c r="A895" s="1"/>
    </row>
    <row r="896" spans="1:1" ht="17.149999999999999" customHeight="1">
      <c r="A896" s="1"/>
    </row>
    <row r="897" spans="1:1" ht="17.149999999999999" customHeight="1">
      <c r="A897" s="1"/>
    </row>
    <row r="898" spans="1:1" ht="17.149999999999999" customHeight="1">
      <c r="A898" s="1"/>
    </row>
    <row r="899" spans="1:1" ht="17.149999999999999" customHeight="1">
      <c r="A899" s="1"/>
    </row>
    <row r="900" spans="1:1" ht="17.149999999999999" customHeight="1">
      <c r="A900" s="1"/>
    </row>
    <row r="901" spans="1:1" ht="17.149999999999999" customHeight="1">
      <c r="A901" s="1"/>
    </row>
    <row r="902" spans="1:1" ht="17.149999999999999" customHeight="1">
      <c r="A902" s="1"/>
    </row>
    <row r="903" spans="1:1" ht="17.149999999999999" customHeight="1">
      <c r="A903" s="1"/>
    </row>
    <row r="904" spans="1:1" ht="17.149999999999999" customHeight="1">
      <c r="A904" s="1"/>
    </row>
    <row r="905" spans="1:1" ht="17.149999999999999" customHeight="1">
      <c r="A905" s="1"/>
    </row>
    <row r="906" spans="1:1" ht="17.149999999999999" customHeight="1">
      <c r="A906" s="1"/>
    </row>
    <row r="907" spans="1:1" ht="17.149999999999999" customHeight="1">
      <c r="A907" s="1"/>
    </row>
    <row r="908" spans="1:1" ht="17.149999999999999" customHeight="1">
      <c r="A908" s="1"/>
    </row>
    <row r="909" spans="1:1" ht="17.149999999999999" customHeight="1">
      <c r="A909" s="1"/>
    </row>
    <row r="910" spans="1:1" ht="17.149999999999999" customHeight="1">
      <c r="A910" s="1"/>
    </row>
    <row r="911" spans="1:1" ht="17.149999999999999" customHeight="1">
      <c r="A911" s="1"/>
    </row>
    <row r="912" spans="1:1" ht="17.149999999999999" customHeight="1">
      <c r="A912" s="1"/>
    </row>
    <row r="913" spans="1:1" ht="17.149999999999999" customHeight="1">
      <c r="A913" s="1"/>
    </row>
    <row r="914" spans="1:1" ht="17.149999999999999" customHeight="1">
      <c r="A914" s="1"/>
    </row>
    <row r="915" spans="1:1" ht="17.149999999999999" customHeight="1">
      <c r="A915" s="1"/>
    </row>
    <row r="916" spans="1:1" ht="17.149999999999999" customHeight="1">
      <c r="A916" s="1"/>
    </row>
    <row r="917" spans="1:1" ht="17.149999999999999" customHeight="1">
      <c r="A917" s="1"/>
    </row>
    <row r="918" spans="1:1" ht="17.149999999999999" customHeight="1">
      <c r="A918" s="1"/>
    </row>
    <row r="919" spans="1:1" ht="17.149999999999999" customHeight="1">
      <c r="A919" s="1"/>
    </row>
    <row r="920" spans="1:1" ht="17.149999999999999" customHeight="1">
      <c r="A920" s="1"/>
    </row>
    <row r="921" spans="1:1" ht="17.149999999999999" customHeight="1">
      <c r="A921" s="1"/>
    </row>
    <row r="922" spans="1:1" ht="17.149999999999999" customHeight="1">
      <c r="A922" s="1"/>
    </row>
    <row r="923" spans="1:1" ht="17.149999999999999" customHeight="1">
      <c r="A923" s="1"/>
    </row>
    <row r="924" spans="1:1" ht="17.149999999999999" customHeight="1">
      <c r="A924" s="1"/>
    </row>
    <row r="925" spans="1:1" ht="17.149999999999999" customHeight="1">
      <c r="A925" s="1"/>
    </row>
    <row r="926" spans="1:1" ht="17.149999999999999" customHeight="1">
      <c r="A926" s="1"/>
    </row>
    <row r="927" spans="1:1" ht="17.149999999999999" customHeight="1">
      <c r="A927" s="1"/>
    </row>
    <row r="928" spans="1:1" ht="17.149999999999999" customHeight="1">
      <c r="A928" s="1"/>
    </row>
    <row r="929" spans="1:1" ht="17.149999999999999" customHeight="1">
      <c r="A929" s="1"/>
    </row>
    <row r="930" spans="1:1" ht="17.149999999999999" customHeight="1">
      <c r="A930" s="1"/>
    </row>
    <row r="931" spans="1:1" ht="17.149999999999999" customHeight="1">
      <c r="A931" s="1"/>
    </row>
    <row r="932" spans="1:1" ht="17.149999999999999" customHeight="1">
      <c r="A932" s="1"/>
    </row>
    <row r="933" spans="1:1" ht="17.149999999999999" customHeight="1">
      <c r="A933" s="1"/>
    </row>
    <row r="934" spans="1:1" ht="17.149999999999999" customHeight="1">
      <c r="A934" s="1"/>
    </row>
    <row r="935" spans="1:1" ht="17.149999999999999" customHeight="1">
      <c r="A935" s="1"/>
    </row>
    <row r="936" spans="1:1" ht="17.149999999999999" customHeight="1">
      <c r="A936" s="1"/>
    </row>
    <row r="937" spans="1:1" ht="17.149999999999999" customHeight="1">
      <c r="A937" s="1"/>
    </row>
    <row r="938" spans="1:1" ht="17.149999999999999" customHeight="1">
      <c r="A938" s="1"/>
    </row>
    <row r="939" spans="1:1" ht="17.149999999999999" customHeight="1">
      <c r="A939" s="1"/>
    </row>
    <row r="940" spans="1:1" ht="17.149999999999999" customHeight="1">
      <c r="A940" s="1"/>
    </row>
    <row r="941" spans="1:1" ht="17.149999999999999" customHeight="1">
      <c r="A941" s="1"/>
    </row>
    <row r="942" spans="1:1" ht="17.149999999999999" customHeight="1">
      <c r="A942" s="1"/>
    </row>
    <row r="943" spans="1:1" ht="17.149999999999999" customHeight="1">
      <c r="A943" s="1"/>
    </row>
    <row r="944" spans="1:1" ht="17.149999999999999" customHeight="1">
      <c r="A944" s="1"/>
    </row>
    <row r="945" spans="1:1" ht="17.149999999999999" customHeight="1">
      <c r="A945" s="1"/>
    </row>
    <row r="946" spans="1:1" ht="17.149999999999999" customHeight="1">
      <c r="A946" s="1"/>
    </row>
    <row r="947" spans="1:1" ht="17.149999999999999" customHeight="1">
      <c r="A947" s="1"/>
    </row>
    <row r="948" spans="1:1" ht="17.149999999999999" customHeight="1">
      <c r="A948" s="1"/>
    </row>
    <row r="949" spans="1:1" ht="17.149999999999999" customHeight="1">
      <c r="A949" s="1"/>
    </row>
    <row r="950" spans="1:1" ht="17.149999999999999" customHeight="1">
      <c r="A950" s="1"/>
    </row>
    <row r="951" spans="1:1" ht="17.149999999999999" customHeight="1">
      <c r="A951" s="1"/>
    </row>
    <row r="952" spans="1:1" ht="17.149999999999999" customHeight="1">
      <c r="A952" s="1"/>
    </row>
    <row r="953" spans="1:1" ht="17.149999999999999" customHeight="1">
      <c r="A953" s="1"/>
    </row>
    <row r="954" spans="1:1" ht="17.149999999999999" customHeight="1">
      <c r="A954" s="1"/>
    </row>
    <row r="955" spans="1:1" ht="17.149999999999999" customHeight="1">
      <c r="A955" s="1"/>
    </row>
    <row r="956" spans="1:1" ht="17.149999999999999" customHeight="1">
      <c r="A956" s="1"/>
    </row>
    <row r="957" spans="1:1" ht="17.149999999999999" customHeight="1">
      <c r="A957" s="1"/>
    </row>
    <row r="958" spans="1:1" ht="17.149999999999999" customHeight="1">
      <c r="A958" s="1"/>
    </row>
    <row r="959" spans="1:1" ht="17.149999999999999" customHeight="1">
      <c r="A959" s="1"/>
    </row>
    <row r="960" spans="1:1" ht="17.149999999999999" customHeight="1">
      <c r="A960" s="1"/>
    </row>
    <row r="961" spans="1:1" ht="17.149999999999999" customHeight="1">
      <c r="A961" s="1"/>
    </row>
    <row r="962" spans="1:1" ht="17.149999999999999" customHeight="1">
      <c r="A962" s="1"/>
    </row>
    <row r="963" spans="1:1" ht="17.149999999999999" customHeight="1">
      <c r="A963" s="1"/>
    </row>
    <row r="964" spans="1:1" ht="17.149999999999999" customHeight="1">
      <c r="A964" s="1"/>
    </row>
    <row r="965" spans="1:1" ht="17.149999999999999" customHeight="1">
      <c r="A965" s="1"/>
    </row>
    <row r="966" spans="1:1" ht="17.149999999999999" customHeight="1">
      <c r="A966" s="1"/>
    </row>
    <row r="967" spans="1:1" ht="17.149999999999999" customHeight="1">
      <c r="A967" s="1"/>
    </row>
    <row r="968" spans="1:1" ht="17.149999999999999" customHeight="1">
      <c r="A968" s="1"/>
    </row>
    <row r="969" spans="1:1" ht="17.149999999999999" customHeight="1">
      <c r="A969" s="1"/>
    </row>
    <row r="970" spans="1:1" ht="17.149999999999999" customHeight="1">
      <c r="A970" s="1"/>
    </row>
    <row r="971" spans="1:1" ht="17.149999999999999" customHeight="1">
      <c r="A971" s="1"/>
    </row>
    <row r="972" spans="1:1" ht="17.149999999999999" customHeight="1">
      <c r="A972" s="1"/>
    </row>
    <row r="973" spans="1:1" ht="17.149999999999999" customHeight="1">
      <c r="A973" s="1"/>
    </row>
    <row r="974" spans="1:1" ht="17.149999999999999" customHeight="1">
      <c r="A974" s="1"/>
    </row>
    <row r="975" spans="1:1" ht="17.149999999999999" customHeight="1">
      <c r="A975" s="1"/>
    </row>
    <row r="976" spans="1:1" ht="17.149999999999999" customHeight="1">
      <c r="A976" s="1"/>
    </row>
    <row r="977" spans="1:1" ht="17.149999999999999" customHeight="1">
      <c r="A977" s="1"/>
    </row>
    <row r="978" spans="1:1" ht="17.149999999999999" customHeight="1">
      <c r="A978" s="1"/>
    </row>
    <row r="979" spans="1:1" ht="17.149999999999999" customHeight="1">
      <c r="A979" s="1"/>
    </row>
    <row r="980" spans="1:1" ht="17.149999999999999" customHeight="1">
      <c r="A980" s="1"/>
    </row>
    <row r="981" spans="1:1" ht="17.149999999999999" customHeight="1">
      <c r="A981" s="1"/>
    </row>
    <row r="982" spans="1:1" ht="17.149999999999999" customHeight="1">
      <c r="A982" s="1"/>
    </row>
    <row r="983" spans="1:1" ht="17.149999999999999" customHeight="1">
      <c r="A983" s="1"/>
    </row>
    <row r="984" spans="1:1" ht="17.149999999999999" customHeight="1">
      <c r="A984" s="1"/>
    </row>
    <row r="985" spans="1:1" ht="17.149999999999999" customHeight="1">
      <c r="A985" s="1"/>
    </row>
    <row r="986" spans="1:1" ht="17.149999999999999" customHeight="1">
      <c r="A986" s="1"/>
    </row>
    <row r="987" spans="1:1" ht="17.149999999999999" customHeight="1">
      <c r="A987" s="1"/>
    </row>
    <row r="988" spans="1:1" ht="17.149999999999999" customHeight="1">
      <c r="A988" s="1"/>
    </row>
    <row r="989" spans="1:1" ht="17.149999999999999" customHeight="1">
      <c r="A989" s="1"/>
    </row>
    <row r="990" spans="1:1" ht="17.149999999999999" customHeight="1">
      <c r="A990" s="1"/>
    </row>
    <row r="991" spans="1:1" ht="17.149999999999999" customHeight="1">
      <c r="A991" s="1"/>
    </row>
    <row r="992" spans="1:1" ht="17.149999999999999" customHeight="1">
      <c r="A992" s="1"/>
    </row>
    <row r="993" spans="1:1" ht="17.149999999999999" customHeight="1">
      <c r="A993" s="1"/>
    </row>
    <row r="994" spans="1:1" ht="17.149999999999999" customHeight="1">
      <c r="A994" s="1"/>
    </row>
    <row r="995" spans="1:1" ht="17.149999999999999" customHeight="1">
      <c r="A995" s="1"/>
    </row>
    <row r="996" spans="1:1" ht="17.149999999999999" customHeight="1">
      <c r="A996" s="1"/>
    </row>
    <row r="997" spans="1:1" ht="17.149999999999999" customHeight="1">
      <c r="A997" s="1"/>
    </row>
    <row r="998" spans="1:1" ht="17.149999999999999" customHeight="1">
      <c r="A998" s="1"/>
    </row>
    <row r="999" spans="1:1" ht="17.149999999999999" customHeight="1">
      <c r="A999" s="1"/>
    </row>
    <row r="1000" spans="1:1" ht="17.149999999999999" customHeight="1">
      <c r="A1000" s="1"/>
    </row>
    <row r="1001" spans="1:1" ht="17.149999999999999" customHeight="1">
      <c r="A1001" s="1"/>
    </row>
    <row r="1002" spans="1:1" ht="17.149999999999999" customHeight="1">
      <c r="A1002" s="1"/>
    </row>
    <row r="1003" spans="1:1" ht="17.149999999999999" customHeight="1">
      <c r="A1003" s="1"/>
    </row>
    <row r="1004" spans="1:1" ht="17.149999999999999" customHeight="1">
      <c r="A1004" s="1"/>
    </row>
    <row r="1005" spans="1:1" ht="17.149999999999999" customHeight="1">
      <c r="A1005" s="1"/>
    </row>
    <row r="1006" spans="1:1" ht="17.149999999999999" customHeight="1">
      <c r="A1006" s="1"/>
    </row>
    <row r="1007" spans="1:1" ht="17.149999999999999" customHeight="1">
      <c r="A1007" s="1"/>
    </row>
    <row r="1008" spans="1:1" ht="17.149999999999999" customHeight="1">
      <c r="A1008" s="1"/>
    </row>
    <row r="1009" spans="1:1" ht="17.149999999999999" customHeight="1">
      <c r="A1009" s="1"/>
    </row>
    <row r="1010" spans="1:1" ht="17.149999999999999" customHeight="1">
      <c r="A1010" s="1"/>
    </row>
    <row r="1011" spans="1:1" ht="17.149999999999999" customHeight="1">
      <c r="A1011" s="1"/>
    </row>
    <row r="1012" spans="1:1" ht="17.149999999999999" customHeight="1">
      <c r="A1012" s="1"/>
    </row>
    <row r="1013" spans="1:1" ht="17.149999999999999" customHeight="1">
      <c r="A1013" s="1"/>
    </row>
    <row r="1014" spans="1:1" ht="17.149999999999999" customHeight="1">
      <c r="A1014" s="1"/>
    </row>
    <row r="1015" spans="1:1" ht="17.149999999999999" customHeight="1">
      <c r="A1015" s="1"/>
    </row>
    <row r="1016" spans="1:1" ht="17.149999999999999" customHeight="1">
      <c r="A1016" s="1"/>
    </row>
    <row r="1017" spans="1:1" ht="17.149999999999999" customHeight="1">
      <c r="A1017" s="1"/>
    </row>
    <row r="1018" spans="1:1" ht="17.149999999999999" customHeight="1">
      <c r="A1018" s="1"/>
    </row>
    <row r="1019" spans="1:1" ht="17.149999999999999" customHeight="1">
      <c r="A1019" s="1"/>
    </row>
    <row r="1020" spans="1:1" ht="17.149999999999999" customHeight="1">
      <c r="A1020" s="1"/>
    </row>
    <row r="1021" spans="1:1" ht="17.149999999999999" customHeight="1">
      <c r="A1021" s="1"/>
    </row>
    <row r="1022" spans="1:1" ht="17.149999999999999" customHeight="1">
      <c r="A1022" s="1"/>
    </row>
    <row r="1023" spans="1:1" ht="17.149999999999999" customHeight="1">
      <c r="A1023" s="1"/>
    </row>
    <row r="1024" spans="1:1" ht="17.149999999999999" customHeight="1">
      <c r="A1024" s="1"/>
    </row>
    <row r="1025" spans="1:1" ht="17.149999999999999" customHeight="1">
      <c r="A1025" s="1"/>
    </row>
    <row r="1026" spans="1:1" ht="17.149999999999999" customHeight="1">
      <c r="A1026" s="1"/>
    </row>
    <row r="1027" spans="1:1" ht="17.149999999999999" customHeight="1">
      <c r="A1027" s="1"/>
    </row>
    <row r="1028" spans="1:1" ht="17.149999999999999" customHeight="1">
      <c r="A1028" s="1"/>
    </row>
    <row r="1029" spans="1:1" ht="17.149999999999999" customHeight="1">
      <c r="A1029" s="1"/>
    </row>
    <row r="1030" spans="1:1" ht="17.149999999999999" customHeight="1">
      <c r="A1030" s="1"/>
    </row>
    <row r="1031" spans="1:1" ht="17.149999999999999" customHeight="1">
      <c r="A1031" s="1"/>
    </row>
    <row r="1032" spans="1:1" ht="17.149999999999999" customHeight="1">
      <c r="A1032" s="1"/>
    </row>
    <row r="1033" spans="1:1" ht="17.149999999999999" customHeight="1">
      <c r="A1033" s="1"/>
    </row>
    <row r="1034" spans="1:1" ht="17.149999999999999" customHeight="1">
      <c r="A1034" s="1"/>
    </row>
    <row r="1035" spans="1:1" ht="17.149999999999999" customHeight="1">
      <c r="A1035" s="1"/>
    </row>
    <row r="1036" spans="1:1" ht="17.149999999999999" customHeight="1">
      <c r="A1036" s="1"/>
    </row>
    <row r="1037" spans="1:1" ht="17.149999999999999" customHeight="1">
      <c r="A1037" s="1"/>
    </row>
    <row r="1038" spans="1:1" ht="17.149999999999999" customHeight="1">
      <c r="A1038" s="1"/>
    </row>
    <row r="1039" spans="1:1" ht="17.149999999999999" customHeight="1">
      <c r="A1039" s="1"/>
    </row>
    <row r="1040" spans="1:1" ht="17.149999999999999" customHeight="1">
      <c r="A1040" s="1"/>
    </row>
    <row r="1041" spans="1:1" ht="17.149999999999999" customHeight="1">
      <c r="A1041" s="1"/>
    </row>
    <row r="1042" spans="1:1" ht="17.149999999999999" customHeight="1">
      <c r="A1042" s="1"/>
    </row>
    <row r="1043" spans="1:1" ht="17.149999999999999" customHeight="1">
      <c r="A1043" s="1"/>
    </row>
    <row r="1044" spans="1:1" ht="17.149999999999999" customHeight="1">
      <c r="A1044" s="1"/>
    </row>
    <row r="1045" spans="1:1" ht="17.149999999999999" customHeight="1">
      <c r="A1045" s="1"/>
    </row>
    <row r="1046" spans="1:1" ht="17.149999999999999" customHeight="1">
      <c r="A1046" s="1"/>
    </row>
    <row r="1047" spans="1:1" ht="17.149999999999999" customHeight="1">
      <c r="A1047" s="1"/>
    </row>
    <row r="1048" spans="1:1" ht="17.149999999999999" customHeight="1">
      <c r="A1048" s="1"/>
    </row>
    <row r="1049" spans="1:1" ht="17.149999999999999" customHeight="1">
      <c r="A1049" s="1"/>
    </row>
    <row r="1050" spans="1:1" ht="17.149999999999999" customHeight="1">
      <c r="A1050" s="1"/>
    </row>
    <row r="1051" spans="1:1" ht="17.149999999999999" customHeight="1">
      <c r="A1051" s="1"/>
    </row>
    <row r="1052" spans="1:1" ht="17.149999999999999" customHeight="1">
      <c r="A1052" s="1"/>
    </row>
    <row r="1053" spans="1:1" ht="17.149999999999999" customHeight="1">
      <c r="A1053" s="1"/>
    </row>
    <row r="1054" spans="1:1" ht="17.149999999999999" customHeight="1">
      <c r="A1054" s="1"/>
    </row>
    <row r="1055" spans="1:1" ht="17.149999999999999" customHeight="1">
      <c r="A1055" s="1"/>
    </row>
    <row r="1056" spans="1:1" ht="17.149999999999999" customHeight="1">
      <c r="A1056" s="1"/>
    </row>
    <row r="1057" spans="1:1" ht="17.149999999999999" customHeight="1">
      <c r="A1057" s="1"/>
    </row>
    <row r="1058" spans="1:1" ht="17.149999999999999" customHeight="1">
      <c r="A1058" s="1"/>
    </row>
    <row r="1059" spans="1:1" ht="17.149999999999999" customHeight="1">
      <c r="A1059" s="1"/>
    </row>
    <row r="1060" spans="1:1" ht="17.149999999999999" customHeight="1">
      <c r="A1060" s="1"/>
    </row>
    <row r="1061" spans="1:1" ht="17.149999999999999" customHeight="1">
      <c r="A1061" s="1"/>
    </row>
    <row r="1062" spans="1:1" ht="17.149999999999999" customHeight="1">
      <c r="A1062" s="1"/>
    </row>
    <row r="1063" spans="1:1" ht="17.149999999999999" customHeight="1">
      <c r="A1063" s="1"/>
    </row>
    <row r="1064" spans="1:1" ht="17.149999999999999" customHeight="1">
      <c r="A1064" s="1"/>
    </row>
    <row r="1065" spans="1:1" ht="17.149999999999999" customHeight="1">
      <c r="A1065" s="1"/>
    </row>
    <row r="1066" spans="1:1" ht="17.149999999999999" customHeight="1">
      <c r="A1066" s="1"/>
    </row>
    <row r="1067" spans="1:1" ht="17.149999999999999" customHeight="1">
      <c r="A1067" s="1"/>
    </row>
    <row r="1068" spans="1:1" ht="17.149999999999999" customHeight="1">
      <c r="A1068" s="1"/>
    </row>
    <row r="1069" spans="1:1" ht="17.149999999999999" customHeight="1">
      <c r="A1069" s="1"/>
    </row>
    <row r="1070" spans="1:1" ht="17.149999999999999" customHeight="1">
      <c r="A1070" s="1"/>
    </row>
    <row r="1071" spans="1:1" ht="17.149999999999999" customHeight="1">
      <c r="A1071" s="1"/>
    </row>
    <row r="1072" spans="1:1" ht="17.149999999999999" customHeight="1">
      <c r="A1072" s="1"/>
    </row>
    <row r="1073" spans="1:1" ht="17.149999999999999" customHeight="1">
      <c r="A1073" s="1"/>
    </row>
    <row r="1074" spans="1:1" ht="17.149999999999999" customHeight="1">
      <c r="A1074" s="1"/>
    </row>
    <row r="1075" spans="1:1" ht="17.149999999999999" customHeight="1">
      <c r="A1075" s="1"/>
    </row>
    <row r="1076" spans="1:1" ht="17.149999999999999" customHeight="1">
      <c r="A1076" s="1"/>
    </row>
    <row r="1077" spans="1:1" ht="17.149999999999999" customHeight="1">
      <c r="A1077" s="1"/>
    </row>
    <row r="1078" spans="1:1" ht="17.149999999999999" customHeight="1">
      <c r="A1078" s="1"/>
    </row>
    <row r="1079" spans="1:1" ht="17.149999999999999" customHeight="1">
      <c r="A1079" s="1"/>
    </row>
    <row r="1080" spans="1:1" ht="17.149999999999999" customHeight="1">
      <c r="A1080" s="1"/>
    </row>
    <row r="1081" spans="1:1" ht="17.149999999999999" customHeight="1">
      <c r="A1081" s="1"/>
    </row>
    <row r="1082" spans="1:1" ht="17.149999999999999" customHeight="1">
      <c r="A1082" s="1"/>
    </row>
    <row r="1083" spans="1:1" ht="17.149999999999999" customHeight="1">
      <c r="A1083" s="1"/>
    </row>
    <row r="1084" spans="1:1" ht="17.149999999999999" customHeight="1">
      <c r="A1084" s="1"/>
    </row>
    <row r="1085" spans="1:1" ht="17.149999999999999" customHeight="1">
      <c r="A1085" s="1"/>
    </row>
    <row r="1086" spans="1:1" ht="17.149999999999999" customHeight="1">
      <c r="A1086" s="1"/>
    </row>
    <row r="1087" spans="1:1" ht="17.149999999999999" customHeight="1">
      <c r="A1087" s="1"/>
    </row>
    <row r="1088" spans="1:1" ht="17.149999999999999" customHeight="1">
      <c r="A1088" s="1"/>
    </row>
    <row r="1089" spans="1:1" ht="17.149999999999999" customHeight="1">
      <c r="A1089" s="1"/>
    </row>
    <row r="1090" spans="1:1" ht="17.149999999999999" customHeight="1">
      <c r="A1090" s="1"/>
    </row>
    <row r="1091" spans="1:1" ht="17.149999999999999" customHeight="1">
      <c r="A1091" s="1"/>
    </row>
    <row r="1092" spans="1:1" ht="17.149999999999999" customHeight="1">
      <c r="A1092" s="1"/>
    </row>
    <row r="1093" spans="1:1" ht="17.149999999999999" customHeight="1">
      <c r="A1093" s="1"/>
    </row>
    <row r="1094" spans="1:1" ht="17.149999999999999" customHeight="1">
      <c r="A1094" s="1"/>
    </row>
    <row r="1095" spans="1:1" ht="17.149999999999999" customHeight="1">
      <c r="A1095" s="1"/>
    </row>
    <row r="1096" spans="1:1" ht="17.149999999999999" customHeight="1">
      <c r="A1096" s="1"/>
    </row>
    <row r="1097" spans="1:1" ht="17.149999999999999" customHeight="1">
      <c r="A1097" s="1"/>
    </row>
    <row r="1098" spans="1:1" ht="17.149999999999999" customHeight="1">
      <c r="A1098" s="1"/>
    </row>
    <row r="1099" spans="1:1" ht="17.149999999999999" customHeight="1">
      <c r="A1099" s="1"/>
    </row>
    <row r="1100" spans="1:1" ht="17.149999999999999" customHeight="1">
      <c r="A1100" s="1"/>
    </row>
    <row r="1101" spans="1:1" ht="17.149999999999999" customHeight="1">
      <c r="A1101" s="1"/>
    </row>
    <row r="1102" spans="1:1" ht="17.149999999999999" customHeight="1">
      <c r="A1102" s="1"/>
    </row>
    <row r="1103" spans="1:1" ht="17.149999999999999" customHeight="1">
      <c r="A1103" s="1"/>
    </row>
    <row r="1104" spans="1:1" ht="17.149999999999999" customHeight="1">
      <c r="A1104" s="1"/>
    </row>
    <row r="1105" spans="1:1" ht="17.149999999999999" customHeight="1">
      <c r="A1105" s="1"/>
    </row>
    <row r="1106" spans="1:1" ht="17.149999999999999" customHeight="1">
      <c r="A1106" s="1"/>
    </row>
    <row r="1107" spans="1:1" ht="17.149999999999999" customHeight="1">
      <c r="A1107" s="1"/>
    </row>
    <row r="1108" spans="1:1" ht="17.149999999999999" customHeight="1">
      <c r="A1108" s="1"/>
    </row>
    <row r="1109" spans="1:1" ht="17.149999999999999" customHeight="1">
      <c r="A1109" s="1"/>
    </row>
    <row r="1110" spans="1:1" ht="17.149999999999999" customHeight="1">
      <c r="A1110" s="1"/>
    </row>
    <row r="1111" spans="1:1" ht="17.149999999999999" customHeight="1">
      <c r="A1111" s="1"/>
    </row>
    <row r="1112" spans="1:1" ht="17.149999999999999" customHeight="1">
      <c r="A1112" s="1"/>
    </row>
    <row r="1113" spans="1:1" ht="17.149999999999999" customHeight="1">
      <c r="A1113" s="1"/>
    </row>
    <row r="1114" spans="1:1" ht="17.149999999999999" customHeight="1">
      <c r="A1114" s="1"/>
    </row>
    <row r="1115" spans="1:1" ht="17.149999999999999" customHeight="1">
      <c r="A1115" s="1"/>
    </row>
    <row r="1116" spans="1:1" ht="17.149999999999999" customHeight="1">
      <c r="A1116" s="1"/>
    </row>
    <row r="1117" spans="1:1" ht="17.149999999999999" customHeight="1">
      <c r="A1117" s="1"/>
    </row>
    <row r="1118" spans="1:1" ht="17.149999999999999" customHeight="1">
      <c r="A1118" s="1"/>
    </row>
    <row r="1119" spans="1:1" ht="17.149999999999999" customHeight="1">
      <c r="A1119" s="1"/>
    </row>
    <row r="1120" spans="1:1" ht="17.149999999999999" customHeight="1">
      <c r="A1120" s="1"/>
    </row>
    <row r="1121" spans="1:1" ht="17.149999999999999" customHeight="1">
      <c r="A1121" s="1"/>
    </row>
    <row r="1122" spans="1:1" ht="17.149999999999999" customHeight="1">
      <c r="A1122" s="1"/>
    </row>
    <row r="1123" spans="1:1" ht="17.149999999999999" customHeight="1">
      <c r="A1123" s="1"/>
    </row>
    <row r="1124" spans="1:1" ht="17.149999999999999" customHeight="1">
      <c r="A1124" s="1"/>
    </row>
    <row r="1125" spans="1:1" ht="17.149999999999999" customHeight="1">
      <c r="A1125" s="1"/>
    </row>
    <row r="1126" spans="1:1" ht="17.149999999999999" customHeight="1">
      <c r="A1126" s="1"/>
    </row>
    <row r="1127" spans="1:1" ht="17.149999999999999" customHeight="1">
      <c r="A1127" s="1"/>
    </row>
    <row r="1128" spans="1:1" ht="17.149999999999999" customHeight="1">
      <c r="A1128" s="1"/>
    </row>
    <row r="1129" spans="1:1" ht="17.149999999999999" customHeight="1">
      <c r="A1129" s="1"/>
    </row>
    <row r="1130" spans="1:1" ht="17.149999999999999" customHeight="1">
      <c r="A1130" s="1"/>
    </row>
    <row r="1131" spans="1:1" ht="17.149999999999999" customHeight="1">
      <c r="A1131" s="1"/>
    </row>
    <row r="1132" spans="1:1" ht="17.149999999999999" customHeight="1">
      <c r="A1132" s="1"/>
    </row>
    <row r="1133" spans="1:1" ht="17.149999999999999" customHeight="1">
      <c r="A1133" s="1"/>
    </row>
    <row r="1134" spans="1:1" ht="17.149999999999999" customHeight="1">
      <c r="A1134" s="1"/>
    </row>
    <row r="1135" spans="1:1" ht="17.149999999999999" customHeight="1">
      <c r="A1135" s="1"/>
    </row>
    <row r="1136" spans="1:1" ht="17.149999999999999" customHeight="1">
      <c r="A1136" s="1"/>
    </row>
    <row r="1137" spans="1:1" ht="17.149999999999999" customHeight="1">
      <c r="A1137" s="1"/>
    </row>
    <row r="1138" spans="1:1" ht="17.149999999999999" customHeight="1">
      <c r="A1138" s="1"/>
    </row>
    <row r="1139" spans="1:1" ht="17.149999999999999" customHeight="1">
      <c r="A1139" s="1"/>
    </row>
    <row r="1140" spans="1:1" ht="17.149999999999999" customHeight="1">
      <c r="A1140" s="1"/>
    </row>
    <row r="1141" spans="1:1" ht="17.149999999999999" customHeight="1">
      <c r="A1141" s="1"/>
    </row>
    <row r="1142" spans="1:1" ht="17.149999999999999" customHeight="1">
      <c r="A1142" s="1"/>
    </row>
    <row r="1143" spans="1:1" ht="17.149999999999999" customHeight="1">
      <c r="A1143" s="1"/>
    </row>
    <row r="1144" spans="1:1" ht="17.149999999999999" customHeight="1">
      <c r="A1144" s="1"/>
    </row>
    <row r="1145" spans="1:1" ht="17.149999999999999" customHeight="1">
      <c r="A1145" s="1"/>
    </row>
    <row r="1146" spans="1:1" ht="17.149999999999999" customHeight="1">
      <c r="A1146" s="1"/>
    </row>
    <row r="1147" spans="1:1" ht="17.149999999999999" customHeight="1">
      <c r="A1147" s="1"/>
    </row>
    <row r="1148" spans="1:1" ht="17.149999999999999" customHeight="1">
      <c r="A1148" s="1"/>
    </row>
    <row r="1149" spans="1:1" ht="17.149999999999999" customHeight="1">
      <c r="A1149" s="1"/>
    </row>
    <row r="1150" spans="1:1" ht="17.149999999999999" customHeight="1">
      <c r="A1150" s="1"/>
    </row>
    <row r="1151" spans="1:1" ht="17.149999999999999" customHeight="1">
      <c r="A1151" s="1"/>
    </row>
    <row r="1152" spans="1:1" ht="17.149999999999999" customHeight="1">
      <c r="A1152" s="1"/>
    </row>
    <row r="1153" spans="1:1" ht="17.149999999999999" customHeight="1">
      <c r="A1153" s="1"/>
    </row>
    <row r="1154" spans="1:1" ht="17.149999999999999" customHeight="1">
      <c r="A1154" s="1"/>
    </row>
    <row r="1155" spans="1:1" ht="17.149999999999999" customHeight="1">
      <c r="A1155" s="1"/>
    </row>
    <row r="1156" spans="1:1" ht="17.149999999999999" customHeight="1">
      <c r="A1156" s="1"/>
    </row>
    <row r="1157" spans="1:1" ht="17.149999999999999" customHeight="1">
      <c r="A1157" s="1"/>
    </row>
    <row r="1158" spans="1:1" ht="17.149999999999999" customHeight="1">
      <c r="A1158" s="1"/>
    </row>
    <row r="1159" spans="1:1" ht="17.149999999999999" customHeight="1">
      <c r="A1159" s="1"/>
    </row>
    <row r="1160" spans="1:1" ht="17.149999999999999" customHeight="1">
      <c r="A1160" s="1"/>
    </row>
    <row r="1161" spans="1:1" ht="17.149999999999999" customHeight="1">
      <c r="A1161" s="1"/>
    </row>
    <row r="1162" spans="1:1" ht="17.149999999999999" customHeight="1">
      <c r="A1162" s="1"/>
    </row>
    <row r="1163" spans="1:1" ht="17.149999999999999" customHeight="1">
      <c r="A1163" s="1"/>
    </row>
    <row r="1164" spans="1:1" ht="17.149999999999999" customHeight="1">
      <c r="A1164" s="1"/>
    </row>
    <row r="1165" spans="1:1" ht="17.149999999999999" customHeight="1">
      <c r="A1165" s="1"/>
    </row>
    <row r="1166" spans="1:1" ht="17.149999999999999" customHeight="1">
      <c r="A1166" s="1"/>
    </row>
    <row r="1167" spans="1:1" ht="17.149999999999999" customHeight="1">
      <c r="A1167" s="1"/>
    </row>
    <row r="1168" spans="1:1" ht="17.149999999999999" customHeight="1">
      <c r="A1168" s="1"/>
    </row>
    <row r="1169" spans="1:1" ht="17.149999999999999" customHeight="1">
      <c r="A1169" s="1"/>
    </row>
    <row r="1170" spans="1:1" ht="17.149999999999999" customHeight="1">
      <c r="A1170" s="1"/>
    </row>
    <row r="1171" spans="1:1" ht="17.149999999999999" customHeight="1">
      <c r="A1171" s="1"/>
    </row>
    <row r="1172" spans="1:1" ht="17.149999999999999" customHeight="1">
      <c r="A1172" s="1"/>
    </row>
    <row r="1173" spans="1:1" ht="17.149999999999999" customHeight="1">
      <c r="A1173" s="1"/>
    </row>
    <row r="1174" spans="1:1" ht="17.149999999999999" customHeight="1">
      <c r="A1174" s="1"/>
    </row>
    <row r="1175" spans="1:1" ht="17.149999999999999" customHeight="1">
      <c r="A1175" s="1"/>
    </row>
    <row r="1176" spans="1:1" ht="17.149999999999999" customHeight="1">
      <c r="A1176" s="1"/>
    </row>
    <row r="1177" spans="1:1" ht="17.149999999999999" customHeight="1">
      <c r="A1177" s="1"/>
    </row>
    <row r="1178" spans="1:1" ht="17.149999999999999" customHeight="1">
      <c r="A1178" s="1"/>
    </row>
    <row r="1179" spans="1:1" ht="17.149999999999999" customHeight="1">
      <c r="A1179" s="1"/>
    </row>
    <row r="1180" spans="1:1" ht="17.149999999999999" customHeight="1">
      <c r="A1180" s="1"/>
    </row>
    <row r="1181" spans="1:1" ht="17.149999999999999" customHeight="1">
      <c r="A1181" s="1"/>
    </row>
    <row r="1182" spans="1:1" ht="17.149999999999999" customHeight="1">
      <c r="A1182" s="1"/>
    </row>
    <row r="1183" spans="1:1" ht="17.149999999999999" customHeight="1">
      <c r="A1183" s="1"/>
    </row>
    <row r="1184" spans="1:1" ht="17.149999999999999" customHeight="1">
      <c r="A1184" s="1"/>
    </row>
    <row r="1185" spans="1:1" ht="17.149999999999999" customHeight="1">
      <c r="A1185" s="1"/>
    </row>
    <row r="1186" spans="1:1" ht="17.149999999999999" customHeight="1">
      <c r="A1186" s="1"/>
    </row>
    <row r="1187" spans="1:1" ht="17.149999999999999" customHeight="1">
      <c r="A1187" s="1"/>
    </row>
    <row r="1188" spans="1:1" ht="17.149999999999999" customHeight="1">
      <c r="A1188" s="1"/>
    </row>
    <row r="1189" spans="1:1" ht="17.149999999999999" customHeight="1">
      <c r="A1189" s="1"/>
    </row>
    <row r="1190" spans="1:1" ht="17.149999999999999" customHeight="1">
      <c r="A1190" s="1"/>
    </row>
    <row r="1191" spans="1:1" ht="17.149999999999999" customHeight="1">
      <c r="A1191" s="1"/>
    </row>
    <row r="1192" spans="1:1" ht="17.149999999999999" customHeight="1">
      <c r="A1192" s="1"/>
    </row>
    <row r="1193" spans="1:1" ht="17.149999999999999" customHeight="1">
      <c r="A1193" s="1"/>
    </row>
    <row r="1194" spans="1:1" ht="17.149999999999999" customHeight="1">
      <c r="A1194" s="1"/>
    </row>
    <row r="1195" spans="1:1" ht="17.149999999999999" customHeight="1">
      <c r="A1195" s="1"/>
    </row>
    <row r="1196" spans="1:1" ht="17.149999999999999" customHeight="1">
      <c r="A1196" s="1"/>
    </row>
    <row r="1197" spans="1:1" ht="17.149999999999999" customHeight="1">
      <c r="A1197" s="1"/>
    </row>
    <row r="1198" spans="1:1" ht="17.149999999999999" customHeight="1">
      <c r="A1198" s="1"/>
    </row>
    <row r="1199" spans="1:1" ht="17.149999999999999" customHeight="1">
      <c r="A1199" s="1"/>
    </row>
    <row r="1200" spans="1:1" ht="17.149999999999999" customHeight="1">
      <c r="A1200" s="1"/>
    </row>
    <row r="1201" spans="1:1" ht="17.149999999999999" customHeight="1">
      <c r="A1201" s="1"/>
    </row>
    <row r="1202" spans="1:1" ht="17.149999999999999" customHeight="1">
      <c r="A1202" s="1"/>
    </row>
    <row r="1203" spans="1:1" ht="17.149999999999999" customHeight="1">
      <c r="A1203" s="1"/>
    </row>
    <row r="1204" spans="1:1" ht="17.149999999999999" customHeight="1">
      <c r="A1204" s="1"/>
    </row>
    <row r="1205" spans="1:1" ht="17.149999999999999" customHeight="1">
      <c r="A1205" s="1"/>
    </row>
    <row r="1206" spans="1:1" ht="17.149999999999999" customHeight="1">
      <c r="A1206" s="1"/>
    </row>
    <row r="1207" spans="1:1" ht="17.149999999999999" customHeight="1">
      <c r="A1207" s="1"/>
    </row>
    <row r="1208" spans="1:1" ht="17.149999999999999" customHeight="1">
      <c r="A1208" s="1"/>
    </row>
    <row r="1209" spans="1:1" ht="17.149999999999999" customHeight="1">
      <c r="A1209" s="1"/>
    </row>
    <row r="1210" spans="1:1" ht="17.149999999999999" customHeight="1">
      <c r="A1210" s="1"/>
    </row>
    <row r="1211" spans="1:1" ht="17.149999999999999" customHeight="1">
      <c r="A1211" s="1"/>
    </row>
    <row r="1212" spans="1:1" ht="17.149999999999999" customHeight="1">
      <c r="A1212" s="1"/>
    </row>
    <row r="1213" spans="1:1" ht="17.149999999999999" customHeight="1">
      <c r="A1213" s="1"/>
    </row>
    <row r="1214" spans="1:1" ht="17.149999999999999" customHeight="1">
      <c r="A1214" s="1"/>
    </row>
    <row r="1215" spans="1:1" ht="17.149999999999999" customHeight="1">
      <c r="A1215" s="1"/>
    </row>
    <row r="1216" spans="1:1" ht="17.149999999999999" customHeight="1">
      <c r="A1216" s="1"/>
    </row>
    <row r="1217" spans="1:1" ht="17.149999999999999" customHeight="1">
      <c r="A1217" s="1"/>
    </row>
    <row r="1218" spans="1:1" ht="17.149999999999999" customHeight="1">
      <c r="A1218" s="1"/>
    </row>
    <row r="1219" spans="1:1" ht="17.149999999999999" customHeight="1">
      <c r="A1219" s="1"/>
    </row>
    <row r="1220" spans="1:1" ht="17.149999999999999" customHeight="1">
      <c r="A1220" s="1"/>
    </row>
    <row r="1221" spans="1:1" ht="17.149999999999999" customHeight="1">
      <c r="A1221" s="1"/>
    </row>
    <row r="1222" spans="1:1" ht="17.149999999999999" customHeight="1">
      <c r="A1222" s="1"/>
    </row>
    <row r="1223" spans="1:1" ht="17.149999999999999" customHeight="1">
      <c r="A1223" s="1"/>
    </row>
    <row r="1224" spans="1:1" ht="17.149999999999999" customHeight="1">
      <c r="A1224" s="1"/>
    </row>
    <row r="1225" spans="1:1" ht="17.149999999999999" customHeight="1">
      <c r="A1225" s="1"/>
    </row>
    <row r="1226" spans="1:1" ht="17.149999999999999" customHeight="1">
      <c r="A1226" s="1"/>
    </row>
    <row r="1227" spans="1:1" ht="17.149999999999999" customHeight="1">
      <c r="A1227" s="1"/>
    </row>
    <row r="1228" spans="1:1" ht="17.149999999999999" customHeight="1">
      <c r="A1228" s="1"/>
    </row>
    <row r="1229" spans="1:1" ht="17.149999999999999" customHeight="1">
      <c r="A1229" s="1"/>
    </row>
    <row r="1230" spans="1:1" ht="17.149999999999999" customHeight="1">
      <c r="A1230" s="1"/>
    </row>
    <row r="1231" spans="1:1" ht="17.149999999999999" customHeight="1">
      <c r="A1231" s="1"/>
    </row>
    <row r="1232" spans="1:1" ht="17.149999999999999" customHeight="1">
      <c r="A1232" s="1"/>
    </row>
    <row r="1233" spans="1:1" ht="17.149999999999999" customHeight="1">
      <c r="A1233" s="1"/>
    </row>
    <row r="1234" spans="1:1" ht="17.149999999999999" customHeight="1">
      <c r="A1234" s="1"/>
    </row>
    <row r="1235" spans="1:1" ht="17.149999999999999" customHeight="1">
      <c r="A1235" s="1"/>
    </row>
    <row r="1236" spans="1:1" ht="17.149999999999999" customHeight="1">
      <c r="A1236" s="1"/>
    </row>
    <row r="1237" spans="1:1" ht="17.149999999999999" customHeight="1">
      <c r="A1237" s="1"/>
    </row>
    <row r="1238" spans="1:1" ht="17.149999999999999" customHeight="1">
      <c r="A1238" s="1"/>
    </row>
    <row r="1239" spans="1:1" ht="17.149999999999999" customHeight="1">
      <c r="A1239" s="1"/>
    </row>
    <row r="1240" spans="1:1" ht="17.149999999999999" customHeight="1">
      <c r="A1240" s="1"/>
    </row>
    <row r="1241" spans="1:1" ht="17.149999999999999" customHeight="1">
      <c r="A1241" s="1"/>
    </row>
    <row r="1242" spans="1:1" ht="17.149999999999999" customHeight="1">
      <c r="A1242" s="1"/>
    </row>
    <row r="1243" spans="1:1" ht="17.149999999999999" customHeight="1">
      <c r="A1243" s="1"/>
    </row>
    <row r="1244" spans="1:1" ht="17.149999999999999" customHeight="1">
      <c r="A1244" s="1"/>
    </row>
    <row r="1245" spans="1:1" ht="17.149999999999999" customHeight="1">
      <c r="A1245" s="1"/>
    </row>
    <row r="1246" spans="1:1" ht="17.149999999999999" customHeight="1">
      <c r="A1246" s="1"/>
    </row>
    <row r="1247" spans="1:1" ht="17.149999999999999" customHeight="1">
      <c r="A1247" s="1"/>
    </row>
    <row r="1248" spans="1:1" ht="17.149999999999999" customHeight="1">
      <c r="A1248" s="1"/>
    </row>
    <row r="1249" spans="1:1" ht="17.149999999999999" customHeight="1">
      <c r="A1249" s="1"/>
    </row>
    <row r="1250" spans="1:1" ht="17.149999999999999" customHeight="1">
      <c r="A1250" s="1"/>
    </row>
    <row r="1251" spans="1:1" ht="17.149999999999999" customHeight="1">
      <c r="A1251" s="1"/>
    </row>
    <row r="1252" spans="1:1" ht="17.149999999999999" customHeight="1">
      <c r="A1252" s="1"/>
    </row>
    <row r="1253" spans="1:1" ht="17.149999999999999" customHeight="1">
      <c r="A1253" s="1"/>
    </row>
    <row r="1254" spans="1:1" ht="17.149999999999999" customHeight="1">
      <c r="A1254" s="1"/>
    </row>
    <row r="1255" spans="1:1" ht="17.149999999999999" customHeight="1">
      <c r="A1255" s="1"/>
    </row>
    <row r="1256" spans="1:1" ht="17.149999999999999" customHeight="1">
      <c r="A1256" s="1"/>
    </row>
    <row r="1257" spans="1:1" ht="17.149999999999999" customHeight="1">
      <c r="A1257" s="1"/>
    </row>
    <row r="1258" spans="1:1" ht="17.149999999999999" customHeight="1">
      <c r="A1258" s="1"/>
    </row>
    <row r="1259" spans="1:1" ht="17.149999999999999" customHeight="1">
      <c r="A1259" s="1"/>
    </row>
    <row r="1260" spans="1:1" ht="17.149999999999999" customHeight="1">
      <c r="A1260" s="1"/>
    </row>
    <row r="1261" spans="1:1" ht="17.149999999999999" customHeight="1">
      <c r="A1261" s="1"/>
    </row>
    <row r="1262" spans="1:1" ht="17.149999999999999" customHeight="1">
      <c r="A1262" s="1"/>
    </row>
    <row r="1263" spans="1:1" ht="17.149999999999999" customHeight="1">
      <c r="A1263" s="1"/>
    </row>
    <row r="1264" spans="1:1" ht="17.149999999999999" customHeight="1">
      <c r="A1264" s="1"/>
    </row>
    <row r="1265" spans="1:1" ht="17.149999999999999" customHeight="1">
      <c r="A1265" s="1"/>
    </row>
    <row r="1266" spans="1:1" ht="17.149999999999999" customHeight="1">
      <c r="A1266" s="1"/>
    </row>
    <row r="1267" spans="1:1" ht="17.149999999999999" customHeight="1">
      <c r="A1267" s="1"/>
    </row>
    <row r="1268" spans="1:1" ht="17.149999999999999" customHeight="1">
      <c r="A1268" s="1"/>
    </row>
    <row r="1269" spans="1:1" ht="17.149999999999999" customHeight="1">
      <c r="A1269" s="1"/>
    </row>
    <row r="1270" spans="1:1" ht="17.149999999999999" customHeight="1">
      <c r="A1270" s="1"/>
    </row>
    <row r="1271" spans="1:1" ht="17.149999999999999" customHeight="1">
      <c r="A1271" s="1"/>
    </row>
    <row r="1272" spans="1:1" ht="17.149999999999999" customHeight="1">
      <c r="A1272" s="1"/>
    </row>
    <row r="1273" spans="1:1" ht="17.149999999999999" customHeight="1">
      <c r="A1273" s="1"/>
    </row>
    <row r="1274" spans="1:1" ht="17.149999999999999" customHeight="1">
      <c r="A1274" s="1"/>
    </row>
    <row r="1275" spans="1:1" ht="17.149999999999999" customHeight="1">
      <c r="A1275" s="1"/>
    </row>
    <row r="1276" spans="1:1" ht="17.149999999999999" customHeight="1">
      <c r="A1276" s="1"/>
    </row>
    <row r="1277" spans="1:1" ht="17.149999999999999" customHeight="1">
      <c r="A1277" s="1"/>
    </row>
    <row r="1278" spans="1:1" ht="17.149999999999999" customHeight="1">
      <c r="A1278" s="1"/>
    </row>
    <row r="1279" spans="1:1" ht="17.149999999999999" customHeight="1">
      <c r="A1279" s="1"/>
    </row>
    <row r="1280" spans="1:1" ht="17.149999999999999" customHeight="1">
      <c r="A1280" s="1"/>
    </row>
    <row r="1281" spans="1:1" ht="17.149999999999999" customHeight="1">
      <c r="A1281" s="1"/>
    </row>
    <row r="1282" spans="1:1" ht="17.149999999999999" customHeight="1">
      <c r="A1282" s="1"/>
    </row>
    <row r="1283" spans="1:1" ht="17.149999999999999" customHeight="1">
      <c r="A1283" s="1"/>
    </row>
    <row r="1284" spans="1:1" ht="17.149999999999999" customHeight="1">
      <c r="A1284" s="1"/>
    </row>
    <row r="1285" spans="1:1" ht="17.149999999999999" customHeight="1">
      <c r="A1285" s="1"/>
    </row>
    <row r="1286" spans="1:1" ht="17.149999999999999" customHeight="1">
      <c r="A1286" s="1"/>
    </row>
    <row r="1287" spans="1:1" ht="17.149999999999999" customHeight="1">
      <c r="A1287" s="1"/>
    </row>
    <row r="1288" spans="1:1" ht="17.149999999999999" customHeight="1">
      <c r="A1288" s="1"/>
    </row>
    <row r="1289" spans="1:1" ht="17.149999999999999" customHeight="1">
      <c r="A1289" s="1"/>
    </row>
    <row r="1290" spans="1:1" ht="17.149999999999999" customHeight="1">
      <c r="A1290" s="1"/>
    </row>
    <row r="1291" spans="1:1" ht="17.149999999999999" customHeight="1">
      <c r="A1291" s="1"/>
    </row>
    <row r="1292" spans="1:1" ht="17.149999999999999" customHeight="1">
      <c r="A1292" s="1"/>
    </row>
    <row r="1293" spans="1:1" ht="17.149999999999999" customHeight="1">
      <c r="A1293" s="1"/>
    </row>
    <row r="1294" spans="1:1" ht="17.149999999999999" customHeight="1">
      <c r="A1294" s="1"/>
    </row>
    <row r="1295" spans="1:1" ht="17.149999999999999" customHeight="1">
      <c r="A1295" s="1"/>
    </row>
    <row r="1296" spans="1:1" ht="17.149999999999999" customHeight="1">
      <c r="A1296" s="1"/>
    </row>
    <row r="1297" spans="1:1" ht="17.149999999999999" customHeight="1">
      <c r="A1297" s="1"/>
    </row>
    <row r="1298" spans="1:1" ht="17.149999999999999" customHeight="1">
      <c r="A1298" s="1"/>
    </row>
    <row r="1299" spans="1:1" ht="17.149999999999999" customHeight="1">
      <c r="A1299" s="1"/>
    </row>
    <row r="1300" spans="1:1" ht="17.149999999999999" customHeight="1">
      <c r="A1300" s="1"/>
    </row>
    <row r="1301" spans="1:1" ht="17.149999999999999" customHeight="1">
      <c r="A1301" s="1"/>
    </row>
    <row r="1302" spans="1:1" ht="17.149999999999999" customHeight="1">
      <c r="A1302" s="1"/>
    </row>
    <row r="1303" spans="1:1" ht="17.149999999999999" customHeight="1">
      <c r="A1303" s="1"/>
    </row>
    <row r="1304" spans="1:1" ht="17.149999999999999" customHeight="1">
      <c r="A1304" s="1"/>
    </row>
    <row r="1305" spans="1:1" ht="17.149999999999999" customHeight="1">
      <c r="A1305" s="1"/>
    </row>
    <row r="1306" spans="1:1" ht="17.149999999999999" customHeight="1">
      <c r="A1306" s="1"/>
    </row>
    <row r="1307" spans="1:1" ht="17.149999999999999" customHeight="1">
      <c r="A1307" s="1"/>
    </row>
    <row r="1308" spans="1:1" ht="17.149999999999999" customHeight="1">
      <c r="A1308" s="1"/>
    </row>
    <row r="1309" spans="1:1" ht="17.149999999999999" customHeight="1">
      <c r="A1309" s="1"/>
    </row>
    <row r="1310" spans="1:1" ht="17.149999999999999" customHeight="1">
      <c r="A1310" s="1"/>
    </row>
    <row r="1311" spans="1:1" ht="17.149999999999999" customHeight="1">
      <c r="A1311" s="1"/>
    </row>
    <row r="1312" spans="1:1" ht="17.149999999999999" customHeight="1">
      <c r="A1312" s="1"/>
    </row>
    <row r="1313" spans="1:1" ht="17.149999999999999" customHeight="1">
      <c r="A1313" s="1"/>
    </row>
    <row r="1314" spans="1:1" ht="17.149999999999999" customHeight="1">
      <c r="A1314" s="1"/>
    </row>
    <row r="1315" spans="1:1" ht="17.149999999999999" customHeight="1">
      <c r="A1315" s="1"/>
    </row>
    <row r="1316" spans="1:1" ht="17.149999999999999" customHeight="1">
      <c r="A1316" s="1"/>
    </row>
    <row r="1317" spans="1:1" ht="17.149999999999999" customHeight="1">
      <c r="A1317" s="1"/>
    </row>
    <row r="1318" spans="1:1" ht="17.149999999999999" customHeight="1">
      <c r="A1318" s="1"/>
    </row>
    <row r="1319" spans="1:1" ht="17.149999999999999" customHeight="1">
      <c r="A1319" s="1"/>
    </row>
    <row r="1320" spans="1:1" ht="17.149999999999999" customHeight="1">
      <c r="A1320" s="1"/>
    </row>
    <row r="1321" spans="1:1" ht="17.149999999999999" customHeight="1">
      <c r="A1321" s="1"/>
    </row>
    <row r="1322" spans="1:1" ht="17.149999999999999" customHeight="1">
      <c r="A1322" s="1"/>
    </row>
    <row r="1323" spans="1:1" ht="17.149999999999999" customHeight="1">
      <c r="A1323" s="1"/>
    </row>
    <row r="1324" spans="1:1" ht="17.149999999999999" customHeight="1">
      <c r="A1324" s="1"/>
    </row>
    <row r="1325" spans="1:1" ht="17.149999999999999" customHeight="1">
      <c r="A1325" s="1"/>
    </row>
    <row r="1326" spans="1:1" ht="17.149999999999999" customHeight="1">
      <c r="A1326" s="1"/>
    </row>
    <row r="1327" spans="1:1" ht="17.149999999999999" customHeight="1">
      <c r="A1327" s="1"/>
    </row>
    <row r="1328" spans="1:1" ht="17.149999999999999" customHeight="1">
      <c r="A1328" s="1"/>
    </row>
    <row r="1329" spans="1:1" ht="17.149999999999999" customHeight="1">
      <c r="A1329" s="1"/>
    </row>
    <row r="1330" spans="1:1" ht="17.149999999999999" customHeight="1">
      <c r="A1330" s="1"/>
    </row>
    <row r="1331" spans="1:1" ht="17.149999999999999" customHeight="1">
      <c r="A1331" s="1"/>
    </row>
    <row r="1332" spans="1:1" ht="17.149999999999999" customHeight="1">
      <c r="A1332" s="1"/>
    </row>
    <row r="1333" spans="1:1" ht="17.149999999999999" customHeight="1">
      <c r="A1333" s="1"/>
    </row>
    <row r="1334" spans="1:1" ht="17.149999999999999" customHeight="1">
      <c r="A1334" s="1"/>
    </row>
    <row r="1335" spans="1:1" ht="17.149999999999999" customHeight="1">
      <c r="A1335" s="1"/>
    </row>
    <row r="1336" spans="1:1" ht="17.149999999999999" customHeight="1">
      <c r="A1336" s="1"/>
    </row>
    <row r="1337" spans="1:1" ht="17.149999999999999" customHeight="1">
      <c r="A1337" s="1"/>
    </row>
    <row r="1338" spans="1:1" ht="17.149999999999999" customHeight="1">
      <c r="A1338" s="1"/>
    </row>
    <row r="1339" spans="1:1" ht="17.149999999999999" customHeight="1">
      <c r="A1339" s="1"/>
    </row>
    <row r="1340" spans="1:1" ht="17.149999999999999" customHeight="1">
      <c r="A1340" s="1"/>
    </row>
    <row r="1341" spans="1:1" ht="17.149999999999999" customHeight="1">
      <c r="A1341" s="1"/>
    </row>
    <row r="1342" spans="1:1" ht="17.149999999999999" customHeight="1">
      <c r="A1342" s="1"/>
    </row>
    <row r="1343" spans="1:1" ht="17.149999999999999" customHeight="1">
      <c r="A1343" s="1"/>
    </row>
    <row r="1344" spans="1:1" ht="17.149999999999999" customHeight="1">
      <c r="A1344" s="1"/>
    </row>
    <row r="1345" spans="1:1" ht="17.149999999999999" customHeight="1">
      <c r="A1345" s="1"/>
    </row>
    <row r="1346" spans="1:1" ht="17.149999999999999" customHeight="1">
      <c r="A1346" s="1"/>
    </row>
    <row r="1347" spans="1:1" ht="17.149999999999999" customHeight="1">
      <c r="A1347" s="1"/>
    </row>
    <row r="1348" spans="1:1" ht="17.149999999999999" customHeight="1">
      <c r="A1348" s="1"/>
    </row>
    <row r="1349" spans="1:1" ht="17.149999999999999" customHeight="1">
      <c r="A1349" s="1"/>
    </row>
    <row r="1350" spans="1:1" ht="17.149999999999999" customHeight="1">
      <c r="A1350" s="1"/>
    </row>
    <row r="1351" spans="1:1" ht="17.149999999999999" customHeight="1">
      <c r="A1351" s="1"/>
    </row>
    <row r="1352" spans="1:1" ht="17.149999999999999" customHeight="1">
      <c r="A1352" s="1"/>
    </row>
    <row r="1353" spans="1:1" ht="17.149999999999999" customHeight="1">
      <c r="A1353" s="1"/>
    </row>
    <row r="1354" spans="1:1" ht="17.149999999999999" customHeight="1">
      <c r="A1354" s="1"/>
    </row>
    <row r="1355" spans="1:1" ht="17.149999999999999" customHeight="1">
      <c r="A1355" s="1"/>
    </row>
    <row r="1356" spans="1:1" ht="17.149999999999999" customHeight="1">
      <c r="A1356" s="1"/>
    </row>
    <row r="1357" spans="1:1" ht="17.149999999999999" customHeight="1">
      <c r="A1357" s="1"/>
    </row>
    <row r="1358" spans="1:1" ht="17.149999999999999" customHeight="1">
      <c r="A1358" s="1"/>
    </row>
    <row r="1359" spans="1:1" ht="17.149999999999999" customHeight="1">
      <c r="A1359" s="1"/>
    </row>
    <row r="1360" spans="1:1" ht="17.149999999999999" customHeight="1">
      <c r="A1360" s="1"/>
    </row>
    <row r="1361" spans="1:1" ht="17.149999999999999" customHeight="1">
      <c r="A1361" s="1"/>
    </row>
    <row r="1362" spans="1:1" ht="17.149999999999999" customHeight="1">
      <c r="A1362" s="1"/>
    </row>
    <row r="1363" spans="1:1" ht="17.149999999999999" customHeight="1">
      <c r="A1363" s="1"/>
    </row>
    <row r="1364" spans="1:1" ht="17.149999999999999" customHeight="1">
      <c r="A1364" s="1"/>
    </row>
    <row r="1365" spans="1:1" ht="17.149999999999999" customHeight="1">
      <c r="A1365" s="1"/>
    </row>
    <row r="1366" spans="1:1" ht="17.149999999999999" customHeight="1">
      <c r="A1366" s="1"/>
    </row>
    <row r="1367" spans="1:1" ht="17.149999999999999" customHeight="1">
      <c r="A1367" s="1"/>
    </row>
    <row r="1368" spans="1:1" ht="17.149999999999999" customHeight="1">
      <c r="A1368" s="1"/>
    </row>
    <row r="1369" spans="1:1" ht="17.149999999999999" customHeight="1">
      <c r="A1369" s="1"/>
    </row>
    <row r="1370" spans="1:1" ht="17.149999999999999" customHeight="1">
      <c r="A1370" s="1"/>
    </row>
    <row r="1371" spans="1:1" ht="17.149999999999999" customHeight="1">
      <c r="A1371" s="1"/>
    </row>
    <row r="1372" spans="1:1" ht="17.149999999999999" customHeight="1">
      <c r="A1372" s="1"/>
    </row>
    <row r="1373" spans="1:1" ht="17.149999999999999" customHeight="1">
      <c r="A1373" s="1"/>
    </row>
    <row r="1374" spans="1:1" ht="17.149999999999999" customHeight="1">
      <c r="A1374" s="1"/>
    </row>
    <row r="1375" spans="1:1" ht="17.149999999999999" customHeight="1">
      <c r="A1375" s="1"/>
    </row>
    <row r="1376" spans="1:1" ht="17.149999999999999" customHeight="1">
      <c r="A1376" s="1"/>
    </row>
    <row r="1377" spans="1:1" ht="17.149999999999999" customHeight="1">
      <c r="A1377" s="1"/>
    </row>
    <row r="1378" spans="1:1" ht="17.149999999999999" customHeight="1">
      <c r="A1378" s="1"/>
    </row>
    <row r="1379" spans="1:1" ht="17.149999999999999" customHeight="1">
      <c r="A1379" s="1"/>
    </row>
    <row r="1380" spans="1:1" ht="17.149999999999999" customHeight="1">
      <c r="A1380" s="1"/>
    </row>
    <row r="1381" spans="1:1" ht="17.149999999999999" customHeight="1">
      <c r="A1381" s="1"/>
    </row>
    <row r="1382" spans="1:1" ht="17.149999999999999" customHeight="1">
      <c r="A1382" s="1"/>
    </row>
    <row r="1383" spans="1:1" ht="17.149999999999999" customHeight="1">
      <c r="A1383" s="1"/>
    </row>
    <row r="1384" spans="1:1" ht="17.149999999999999" customHeight="1">
      <c r="A1384" s="1"/>
    </row>
    <row r="1385" spans="1:1" ht="17.149999999999999" customHeight="1">
      <c r="A1385" s="1"/>
    </row>
    <row r="1386" spans="1:1" ht="17.149999999999999" customHeight="1">
      <c r="A1386" s="1"/>
    </row>
    <row r="1387" spans="1:1" ht="17.149999999999999" customHeight="1">
      <c r="A1387" s="1"/>
    </row>
    <row r="1388" spans="1:1" ht="17.149999999999999" customHeight="1">
      <c r="A1388" s="1"/>
    </row>
    <row r="1389" spans="1:1" ht="17.149999999999999" customHeight="1">
      <c r="A1389" s="1"/>
    </row>
    <row r="1390" spans="1:1" ht="17.149999999999999" customHeight="1">
      <c r="A1390" s="1"/>
    </row>
    <row r="1391" spans="1:1" ht="17.149999999999999" customHeight="1">
      <c r="A1391" s="1"/>
    </row>
    <row r="1392" spans="1:1" ht="17.149999999999999" customHeight="1">
      <c r="A1392" s="1"/>
    </row>
    <row r="1393" spans="1:1" ht="17.149999999999999" customHeight="1">
      <c r="A1393" s="1"/>
    </row>
    <row r="1394" spans="1:1" ht="17.149999999999999" customHeight="1">
      <c r="A1394" s="1"/>
    </row>
    <row r="1395" spans="1:1" ht="17.149999999999999" customHeight="1">
      <c r="A1395" s="1"/>
    </row>
    <row r="1396" spans="1:1" ht="17.149999999999999" customHeight="1">
      <c r="A1396" s="1"/>
    </row>
    <row r="1397" spans="1:1" ht="17.149999999999999" customHeight="1">
      <c r="A1397" s="1"/>
    </row>
    <row r="1398" spans="1:1" ht="17.149999999999999" customHeight="1">
      <c r="A1398" s="1"/>
    </row>
    <row r="1399" spans="1:1" ht="17.149999999999999" customHeight="1">
      <c r="A1399" s="1"/>
    </row>
    <row r="1400" spans="1:1" ht="17.149999999999999" customHeight="1">
      <c r="A1400" s="1"/>
    </row>
    <row r="1401" spans="1:1" ht="17.149999999999999" customHeight="1">
      <c r="A1401" s="1"/>
    </row>
    <row r="1402" spans="1:1" ht="17.149999999999999" customHeight="1">
      <c r="A1402" s="1"/>
    </row>
    <row r="1403" spans="1:1" ht="17.149999999999999" customHeight="1">
      <c r="A1403" s="1"/>
    </row>
    <row r="1404" spans="1:1" ht="17.149999999999999" customHeight="1">
      <c r="A1404" s="1"/>
    </row>
    <row r="1405" spans="1:1" ht="17.149999999999999" customHeight="1">
      <c r="A1405" s="1"/>
    </row>
    <row r="1406" spans="1:1" ht="17.149999999999999" customHeight="1">
      <c r="A1406" s="1"/>
    </row>
    <row r="1407" spans="1:1" ht="17.149999999999999" customHeight="1">
      <c r="A1407" s="1"/>
    </row>
    <row r="1408" spans="1:1" ht="17.149999999999999" customHeight="1">
      <c r="A1408" s="1"/>
    </row>
    <row r="1409" spans="1:1" ht="17.149999999999999" customHeight="1">
      <c r="A1409" s="1"/>
    </row>
    <row r="1410" spans="1:1" ht="17.149999999999999" customHeight="1">
      <c r="A1410" s="1"/>
    </row>
    <row r="1411" spans="1:1" ht="17.149999999999999" customHeight="1">
      <c r="A1411" s="1"/>
    </row>
    <row r="1412" spans="1:1" ht="17.149999999999999" customHeight="1">
      <c r="A1412" s="1"/>
    </row>
    <row r="1413" spans="1:1" ht="17.149999999999999" customHeight="1">
      <c r="A1413" s="1"/>
    </row>
    <row r="1414" spans="1:1" ht="17.149999999999999" customHeight="1">
      <c r="A1414" s="1"/>
    </row>
    <row r="1415" spans="1:1" ht="17.149999999999999" customHeight="1">
      <c r="A1415" s="1"/>
    </row>
    <row r="1416" spans="1:1" ht="17.149999999999999" customHeight="1">
      <c r="A1416" s="1"/>
    </row>
    <row r="1417" spans="1:1" ht="17.149999999999999" customHeight="1">
      <c r="A1417" s="1"/>
    </row>
    <row r="1418" spans="1:1" ht="17.149999999999999" customHeight="1">
      <c r="A1418" s="1"/>
    </row>
    <row r="1419" spans="1:1" ht="17.149999999999999" customHeight="1">
      <c r="A1419" s="1"/>
    </row>
    <row r="1420" spans="1:1" ht="17.149999999999999" customHeight="1">
      <c r="A1420" s="1"/>
    </row>
    <row r="1421" spans="1:1" ht="17.149999999999999" customHeight="1">
      <c r="A1421" s="1"/>
    </row>
    <row r="1422" spans="1:1" ht="17.149999999999999" customHeight="1">
      <c r="A1422" s="1"/>
    </row>
    <row r="1423" spans="1:1" ht="17.149999999999999" customHeight="1">
      <c r="A1423" s="1"/>
    </row>
    <row r="1424" spans="1:1" ht="17.149999999999999" customHeight="1">
      <c r="A1424" s="1"/>
    </row>
    <row r="1425" spans="1:1" ht="17.149999999999999" customHeight="1">
      <c r="A1425" s="1"/>
    </row>
    <row r="1426" spans="1:1" ht="17.149999999999999" customHeight="1">
      <c r="A1426" s="1"/>
    </row>
    <row r="1427" spans="1:1" ht="17.149999999999999" customHeight="1">
      <c r="A1427" s="1"/>
    </row>
    <row r="1428" spans="1:1" ht="17.149999999999999" customHeight="1">
      <c r="A1428" s="1"/>
    </row>
    <row r="1429" spans="1:1" ht="17.149999999999999" customHeight="1">
      <c r="A1429" s="1"/>
    </row>
    <row r="1430" spans="1:1" ht="17.149999999999999" customHeight="1">
      <c r="A1430" s="1"/>
    </row>
    <row r="1431" spans="1:1" ht="17.149999999999999" customHeight="1">
      <c r="A1431" s="1"/>
    </row>
    <row r="1432" spans="1:1" ht="17.149999999999999" customHeight="1">
      <c r="A1432" s="1"/>
    </row>
    <row r="1433" spans="1:1" ht="17.149999999999999" customHeight="1">
      <c r="A1433" s="1"/>
    </row>
    <row r="1434" spans="1:1" ht="17.149999999999999" customHeight="1">
      <c r="A1434" s="1"/>
    </row>
    <row r="1435" spans="1:1" ht="17.149999999999999" customHeight="1">
      <c r="A1435" s="1"/>
    </row>
    <row r="1436" spans="1:1" ht="17.149999999999999" customHeight="1">
      <c r="A1436" s="1"/>
    </row>
    <row r="1437" spans="1:1" ht="17.149999999999999" customHeight="1">
      <c r="A1437" s="1"/>
    </row>
    <row r="1438" spans="1:1" ht="17.149999999999999" customHeight="1">
      <c r="A1438" s="1"/>
    </row>
    <row r="1439" spans="1:1" ht="17.149999999999999" customHeight="1">
      <c r="A1439" s="1"/>
    </row>
    <row r="1440" spans="1:1" ht="17.149999999999999" customHeight="1">
      <c r="A1440" s="1"/>
    </row>
    <row r="1441" spans="1:1" ht="17.149999999999999" customHeight="1">
      <c r="A1441" s="1"/>
    </row>
    <row r="1442" spans="1:1" ht="17.149999999999999" customHeight="1">
      <c r="A1442" s="1"/>
    </row>
    <row r="1443" spans="1:1" ht="17.149999999999999" customHeight="1">
      <c r="A1443" s="1"/>
    </row>
    <row r="1444" spans="1:1" ht="17.149999999999999" customHeight="1">
      <c r="A1444" s="1"/>
    </row>
    <row r="1445" spans="1:1" ht="17.149999999999999" customHeight="1">
      <c r="A1445" s="1"/>
    </row>
    <row r="1446" spans="1:1" ht="17.149999999999999" customHeight="1">
      <c r="A1446" s="1"/>
    </row>
    <row r="1447" spans="1:1" ht="17.149999999999999" customHeight="1">
      <c r="A1447" s="1"/>
    </row>
    <row r="1448" spans="1:1" ht="17.149999999999999" customHeight="1">
      <c r="A1448" s="1"/>
    </row>
    <row r="1449" spans="1:1" ht="17.149999999999999" customHeight="1">
      <c r="A1449" s="1"/>
    </row>
    <row r="1450" spans="1:1" ht="17.149999999999999" customHeight="1">
      <c r="A1450" s="1"/>
    </row>
    <row r="1451" spans="1:1" ht="17.149999999999999" customHeight="1">
      <c r="A1451" s="1"/>
    </row>
    <row r="1452" spans="1:1" ht="17.149999999999999" customHeight="1">
      <c r="A1452" s="1"/>
    </row>
    <row r="1453" spans="1:1" ht="17.149999999999999" customHeight="1">
      <c r="A1453" s="1"/>
    </row>
    <row r="1454" spans="1:1" ht="17.149999999999999" customHeight="1">
      <c r="A1454" s="1"/>
    </row>
    <row r="1455" spans="1:1" ht="17.149999999999999" customHeight="1">
      <c r="A1455" s="1"/>
    </row>
    <row r="1456" spans="1:1" ht="17.149999999999999" customHeight="1">
      <c r="A1456" s="1"/>
    </row>
    <row r="1457" spans="1:1" ht="17.149999999999999" customHeight="1">
      <c r="A1457" s="1"/>
    </row>
    <row r="1458" spans="1:1" ht="17.149999999999999" customHeight="1">
      <c r="A1458" s="1"/>
    </row>
    <row r="1459" spans="1:1" ht="17.149999999999999" customHeight="1">
      <c r="A1459" s="1"/>
    </row>
    <row r="1460" spans="1:1" ht="17.149999999999999" customHeight="1">
      <c r="A1460" s="1"/>
    </row>
    <row r="1461" spans="1:1" ht="17.149999999999999" customHeight="1">
      <c r="A1461" s="1"/>
    </row>
    <row r="1462" spans="1:1" ht="17.149999999999999" customHeight="1">
      <c r="A1462" s="1"/>
    </row>
    <row r="1463" spans="1:1" ht="17.149999999999999" customHeight="1">
      <c r="A1463" s="1"/>
    </row>
    <row r="1464" spans="1:1" ht="17.149999999999999" customHeight="1">
      <c r="A1464" s="1"/>
    </row>
    <row r="1465" spans="1:1" ht="17.149999999999999" customHeight="1">
      <c r="A1465" s="1"/>
    </row>
    <row r="1466" spans="1:1" ht="17.149999999999999" customHeight="1">
      <c r="A1466" s="1"/>
    </row>
    <row r="1467" spans="1:1" ht="17.149999999999999" customHeight="1">
      <c r="A1467" s="1"/>
    </row>
    <row r="1468" spans="1:1" ht="17.149999999999999" customHeight="1">
      <c r="A1468" s="1"/>
    </row>
    <row r="1469" spans="1:1" ht="17.149999999999999" customHeight="1">
      <c r="A1469" s="1"/>
    </row>
    <row r="1470" spans="1:1" ht="17.149999999999999" customHeight="1">
      <c r="A1470" s="1"/>
    </row>
    <row r="1471" spans="1:1" ht="17.149999999999999" customHeight="1">
      <c r="A1471" s="1"/>
    </row>
    <row r="1472" spans="1:1" ht="17.149999999999999" customHeight="1">
      <c r="A1472" s="1"/>
    </row>
    <row r="1473" spans="1:1" ht="17.149999999999999" customHeight="1">
      <c r="A1473" s="1"/>
    </row>
    <row r="1474" spans="1:1" ht="17.149999999999999" customHeight="1">
      <c r="A1474" s="1"/>
    </row>
    <row r="1475" spans="1:1" ht="17.149999999999999" customHeight="1">
      <c r="A1475" s="1"/>
    </row>
    <row r="1476" spans="1:1" ht="17.149999999999999" customHeight="1">
      <c r="A1476" s="1"/>
    </row>
    <row r="1477" spans="1:1" ht="17.149999999999999" customHeight="1">
      <c r="A1477" s="1"/>
    </row>
    <row r="1478" spans="1:1" ht="17.149999999999999" customHeight="1">
      <c r="A1478" s="1"/>
    </row>
    <row r="1479" spans="1:1" ht="17.149999999999999" customHeight="1">
      <c r="A1479" s="1"/>
    </row>
    <row r="1480" spans="1:1" ht="17.149999999999999" customHeight="1">
      <c r="A1480" s="1"/>
    </row>
    <row r="1481" spans="1:1" ht="17.149999999999999" customHeight="1">
      <c r="A1481" s="1"/>
    </row>
    <row r="1482" spans="1:1" ht="17.149999999999999" customHeight="1">
      <c r="A1482" s="1"/>
    </row>
    <row r="1483" spans="1:1" ht="17.149999999999999" customHeight="1">
      <c r="A1483" s="1"/>
    </row>
    <row r="1484" spans="1:1" ht="17.149999999999999" customHeight="1">
      <c r="A1484" s="1"/>
    </row>
    <row r="1485" spans="1:1" ht="17.149999999999999" customHeight="1">
      <c r="A1485" s="1"/>
    </row>
    <row r="1486" spans="1:1" ht="17.149999999999999" customHeight="1">
      <c r="A1486" s="1"/>
    </row>
    <row r="1487" spans="1:1" ht="17.149999999999999" customHeight="1">
      <c r="A1487" s="1"/>
    </row>
    <row r="1488" spans="1:1" ht="17.149999999999999" customHeight="1">
      <c r="A1488" s="1"/>
    </row>
    <row r="1489" spans="1:1" ht="17.149999999999999" customHeight="1">
      <c r="A1489" s="1"/>
    </row>
    <row r="1490" spans="1:1" ht="17.149999999999999" customHeight="1">
      <c r="A1490" s="1"/>
    </row>
    <row r="1491" spans="1:1" ht="17.149999999999999" customHeight="1">
      <c r="A1491" s="1"/>
    </row>
    <row r="1492" spans="1:1" ht="17.149999999999999" customHeight="1">
      <c r="A1492" s="1"/>
    </row>
    <row r="1493" spans="1:1" ht="17.149999999999999" customHeight="1">
      <c r="A1493" s="1"/>
    </row>
    <row r="1494" spans="1:1" ht="17.149999999999999" customHeight="1">
      <c r="A1494" s="1"/>
    </row>
    <row r="1495" spans="1:1" ht="17.149999999999999" customHeight="1">
      <c r="A1495" s="1"/>
    </row>
    <row r="1496" spans="1:1" ht="17.149999999999999" customHeight="1">
      <c r="A1496" s="1"/>
    </row>
    <row r="1497" spans="1:1" ht="17.149999999999999" customHeight="1">
      <c r="A1497" s="1"/>
    </row>
    <row r="1498" spans="1:1" ht="17.149999999999999" customHeight="1">
      <c r="A1498" s="1"/>
    </row>
    <row r="1499" spans="1:1" ht="17.149999999999999" customHeight="1">
      <c r="A1499" s="1"/>
    </row>
    <row r="1500" spans="1:1" ht="17.149999999999999" customHeight="1">
      <c r="A1500" s="1"/>
    </row>
    <row r="1501" spans="1:1" ht="17.149999999999999" customHeight="1">
      <c r="A1501" s="1"/>
    </row>
    <row r="1502" spans="1:1" ht="17.149999999999999" customHeight="1">
      <c r="A1502" s="1"/>
    </row>
    <row r="1503" spans="1:1" ht="17.149999999999999" customHeight="1">
      <c r="A1503" s="1"/>
    </row>
    <row r="1504" spans="1:1" ht="17.149999999999999" customHeight="1">
      <c r="A1504" s="1"/>
    </row>
    <row r="1505" spans="1:1" ht="17.149999999999999" customHeight="1">
      <c r="A1505" s="1"/>
    </row>
    <row r="1506" spans="1:1" ht="17.149999999999999" customHeight="1">
      <c r="A1506" s="1"/>
    </row>
    <row r="1507" spans="1:1" ht="17.149999999999999" customHeight="1">
      <c r="A1507" s="1"/>
    </row>
    <row r="1508" spans="1:1" ht="17.149999999999999" customHeight="1">
      <c r="A1508" s="1"/>
    </row>
    <row r="1509" spans="1:1" ht="17.149999999999999" customHeight="1">
      <c r="A1509" s="1"/>
    </row>
    <row r="1510" spans="1:1" ht="17.149999999999999" customHeight="1">
      <c r="A1510" s="1"/>
    </row>
    <row r="1511" spans="1:1" ht="17.149999999999999" customHeight="1">
      <c r="A1511" s="1"/>
    </row>
    <row r="1512" spans="1:1" ht="17.149999999999999" customHeight="1">
      <c r="A1512" s="1"/>
    </row>
    <row r="1513" spans="1:1" ht="17.149999999999999" customHeight="1">
      <c r="A1513" s="1"/>
    </row>
    <row r="1514" spans="1:1" ht="17.149999999999999" customHeight="1">
      <c r="A1514" s="1"/>
    </row>
    <row r="1515" spans="1:1" ht="17.149999999999999" customHeight="1">
      <c r="A1515" s="1"/>
    </row>
    <row r="1516" spans="1:1" ht="17.149999999999999" customHeight="1">
      <c r="A1516" s="1"/>
    </row>
    <row r="1517" spans="1:1" ht="17.149999999999999" customHeight="1">
      <c r="A1517" s="1"/>
    </row>
    <row r="1518" spans="1:1" ht="17.149999999999999" customHeight="1">
      <c r="A1518" s="1"/>
    </row>
    <row r="1519" spans="1:1" ht="17.149999999999999" customHeight="1">
      <c r="A1519" s="1"/>
    </row>
    <row r="1520" spans="1:1" ht="17.149999999999999" customHeight="1">
      <c r="A1520" s="1"/>
    </row>
    <row r="1521" spans="1:1" ht="17.149999999999999" customHeight="1">
      <c r="A1521" s="1"/>
    </row>
    <row r="1522" spans="1:1" ht="17.149999999999999" customHeight="1">
      <c r="A1522" s="1"/>
    </row>
    <row r="1523" spans="1:1" ht="17.149999999999999" customHeight="1">
      <c r="A1523" s="1"/>
    </row>
    <row r="1524" spans="1:1" ht="17.149999999999999" customHeight="1">
      <c r="A1524" s="1"/>
    </row>
    <row r="1525" spans="1:1" ht="17.149999999999999" customHeight="1">
      <c r="A1525" s="1"/>
    </row>
    <row r="1526" spans="1:1" ht="17.149999999999999" customHeight="1">
      <c r="A1526" s="1"/>
    </row>
    <row r="1527" spans="1:1" ht="17.149999999999999" customHeight="1">
      <c r="A1527" s="1"/>
    </row>
    <row r="1528" spans="1:1" ht="17.149999999999999" customHeight="1">
      <c r="A1528" s="1"/>
    </row>
    <row r="1529" spans="1:1" ht="17.149999999999999" customHeight="1">
      <c r="A1529" s="1"/>
    </row>
    <row r="1530" spans="1:1" ht="17.149999999999999" customHeight="1">
      <c r="A1530" s="1"/>
    </row>
    <row r="1531" spans="1:1" ht="17.149999999999999" customHeight="1">
      <c r="A1531" s="1"/>
    </row>
    <row r="1532" spans="1:1" ht="17.149999999999999" customHeight="1">
      <c r="A1532" s="1"/>
    </row>
    <row r="1533" spans="1:1" ht="17.149999999999999" customHeight="1">
      <c r="A1533" s="1"/>
    </row>
    <row r="1534" spans="1:1" ht="17.149999999999999" customHeight="1">
      <c r="A1534" s="1"/>
    </row>
    <row r="1535" spans="1:1" ht="17.149999999999999" customHeight="1">
      <c r="A1535" s="1"/>
    </row>
    <row r="1536" spans="1:1" ht="17.149999999999999" customHeight="1">
      <c r="A1536" s="1"/>
    </row>
    <row r="1537" spans="1:1" ht="17.149999999999999" customHeight="1">
      <c r="A1537" s="1"/>
    </row>
    <row r="1538" spans="1:1" ht="17.149999999999999" customHeight="1">
      <c r="A1538" s="1"/>
    </row>
    <row r="1539" spans="1:1" ht="17.149999999999999" customHeight="1">
      <c r="A1539" s="1"/>
    </row>
    <row r="1540" spans="1:1" ht="17.149999999999999" customHeight="1">
      <c r="A1540" s="1"/>
    </row>
    <row r="1541" spans="1:1" ht="17.149999999999999" customHeight="1">
      <c r="A1541" s="1"/>
    </row>
    <row r="1542" spans="1:1" ht="17.149999999999999" customHeight="1">
      <c r="A1542" s="1"/>
    </row>
    <row r="1543" spans="1:1" ht="17.149999999999999" customHeight="1">
      <c r="A1543" s="1"/>
    </row>
    <row r="1544" spans="1:1" ht="17.149999999999999" customHeight="1">
      <c r="A1544" s="1"/>
    </row>
    <row r="1545" spans="1:1" ht="17.149999999999999" customHeight="1">
      <c r="A1545" s="1"/>
    </row>
    <row r="1546" spans="1:1" ht="17.149999999999999" customHeight="1">
      <c r="A1546" s="1"/>
    </row>
    <row r="1547" spans="1:1" ht="17.149999999999999" customHeight="1">
      <c r="A1547" s="1"/>
    </row>
    <row r="1548" spans="1:1" ht="17.149999999999999" customHeight="1">
      <c r="A1548" s="1"/>
    </row>
    <row r="1549" spans="1:1" ht="17.149999999999999" customHeight="1">
      <c r="A1549" s="1"/>
    </row>
    <row r="1550" spans="1:1" ht="17.149999999999999" customHeight="1">
      <c r="A1550" s="1"/>
    </row>
    <row r="1551" spans="1:1" ht="17.149999999999999" customHeight="1">
      <c r="A1551" s="1"/>
    </row>
    <row r="1552" spans="1:1" ht="17.149999999999999" customHeight="1">
      <c r="A1552" s="1"/>
    </row>
    <row r="1553" spans="1:1" ht="17.149999999999999" customHeight="1">
      <c r="A1553" s="1"/>
    </row>
    <row r="1554" spans="1:1" ht="17.149999999999999" customHeight="1">
      <c r="A1554" s="1"/>
    </row>
    <row r="1555" spans="1:1" ht="17.149999999999999" customHeight="1">
      <c r="A1555" s="1"/>
    </row>
    <row r="1556" spans="1:1" ht="17.149999999999999" customHeight="1">
      <c r="A1556" s="1"/>
    </row>
    <row r="1557" spans="1:1" ht="17.149999999999999" customHeight="1">
      <c r="A1557" s="1"/>
    </row>
    <row r="1558" spans="1:1" ht="17.149999999999999" customHeight="1">
      <c r="A1558" s="1"/>
    </row>
    <row r="1559" spans="1:1" ht="17.149999999999999" customHeight="1">
      <c r="A1559" s="1"/>
    </row>
    <row r="1560" spans="1:1" ht="17.149999999999999" customHeight="1">
      <c r="A1560" s="1"/>
    </row>
    <row r="1561" spans="1:1" ht="17.149999999999999" customHeight="1">
      <c r="A1561" s="1"/>
    </row>
    <row r="1562" spans="1:1" ht="17.149999999999999" customHeight="1">
      <c r="A1562" s="1"/>
    </row>
    <row r="1563" spans="1:1" ht="17.149999999999999" customHeight="1">
      <c r="A1563" s="1"/>
    </row>
    <row r="1564" spans="1:1" ht="17.149999999999999" customHeight="1">
      <c r="A1564" s="1"/>
    </row>
    <row r="1565" spans="1:1" ht="17.149999999999999" customHeight="1">
      <c r="A1565" s="1"/>
    </row>
    <row r="1566" spans="1:1" ht="17.149999999999999" customHeight="1">
      <c r="A1566" s="1"/>
    </row>
    <row r="1567" spans="1:1" ht="17.149999999999999" customHeight="1">
      <c r="A1567" s="1"/>
    </row>
    <row r="1568" spans="1:1" ht="17.149999999999999" customHeight="1">
      <c r="A1568" s="1"/>
    </row>
    <row r="1569" spans="1:1" ht="17.149999999999999" customHeight="1">
      <c r="A1569" s="1"/>
    </row>
    <row r="1570" spans="1:1" ht="17.149999999999999" customHeight="1">
      <c r="A1570" s="1"/>
    </row>
    <row r="1571" spans="1:1" ht="17.149999999999999" customHeight="1">
      <c r="A1571" s="1"/>
    </row>
    <row r="1572" spans="1:1" ht="17.149999999999999" customHeight="1">
      <c r="A1572" s="1"/>
    </row>
    <row r="1573" spans="1:1" ht="17.149999999999999" customHeight="1">
      <c r="A1573" s="1"/>
    </row>
    <row r="1574" spans="1:1" ht="17.149999999999999" customHeight="1">
      <c r="A1574" s="1"/>
    </row>
    <row r="1575" spans="1:1" ht="17.149999999999999" customHeight="1">
      <c r="A1575" s="1"/>
    </row>
    <row r="1576" spans="1:1" ht="17.149999999999999" customHeight="1">
      <c r="A1576" s="1"/>
    </row>
    <row r="1577" spans="1:1" ht="17.149999999999999" customHeight="1">
      <c r="A1577" s="1"/>
    </row>
    <row r="1578" spans="1:1" ht="17.149999999999999" customHeight="1">
      <c r="A1578" s="1"/>
    </row>
    <row r="1579" spans="1:1" ht="17.149999999999999" customHeight="1">
      <c r="A1579" s="1"/>
    </row>
    <row r="1580" spans="1:1" ht="17.149999999999999" customHeight="1">
      <c r="A1580" s="1"/>
    </row>
    <row r="1581" spans="1:1" ht="17.149999999999999" customHeight="1">
      <c r="A1581" s="1"/>
    </row>
    <row r="1582" spans="1:1" ht="17.149999999999999" customHeight="1">
      <c r="A1582" s="1"/>
    </row>
    <row r="1583" spans="1:1" ht="17.149999999999999" customHeight="1">
      <c r="A1583" s="1"/>
    </row>
    <row r="1584" spans="1:1" ht="17.149999999999999" customHeight="1">
      <c r="A1584" s="1"/>
    </row>
    <row r="1585" spans="1:1" ht="17.149999999999999" customHeight="1">
      <c r="A1585" s="1"/>
    </row>
    <row r="1586" spans="1:1" ht="17.149999999999999" customHeight="1">
      <c r="A1586" s="1"/>
    </row>
    <row r="1587" spans="1:1" ht="17.149999999999999" customHeight="1">
      <c r="A1587" s="1"/>
    </row>
    <row r="1588" spans="1:1" ht="17.149999999999999" customHeight="1">
      <c r="A1588" s="1"/>
    </row>
    <row r="1589" spans="1:1" ht="17.149999999999999" customHeight="1">
      <c r="A1589" s="1"/>
    </row>
    <row r="1590" spans="1:1" ht="17.149999999999999" customHeight="1">
      <c r="A1590" s="1"/>
    </row>
    <row r="1591" spans="1:1" ht="17.149999999999999" customHeight="1">
      <c r="A1591" s="1"/>
    </row>
    <row r="1592" spans="1:1" ht="17.149999999999999" customHeight="1">
      <c r="A1592" s="1"/>
    </row>
    <row r="1593" spans="1:1" ht="17.149999999999999" customHeight="1">
      <c r="A1593" s="1"/>
    </row>
    <row r="1594" spans="1:1" ht="17.149999999999999" customHeight="1">
      <c r="A1594" s="1"/>
    </row>
    <row r="1595" spans="1:1" ht="17.149999999999999" customHeight="1">
      <c r="A1595" s="1"/>
    </row>
    <row r="1596" spans="1:1" ht="17.149999999999999" customHeight="1">
      <c r="A1596" s="1"/>
    </row>
    <row r="1597" spans="1:1" ht="17.149999999999999" customHeight="1">
      <c r="A1597" s="1"/>
    </row>
    <row r="1598" spans="1:1" ht="17.149999999999999" customHeight="1">
      <c r="A1598" s="1"/>
    </row>
    <row r="1599" spans="1:1" ht="17.149999999999999" customHeight="1">
      <c r="A1599" s="1"/>
    </row>
    <row r="1600" spans="1:1" ht="17.149999999999999" customHeight="1">
      <c r="A1600" s="1"/>
    </row>
    <row r="1601" spans="1:1" ht="17.149999999999999" customHeight="1">
      <c r="A1601" s="1"/>
    </row>
    <row r="1602" spans="1:1" ht="17.149999999999999" customHeight="1">
      <c r="A1602" s="1"/>
    </row>
    <row r="1603" spans="1:1" ht="17.149999999999999" customHeight="1">
      <c r="A1603" s="1"/>
    </row>
    <row r="1604" spans="1:1" ht="17.149999999999999" customHeight="1">
      <c r="A1604" s="1"/>
    </row>
    <row r="1605" spans="1:1" ht="17.149999999999999" customHeight="1">
      <c r="A1605" s="1"/>
    </row>
    <row r="1606" spans="1:1" ht="17.149999999999999" customHeight="1">
      <c r="A1606" s="1"/>
    </row>
    <row r="1607" spans="1:1" ht="17.149999999999999" customHeight="1">
      <c r="A1607" s="1"/>
    </row>
    <row r="1608" spans="1:1" ht="17.149999999999999" customHeight="1">
      <c r="A1608" s="1"/>
    </row>
    <row r="1609" spans="1:1" ht="17.149999999999999" customHeight="1">
      <c r="A1609" s="1"/>
    </row>
    <row r="1610" spans="1:1" ht="17.149999999999999" customHeight="1">
      <c r="A1610" s="1"/>
    </row>
    <row r="1611" spans="1:1" ht="17.149999999999999" customHeight="1">
      <c r="A1611" s="1"/>
    </row>
    <row r="1612" spans="1:1" ht="17.149999999999999" customHeight="1">
      <c r="A1612" s="1"/>
    </row>
    <row r="1613" spans="1:1" ht="17.149999999999999" customHeight="1">
      <c r="A1613" s="1"/>
    </row>
    <row r="1614" spans="1:1" ht="17.149999999999999" customHeight="1">
      <c r="A1614" s="1"/>
    </row>
    <row r="1615" spans="1:1" ht="17.149999999999999" customHeight="1">
      <c r="A1615" s="1"/>
    </row>
    <row r="1616" spans="1:1" ht="17.149999999999999" customHeight="1">
      <c r="A1616" s="1"/>
    </row>
    <row r="1617" spans="1:1" ht="17.149999999999999" customHeight="1">
      <c r="A1617" s="1"/>
    </row>
    <row r="1618" spans="1:1" ht="17.149999999999999" customHeight="1">
      <c r="A1618" s="1"/>
    </row>
    <row r="1619" spans="1:1" ht="17.149999999999999" customHeight="1">
      <c r="A1619" s="1"/>
    </row>
    <row r="1620" spans="1:1" ht="17.149999999999999" customHeight="1">
      <c r="A1620" s="1"/>
    </row>
    <row r="1621" spans="1:1" ht="17.149999999999999" customHeight="1">
      <c r="A1621" s="1"/>
    </row>
    <row r="1622" spans="1:1" ht="17.149999999999999" customHeight="1">
      <c r="A1622" s="1"/>
    </row>
    <row r="1623" spans="1:1" ht="17.149999999999999" customHeight="1">
      <c r="A1623" s="1"/>
    </row>
    <row r="1624" spans="1:1" ht="17.149999999999999" customHeight="1">
      <c r="A1624" s="1"/>
    </row>
    <row r="1625" spans="1:1" ht="17.149999999999999" customHeight="1">
      <c r="A1625" s="1"/>
    </row>
    <row r="1626" spans="1:1" ht="17.149999999999999" customHeight="1">
      <c r="A1626" s="1"/>
    </row>
    <row r="1627" spans="1:1" ht="17.149999999999999" customHeight="1">
      <c r="A1627" s="1"/>
    </row>
    <row r="1628" spans="1:1" ht="17.149999999999999" customHeight="1">
      <c r="A1628" s="1"/>
    </row>
    <row r="1629" spans="1:1" ht="17.149999999999999" customHeight="1">
      <c r="A1629" s="1"/>
    </row>
    <row r="1630" spans="1:1" ht="17.149999999999999" customHeight="1">
      <c r="A1630" s="1"/>
    </row>
    <row r="1631" spans="1:1" ht="17.149999999999999" customHeight="1">
      <c r="A1631" s="1"/>
    </row>
    <row r="1632" spans="1:1" ht="17.149999999999999" customHeight="1">
      <c r="A1632" s="1"/>
    </row>
    <row r="1633" spans="1:1" ht="17.149999999999999" customHeight="1">
      <c r="A1633" s="1"/>
    </row>
    <row r="1634" spans="1:1" ht="17.149999999999999" customHeight="1">
      <c r="A1634" s="1"/>
    </row>
    <row r="1635" spans="1:1" ht="17.149999999999999" customHeight="1">
      <c r="A1635" s="1"/>
    </row>
    <row r="1636" spans="1:1" ht="17.149999999999999" customHeight="1">
      <c r="A1636" s="1"/>
    </row>
    <row r="1637" spans="1:1" ht="17.149999999999999" customHeight="1">
      <c r="A1637" s="1"/>
    </row>
    <row r="1638" spans="1:1" ht="17.149999999999999" customHeight="1">
      <c r="A1638" s="1"/>
    </row>
    <row r="1639" spans="1:1" ht="17.149999999999999" customHeight="1">
      <c r="A1639" s="1"/>
    </row>
    <row r="1640" spans="1:1" ht="17.149999999999999" customHeight="1">
      <c r="A1640" s="1"/>
    </row>
    <row r="1641" spans="1:1" ht="17.149999999999999" customHeight="1">
      <c r="A1641" s="1"/>
    </row>
    <row r="1642" spans="1:1" ht="17.149999999999999" customHeight="1">
      <c r="A1642" s="1"/>
    </row>
    <row r="1643" spans="1:1" ht="17.149999999999999" customHeight="1">
      <c r="A1643" s="1"/>
    </row>
    <row r="1644" spans="1:1" ht="17.149999999999999" customHeight="1">
      <c r="A1644" s="1"/>
    </row>
    <row r="1645" spans="1:1" ht="17.149999999999999" customHeight="1">
      <c r="A1645" s="1"/>
    </row>
    <row r="1646" spans="1:1" ht="17.149999999999999" customHeight="1">
      <c r="A1646" s="1"/>
    </row>
    <row r="1647" spans="1:1" ht="17.149999999999999" customHeight="1">
      <c r="A1647" s="1"/>
    </row>
    <row r="1648" spans="1:1" ht="17.149999999999999" customHeight="1">
      <c r="A1648" s="1"/>
    </row>
    <row r="1649" spans="1:1" ht="17.149999999999999" customHeight="1">
      <c r="A1649" s="1"/>
    </row>
    <row r="1650" spans="1:1" ht="17.149999999999999" customHeight="1">
      <c r="A1650" s="1"/>
    </row>
    <row r="1651" spans="1:1" ht="17.149999999999999" customHeight="1">
      <c r="A1651" s="1"/>
    </row>
    <row r="1652" spans="1:1" ht="17.149999999999999" customHeight="1">
      <c r="A1652" s="1"/>
    </row>
    <row r="1653" spans="1:1" ht="17.149999999999999" customHeight="1">
      <c r="A1653" s="1"/>
    </row>
    <row r="1654" spans="1:1" ht="17.149999999999999" customHeight="1">
      <c r="A1654" s="1"/>
    </row>
    <row r="1655" spans="1:1" ht="17.149999999999999" customHeight="1">
      <c r="A1655" s="1"/>
    </row>
    <row r="1656" spans="1:1" ht="17.149999999999999" customHeight="1">
      <c r="A1656" s="1"/>
    </row>
    <row r="1657" spans="1:1" ht="17.149999999999999" customHeight="1">
      <c r="A1657" s="1"/>
    </row>
    <row r="1658" spans="1:1" ht="17.149999999999999" customHeight="1">
      <c r="A1658" s="1"/>
    </row>
    <row r="1659" spans="1:1" ht="17.149999999999999" customHeight="1">
      <c r="A1659" s="1"/>
    </row>
    <row r="1660" spans="1:1" ht="17.149999999999999" customHeight="1">
      <c r="A1660" s="1"/>
    </row>
    <row r="1661" spans="1:1" ht="17.149999999999999" customHeight="1">
      <c r="A1661" s="1"/>
    </row>
    <row r="1662" spans="1:1" ht="17.149999999999999" customHeight="1">
      <c r="A1662" s="1"/>
    </row>
    <row r="1663" spans="1:1" ht="17.149999999999999" customHeight="1">
      <c r="A1663" s="1"/>
    </row>
    <row r="1664" spans="1:1" ht="17.149999999999999" customHeight="1">
      <c r="A1664" s="1"/>
    </row>
    <row r="1665" spans="1:1" ht="17.149999999999999" customHeight="1">
      <c r="A1665" s="1"/>
    </row>
    <row r="1666" spans="1:1" ht="17.149999999999999" customHeight="1">
      <c r="A1666" s="1"/>
    </row>
    <row r="1667" spans="1:1" ht="17.149999999999999" customHeight="1">
      <c r="A1667" s="1"/>
    </row>
    <row r="1668" spans="1:1" ht="17.149999999999999" customHeight="1">
      <c r="A1668" s="1"/>
    </row>
    <row r="1669" spans="1:1" ht="17.149999999999999" customHeight="1">
      <c r="A1669" s="1"/>
    </row>
    <row r="1670" spans="1:1" ht="17.149999999999999" customHeight="1">
      <c r="A1670" s="1"/>
    </row>
    <row r="1671" spans="1:1" ht="17.149999999999999" customHeight="1">
      <c r="A1671" s="1"/>
    </row>
    <row r="1672" spans="1:1" ht="17.149999999999999" customHeight="1">
      <c r="A1672" s="1"/>
    </row>
    <row r="1673" spans="1:1" ht="17.149999999999999" customHeight="1">
      <c r="A1673" s="1"/>
    </row>
    <row r="1674" spans="1:1" ht="17.149999999999999" customHeight="1">
      <c r="A1674" s="1"/>
    </row>
    <row r="1675" spans="1:1" ht="17.149999999999999" customHeight="1">
      <c r="A1675" s="1"/>
    </row>
    <row r="1676" spans="1:1" ht="17.149999999999999" customHeight="1">
      <c r="A1676" s="1"/>
    </row>
    <row r="1677" spans="1:1" ht="17.149999999999999" customHeight="1">
      <c r="A1677" s="1"/>
    </row>
    <row r="1678" spans="1:1" ht="17.149999999999999" customHeight="1">
      <c r="A1678" s="1"/>
    </row>
    <row r="1679" spans="1:1" ht="17.149999999999999" customHeight="1">
      <c r="A1679" s="1"/>
    </row>
    <row r="1680" spans="1:1" ht="17.149999999999999" customHeight="1">
      <c r="A1680" s="1"/>
    </row>
    <row r="1681" spans="1:1" ht="17.149999999999999" customHeight="1">
      <c r="A1681" s="1"/>
    </row>
    <row r="1682" spans="1:1" ht="17.149999999999999" customHeight="1">
      <c r="A1682" s="1"/>
    </row>
    <row r="1683" spans="1:1" ht="17.149999999999999" customHeight="1">
      <c r="A1683" s="1"/>
    </row>
    <row r="1684" spans="1:1" ht="17.149999999999999" customHeight="1">
      <c r="A1684" s="1"/>
    </row>
    <row r="1685" spans="1:1" ht="17.149999999999999" customHeight="1">
      <c r="A1685" s="1"/>
    </row>
    <row r="1686" spans="1:1" ht="17.149999999999999" customHeight="1">
      <c r="A1686" s="1"/>
    </row>
    <row r="1687" spans="1:1" ht="17.149999999999999" customHeight="1">
      <c r="A1687" s="1"/>
    </row>
    <row r="1688" spans="1:1" ht="17.149999999999999" customHeight="1">
      <c r="A1688" s="1"/>
    </row>
    <row r="1689" spans="1:1" ht="17.149999999999999" customHeight="1">
      <c r="A1689" s="1"/>
    </row>
    <row r="1690" spans="1:1" ht="17.149999999999999" customHeight="1">
      <c r="A1690" s="1"/>
    </row>
    <row r="1691" spans="1:1" ht="17.149999999999999" customHeight="1">
      <c r="A1691" s="1"/>
    </row>
    <row r="1692" spans="1:1" ht="17.149999999999999" customHeight="1">
      <c r="A1692" s="1"/>
    </row>
    <row r="1693" spans="1:1" ht="17.149999999999999" customHeight="1">
      <c r="A1693" s="1"/>
    </row>
    <row r="1694" spans="1:1" ht="17.149999999999999" customHeight="1">
      <c r="A1694" s="1"/>
    </row>
    <row r="1695" spans="1:1" ht="17.149999999999999" customHeight="1">
      <c r="A1695" s="1"/>
    </row>
    <row r="1696" spans="1:1" ht="17.149999999999999" customHeight="1">
      <c r="A1696" s="1"/>
    </row>
    <row r="1697" spans="1:1" ht="17.149999999999999" customHeight="1">
      <c r="A1697" s="1"/>
    </row>
    <row r="1698" spans="1:1" ht="17.149999999999999" customHeight="1">
      <c r="A1698" s="1"/>
    </row>
    <row r="1699" spans="1:1" ht="17.149999999999999" customHeight="1">
      <c r="A1699" s="1"/>
    </row>
    <row r="1700" spans="1:1" ht="17.149999999999999" customHeight="1">
      <c r="A1700" s="1"/>
    </row>
    <row r="1701" spans="1:1" ht="17.149999999999999" customHeight="1">
      <c r="A1701" s="1"/>
    </row>
    <row r="1702" spans="1:1" ht="17.149999999999999" customHeight="1">
      <c r="A1702" s="1"/>
    </row>
    <row r="1703" spans="1:1" ht="17.149999999999999" customHeight="1">
      <c r="A1703" s="1"/>
    </row>
    <row r="1704" spans="1:1" ht="17.149999999999999" customHeight="1">
      <c r="A1704" s="1"/>
    </row>
    <row r="1705" spans="1:1" ht="17.149999999999999" customHeight="1">
      <c r="A1705" s="1"/>
    </row>
    <row r="1706" spans="1:1" ht="17.149999999999999" customHeight="1">
      <c r="A1706" s="1"/>
    </row>
    <row r="1707" spans="1:1" ht="17.149999999999999" customHeight="1">
      <c r="A1707" s="1"/>
    </row>
    <row r="1708" spans="1:1" ht="17.149999999999999" customHeight="1">
      <c r="A1708" s="1"/>
    </row>
    <row r="1709" spans="1:1" ht="17.149999999999999" customHeight="1">
      <c r="A1709" s="1"/>
    </row>
    <row r="1710" spans="1:1" ht="17.149999999999999" customHeight="1">
      <c r="A1710" s="1"/>
    </row>
    <row r="1711" spans="1:1" ht="17.149999999999999" customHeight="1">
      <c r="A1711" s="1"/>
    </row>
    <row r="1712" spans="1:1" ht="17.149999999999999" customHeight="1">
      <c r="A1712" s="1"/>
    </row>
    <row r="1713" spans="1:1" ht="17.149999999999999" customHeight="1">
      <c r="A1713" s="1"/>
    </row>
    <row r="1714" spans="1:1" ht="17.149999999999999" customHeight="1">
      <c r="A1714" s="1"/>
    </row>
    <row r="1715" spans="1:1" ht="17.149999999999999" customHeight="1">
      <c r="A1715" s="1"/>
    </row>
    <row r="1716" spans="1:1" ht="17.149999999999999" customHeight="1">
      <c r="A1716" s="1"/>
    </row>
    <row r="1717" spans="1:1" ht="17.149999999999999" customHeight="1">
      <c r="A1717" s="1"/>
    </row>
    <row r="1718" spans="1:1" ht="17.149999999999999" customHeight="1">
      <c r="A1718" s="1"/>
    </row>
    <row r="1719" spans="1:1" ht="17.149999999999999" customHeight="1">
      <c r="A1719" s="1"/>
    </row>
    <row r="1720" spans="1:1" ht="17.149999999999999" customHeight="1">
      <c r="A1720" s="1"/>
    </row>
    <row r="1721" spans="1:1" ht="17.149999999999999" customHeight="1">
      <c r="A1721" s="1"/>
    </row>
    <row r="1722" spans="1:1" ht="17.149999999999999" customHeight="1">
      <c r="A1722" s="1"/>
    </row>
    <row r="1723" spans="1:1" ht="17.149999999999999" customHeight="1">
      <c r="A1723" s="1"/>
    </row>
    <row r="1724" spans="1:1" ht="17.149999999999999" customHeight="1">
      <c r="A1724" s="1"/>
    </row>
    <row r="1725" spans="1:1" ht="17.149999999999999" customHeight="1">
      <c r="A1725" s="1"/>
    </row>
    <row r="1726" spans="1:1" ht="17.149999999999999" customHeight="1">
      <c r="A1726" s="1"/>
    </row>
    <row r="1727" spans="1:1" ht="17.149999999999999" customHeight="1">
      <c r="A1727" s="1"/>
    </row>
    <row r="1728" spans="1:1" ht="17.149999999999999" customHeight="1">
      <c r="A1728" s="1"/>
    </row>
    <row r="1729" spans="1:1" ht="17.149999999999999" customHeight="1">
      <c r="A1729" s="1"/>
    </row>
    <row r="1730" spans="1:1" ht="17.149999999999999" customHeight="1">
      <c r="A1730" s="1"/>
    </row>
    <row r="1731" spans="1:1" ht="17.149999999999999" customHeight="1">
      <c r="A1731" s="1"/>
    </row>
    <row r="1732" spans="1:1" ht="17.149999999999999" customHeight="1">
      <c r="A1732" s="1"/>
    </row>
    <row r="1733" spans="1:1" ht="17.149999999999999" customHeight="1">
      <c r="A1733" s="1"/>
    </row>
    <row r="1734" spans="1:1" ht="17.149999999999999" customHeight="1">
      <c r="A1734" s="1"/>
    </row>
    <row r="1735" spans="1:1" ht="17.149999999999999" customHeight="1">
      <c r="A1735" s="1"/>
    </row>
    <row r="1736" spans="1:1" ht="17.149999999999999" customHeight="1">
      <c r="A1736" s="1"/>
    </row>
    <row r="1737" spans="1:1" ht="17.149999999999999" customHeight="1">
      <c r="A1737" s="1"/>
    </row>
    <row r="1738" spans="1:1" ht="17.149999999999999" customHeight="1">
      <c r="A1738" s="1"/>
    </row>
    <row r="1739" spans="1:1" ht="17.149999999999999" customHeight="1">
      <c r="A1739" s="1"/>
    </row>
    <row r="1740" spans="1:1" ht="17.149999999999999" customHeight="1">
      <c r="A1740" s="1"/>
    </row>
    <row r="1741" spans="1:1" ht="17.149999999999999" customHeight="1">
      <c r="A1741" s="1"/>
    </row>
    <row r="1742" spans="1:1" ht="17.149999999999999" customHeight="1">
      <c r="A1742" s="1"/>
    </row>
    <row r="1743" spans="1:1" ht="17.149999999999999" customHeight="1">
      <c r="A1743" s="1"/>
    </row>
    <row r="1744" spans="1:1" ht="17.149999999999999" customHeight="1">
      <c r="A1744" s="1"/>
    </row>
    <row r="1745" spans="1:1" ht="17.149999999999999" customHeight="1">
      <c r="A1745" s="1"/>
    </row>
    <row r="1746" spans="1:1" ht="17.149999999999999" customHeight="1">
      <c r="A1746" s="1"/>
    </row>
    <row r="1747" spans="1:1" ht="17.149999999999999" customHeight="1">
      <c r="A1747" s="1"/>
    </row>
    <row r="1748" spans="1:1" ht="17.149999999999999" customHeight="1">
      <c r="A1748" s="1"/>
    </row>
    <row r="1749" spans="1:1" ht="17.149999999999999" customHeight="1">
      <c r="A1749" s="1"/>
    </row>
    <row r="1750" spans="1:1" ht="17.149999999999999" customHeight="1">
      <c r="A1750" s="1"/>
    </row>
    <row r="1751" spans="1:1" ht="17.149999999999999" customHeight="1">
      <c r="A1751" s="1"/>
    </row>
    <row r="1752" spans="1:1" ht="17.149999999999999" customHeight="1">
      <c r="A1752" s="1"/>
    </row>
    <row r="1753" spans="1:1" ht="17.149999999999999" customHeight="1">
      <c r="A1753" s="1"/>
    </row>
    <row r="1754" spans="1:1" ht="17.149999999999999" customHeight="1">
      <c r="A1754" s="1"/>
    </row>
    <row r="1755" spans="1:1" ht="17.149999999999999" customHeight="1">
      <c r="A1755" s="1"/>
    </row>
    <row r="1756" spans="1:1" ht="17.149999999999999" customHeight="1">
      <c r="A1756" s="1"/>
    </row>
    <row r="1757" spans="1:1" ht="17.149999999999999" customHeight="1">
      <c r="A1757" s="1"/>
    </row>
    <row r="1758" spans="1:1" ht="17.149999999999999" customHeight="1">
      <c r="A1758" s="1"/>
    </row>
    <row r="1759" spans="1:1" ht="17.149999999999999" customHeight="1">
      <c r="A1759" s="1"/>
    </row>
    <row r="1760" spans="1:1" ht="17.149999999999999" customHeight="1">
      <c r="A1760" s="1"/>
    </row>
    <row r="1761" spans="1:1" ht="17.149999999999999" customHeight="1">
      <c r="A1761" s="1"/>
    </row>
    <row r="1762" spans="1:1" ht="17.149999999999999" customHeight="1">
      <c r="A1762" s="1"/>
    </row>
    <row r="1763" spans="1:1" ht="17.149999999999999" customHeight="1">
      <c r="A1763" s="1"/>
    </row>
    <row r="1764" spans="1:1" ht="17.149999999999999" customHeight="1">
      <c r="A1764" s="1"/>
    </row>
    <row r="1765" spans="1:1" ht="17.149999999999999" customHeight="1">
      <c r="A1765" s="1"/>
    </row>
    <row r="1766" spans="1:1" ht="17.149999999999999" customHeight="1">
      <c r="A1766" s="1"/>
    </row>
    <row r="1767" spans="1:1" ht="17.149999999999999" customHeight="1">
      <c r="A1767" s="1"/>
    </row>
    <row r="1768" spans="1:1" ht="17.149999999999999" customHeight="1">
      <c r="A1768" s="1"/>
    </row>
    <row r="1769" spans="1:1" ht="17.149999999999999" customHeight="1">
      <c r="A1769" s="1"/>
    </row>
    <row r="1770" spans="1:1" ht="17.149999999999999" customHeight="1">
      <c r="A1770" s="1"/>
    </row>
    <row r="1771" spans="1:1" ht="17.149999999999999" customHeight="1">
      <c r="A1771" s="1"/>
    </row>
    <row r="1772" spans="1:1" ht="17.149999999999999" customHeight="1">
      <c r="A1772" s="1"/>
    </row>
    <row r="1773" spans="1:1" ht="17.149999999999999" customHeight="1">
      <c r="A1773" s="1"/>
    </row>
    <row r="1774" spans="1:1" ht="17.149999999999999" customHeight="1">
      <c r="A1774" s="1"/>
    </row>
    <row r="1775" spans="1:1" ht="17.149999999999999" customHeight="1">
      <c r="A1775" s="1"/>
    </row>
    <row r="1776" spans="1:1" ht="17.149999999999999" customHeight="1">
      <c r="A1776" s="1"/>
    </row>
    <row r="1777" spans="1:1" ht="17.149999999999999" customHeight="1">
      <c r="A1777" s="1"/>
    </row>
    <row r="1778" spans="1:1" ht="17.149999999999999" customHeight="1">
      <c r="A1778" s="1"/>
    </row>
    <row r="1779" spans="1:1" ht="17.149999999999999" customHeight="1">
      <c r="A1779" s="1"/>
    </row>
    <row r="1780" spans="1:1" ht="17.149999999999999" customHeight="1">
      <c r="A1780" s="1"/>
    </row>
    <row r="1781" spans="1:1" ht="17.149999999999999" customHeight="1">
      <c r="A1781" s="1"/>
    </row>
    <row r="1782" spans="1:1" ht="17.149999999999999" customHeight="1">
      <c r="A1782" s="1"/>
    </row>
    <row r="1783" spans="1:1" ht="17.149999999999999" customHeight="1">
      <c r="A1783" s="1"/>
    </row>
    <row r="1784" spans="1:1" ht="17.149999999999999" customHeight="1">
      <c r="A1784" s="1"/>
    </row>
    <row r="1785" spans="1:1" ht="17.149999999999999" customHeight="1">
      <c r="A1785" s="1"/>
    </row>
    <row r="1786" spans="1:1" ht="17.149999999999999" customHeight="1">
      <c r="A1786" s="1"/>
    </row>
    <row r="1787" spans="1:1" ht="17.149999999999999" customHeight="1">
      <c r="A1787" s="1"/>
    </row>
    <row r="1788" spans="1:1" ht="17.149999999999999" customHeight="1">
      <c r="A1788" s="1"/>
    </row>
    <row r="1789" spans="1:1" ht="17.149999999999999" customHeight="1">
      <c r="A1789" s="1"/>
    </row>
    <row r="1790" spans="1:1" ht="17.149999999999999" customHeight="1">
      <c r="A1790" s="1"/>
    </row>
    <row r="1791" spans="1:1" ht="17.149999999999999" customHeight="1">
      <c r="A1791" s="1"/>
    </row>
    <row r="1792" spans="1:1" ht="17.149999999999999" customHeight="1">
      <c r="A1792" s="1"/>
    </row>
    <row r="1793" spans="1:1" ht="17.149999999999999" customHeight="1">
      <c r="A1793" s="1"/>
    </row>
    <row r="1794" spans="1:1" ht="17.149999999999999" customHeight="1">
      <c r="A1794" s="1"/>
    </row>
    <row r="1795" spans="1:1" ht="17.149999999999999" customHeight="1">
      <c r="A1795" s="1"/>
    </row>
    <row r="1796" spans="1:1" ht="17.149999999999999" customHeight="1">
      <c r="A1796" s="1"/>
    </row>
    <row r="1797" spans="1:1" ht="17.149999999999999" customHeight="1">
      <c r="A1797" s="1"/>
    </row>
    <row r="1798" spans="1:1" ht="17.149999999999999" customHeight="1">
      <c r="A1798" s="1"/>
    </row>
    <row r="1799" spans="1:1" ht="17.149999999999999" customHeight="1">
      <c r="A1799" s="1"/>
    </row>
    <row r="1800" spans="1:1" ht="17.149999999999999" customHeight="1">
      <c r="A1800" s="1"/>
    </row>
    <row r="1801" spans="1:1" ht="17.149999999999999" customHeight="1">
      <c r="A1801" s="1"/>
    </row>
    <row r="1802" spans="1:1" ht="17.149999999999999" customHeight="1">
      <c r="A1802" s="1"/>
    </row>
    <row r="1803" spans="1:1" ht="17.149999999999999" customHeight="1">
      <c r="A1803" s="1"/>
    </row>
    <row r="1804" spans="1:1" ht="17.149999999999999" customHeight="1">
      <c r="A1804" s="1"/>
    </row>
    <row r="1805" spans="1:1" ht="17.149999999999999" customHeight="1">
      <c r="A1805" s="1"/>
    </row>
    <row r="1806" spans="1:1" ht="17.149999999999999" customHeight="1">
      <c r="A1806" s="1"/>
    </row>
    <row r="1807" spans="1:1" ht="17.149999999999999" customHeight="1">
      <c r="A1807" s="1"/>
    </row>
    <row r="1808" spans="1:1" ht="17.149999999999999" customHeight="1">
      <c r="A1808" s="1"/>
    </row>
    <row r="1809" spans="1:1" ht="17.149999999999999" customHeight="1">
      <c r="A1809" s="1"/>
    </row>
    <row r="1810" spans="1:1" ht="17.149999999999999" customHeight="1">
      <c r="A1810" s="1"/>
    </row>
    <row r="1811" spans="1:1" ht="17.149999999999999" customHeight="1">
      <c r="A1811" s="1"/>
    </row>
    <row r="1812" spans="1:1" ht="17.149999999999999" customHeight="1">
      <c r="A1812" s="1"/>
    </row>
    <row r="1813" spans="1:1" ht="17.149999999999999" customHeight="1">
      <c r="A1813" s="1"/>
    </row>
    <row r="1814" spans="1:1" ht="17.149999999999999" customHeight="1">
      <c r="A1814" s="1"/>
    </row>
    <row r="1815" spans="1:1" ht="17.149999999999999" customHeight="1">
      <c r="A1815" s="1"/>
    </row>
    <row r="1816" spans="1:1" ht="17.149999999999999" customHeight="1">
      <c r="A1816" s="1"/>
    </row>
    <row r="1817" spans="1:1" ht="17.149999999999999" customHeight="1">
      <c r="A1817" s="1"/>
    </row>
    <row r="1818" spans="1:1" ht="17.149999999999999" customHeight="1">
      <c r="A1818" s="1"/>
    </row>
    <row r="1819" spans="1:1" ht="17.149999999999999" customHeight="1">
      <c r="A1819" s="1"/>
    </row>
    <row r="1820" spans="1:1" ht="17.149999999999999" customHeight="1">
      <c r="A1820" s="1"/>
    </row>
    <row r="1821" spans="1:1" ht="17.149999999999999" customHeight="1">
      <c r="A1821" s="1"/>
    </row>
    <row r="1822" spans="1:1" ht="17.149999999999999" customHeight="1">
      <c r="A1822" s="1"/>
    </row>
    <row r="1823" spans="1:1" ht="17.149999999999999" customHeight="1">
      <c r="A1823" s="1"/>
    </row>
    <row r="1824" spans="1:1" ht="17.149999999999999" customHeight="1">
      <c r="A1824" s="1"/>
    </row>
    <row r="1825" spans="1:1" ht="17.149999999999999" customHeight="1">
      <c r="A1825" s="1"/>
    </row>
    <row r="1826" spans="1:1" ht="17.149999999999999" customHeight="1">
      <c r="A1826" s="1"/>
    </row>
    <row r="1827" spans="1:1" ht="17.149999999999999" customHeight="1">
      <c r="A1827" s="1"/>
    </row>
    <row r="1828" spans="1:1" ht="17.149999999999999" customHeight="1">
      <c r="A1828" s="1"/>
    </row>
    <row r="1829" spans="1:1" ht="17.149999999999999" customHeight="1">
      <c r="A1829" s="1"/>
    </row>
    <row r="1830" spans="1:1" ht="17.149999999999999" customHeight="1">
      <c r="A1830" s="1"/>
    </row>
    <row r="1831" spans="1:1" ht="17.149999999999999" customHeight="1">
      <c r="A1831" s="1"/>
    </row>
    <row r="1832" spans="1:1" ht="17.149999999999999" customHeight="1">
      <c r="A1832" s="1"/>
    </row>
    <row r="1833" spans="1:1" ht="17.149999999999999" customHeight="1">
      <c r="A1833" s="1"/>
    </row>
    <row r="1834" spans="1:1" ht="17.149999999999999" customHeight="1">
      <c r="A1834" s="1"/>
    </row>
    <row r="1835" spans="1:1" ht="17.149999999999999" customHeight="1">
      <c r="A1835" s="1"/>
    </row>
    <row r="1836" spans="1:1" ht="17.149999999999999" customHeight="1">
      <c r="A1836" s="1"/>
    </row>
    <row r="1837" spans="1:1" ht="17.149999999999999" customHeight="1">
      <c r="A1837" s="1"/>
    </row>
    <row r="1838" spans="1:1" ht="17.149999999999999" customHeight="1">
      <c r="A1838" s="1"/>
    </row>
    <row r="1839" spans="1:1" ht="17.149999999999999" customHeight="1">
      <c r="A1839" s="1"/>
    </row>
    <row r="1840" spans="1:1" ht="17.149999999999999" customHeight="1">
      <c r="A1840" s="1"/>
    </row>
    <row r="1841" spans="1:1" ht="17.149999999999999" customHeight="1">
      <c r="A1841" s="1"/>
    </row>
    <row r="1842" spans="1:1" ht="17.149999999999999" customHeight="1">
      <c r="A1842" s="1"/>
    </row>
    <row r="1843" spans="1:1" ht="17.149999999999999" customHeight="1">
      <c r="A1843" s="1"/>
    </row>
    <row r="1844" spans="1:1" ht="17.149999999999999" customHeight="1">
      <c r="A1844" s="1"/>
    </row>
    <row r="1845" spans="1:1" ht="17.149999999999999" customHeight="1">
      <c r="A1845" s="1"/>
    </row>
    <row r="1846" spans="1:1" ht="17.149999999999999" customHeight="1">
      <c r="A1846" s="1"/>
    </row>
    <row r="1847" spans="1:1" ht="17.149999999999999" customHeight="1">
      <c r="A1847" s="1"/>
    </row>
    <row r="1848" spans="1:1" ht="17.149999999999999" customHeight="1">
      <c r="A1848" s="1"/>
    </row>
    <row r="1849" spans="1:1" ht="17.149999999999999" customHeight="1">
      <c r="A1849" s="1"/>
    </row>
    <row r="1850" spans="1:1" ht="17.149999999999999" customHeight="1">
      <c r="A1850" s="1"/>
    </row>
    <row r="1851" spans="1:1" ht="17.149999999999999" customHeight="1">
      <c r="A1851" s="1"/>
    </row>
    <row r="1852" spans="1:1" ht="17.149999999999999" customHeight="1">
      <c r="A1852" s="1"/>
    </row>
    <row r="1853" spans="1:1" ht="17.149999999999999" customHeight="1">
      <c r="A1853" s="1"/>
    </row>
    <row r="1854" spans="1:1" ht="17.149999999999999" customHeight="1">
      <c r="A1854" s="1"/>
    </row>
    <row r="1855" spans="1:1" ht="17.149999999999999" customHeight="1">
      <c r="A1855" s="1"/>
    </row>
    <row r="1856" spans="1:1" ht="17.149999999999999" customHeight="1">
      <c r="A1856" s="1"/>
    </row>
    <row r="1857" spans="1:1" ht="17.149999999999999" customHeight="1">
      <c r="A1857" s="1"/>
    </row>
    <row r="1858" spans="1:1" ht="17.149999999999999" customHeight="1">
      <c r="A1858" s="1"/>
    </row>
    <row r="1859" spans="1:1" ht="17.149999999999999" customHeight="1">
      <c r="A1859" s="1"/>
    </row>
    <row r="1860" spans="1:1" ht="17.149999999999999" customHeight="1">
      <c r="A1860" s="1"/>
    </row>
    <row r="1861" spans="1:1" ht="17.149999999999999" customHeight="1">
      <c r="A1861" s="1"/>
    </row>
    <row r="1862" spans="1:1" ht="17.149999999999999" customHeight="1">
      <c r="A1862" s="1"/>
    </row>
    <row r="1863" spans="1:1" ht="17.149999999999999" customHeight="1">
      <c r="A1863" s="1"/>
    </row>
    <row r="1864" spans="1:1" ht="17.149999999999999" customHeight="1">
      <c r="A1864" s="1"/>
    </row>
    <row r="1865" spans="1:1" ht="17.149999999999999" customHeight="1">
      <c r="A1865" s="1"/>
    </row>
    <row r="1866" spans="1:1" ht="17.149999999999999" customHeight="1">
      <c r="A1866" s="1"/>
    </row>
    <row r="1867" spans="1:1" ht="17.149999999999999" customHeight="1">
      <c r="A1867" s="1"/>
    </row>
    <row r="1868" spans="1:1" ht="17.149999999999999" customHeight="1">
      <c r="A1868" s="1"/>
    </row>
    <row r="1869" spans="1:1" ht="17.149999999999999" customHeight="1">
      <c r="A1869" s="1"/>
    </row>
    <row r="1870" spans="1:1" ht="17.149999999999999" customHeight="1">
      <c r="A1870" s="1"/>
    </row>
    <row r="1871" spans="1:1" ht="17.149999999999999" customHeight="1">
      <c r="A1871" s="1"/>
    </row>
    <row r="1872" spans="1:1" ht="17.149999999999999" customHeight="1">
      <c r="A1872" s="1"/>
    </row>
    <row r="1873" spans="1:1" ht="17.149999999999999" customHeight="1">
      <c r="A1873" s="1"/>
    </row>
    <row r="1874" spans="1:1" ht="17.149999999999999" customHeight="1">
      <c r="A1874" s="1"/>
    </row>
    <row r="1875" spans="1:1" ht="17.149999999999999" customHeight="1">
      <c r="A1875" s="1"/>
    </row>
    <row r="1876" spans="1:1" ht="17.149999999999999" customHeight="1">
      <c r="A1876" s="1"/>
    </row>
    <row r="1877" spans="1:1" ht="17.149999999999999" customHeight="1">
      <c r="A1877" s="1"/>
    </row>
    <row r="1878" spans="1:1" ht="17.149999999999999" customHeight="1">
      <c r="A1878" s="1"/>
    </row>
    <row r="1879" spans="1:1" ht="17.149999999999999" customHeight="1">
      <c r="A1879" s="1"/>
    </row>
    <row r="1880" spans="1:1" ht="17.149999999999999" customHeight="1">
      <c r="A1880" s="1"/>
    </row>
    <row r="1881" spans="1:1" ht="17.149999999999999" customHeight="1">
      <c r="A1881" s="1"/>
    </row>
    <row r="1882" spans="1:1" ht="17.149999999999999" customHeight="1">
      <c r="A1882" s="1"/>
    </row>
    <row r="1883" spans="1:1" ht="17.149999999999999" customHeight="1">
      <c r="A1883" s="1"/>
    </row>
    <row r="1884" spans="1:1" ht="17.149999999999999" customHeight="1">
      <c r="A1884" s="1"/>
    </row>
    <row r="1885" spans="1:1" ht="17.149999999999999" customHeight="1">
      <c r="A1885" s="1"/>
    </row>
    <row r="1886" spans="1:1" ht="17.149999999999999" customHeight="1">
      <c r="A1886" s="1"/>
    </row>
    <row r="1887" spans="1:1" ht="17.149999999999999" customHeight="1">
      <c r="A1887" s="1"/>
    </row>
    <row r="1888" spans="1:1" ht="17.149999999999999" customHeight="1">
      <c r="A1888" s="1"/>
    </row>
    <row r="1889" spans="1:1" ht="17.149999999999999" customHeight="1">
      <c r="A1889" s="1"/>
    </row>
    <row r="1890" spans="1:1" ht="17.149999999999999" customHeight="1">
      <c r="A1890" s="1"/>
    </row>
    <row r="1891" spans="1:1" ht="17.149999999999999" customHeight="1">
      <c r="A1891" s="1"/>
    </row>
    <row r="1892" spans="1:1" ht="17.149999999999999" customHeight="1">
      <c r="A1892" s="1"/>
    </row>
    <row r="1893" spans="1:1" ht="17.149999999999999" customHeight="1">
      <c r="A1893" s="1"/>
    </row>
    <row r="1894" spans="1:1" ht="17.149999999999999" customHeight="1">
      <c r="A1894" s="1"/>
    </row>
    <row r="1895" spans="1:1" ht="17.149999999999999" customHeight="1">
      <c r="A1895" s="1"/>
    </row>
    <row r="1896" spans="1:1" ht="17.149999999999999" customHeight="1">
      <c r="A1896" s="1"/>
    </row>
    <row r="1897" spans="1:1" ht="17.149999999999999" customHeight="1">
      <c r="A1897" s="1"/>
    </row>
    <row r="1898" spans="1:1" ht="17.149999999999999" customHeight="1">
      <c r="A1898" s="1"/>
    </row>
    <row r="1899" spans="1:1" ht="17.149999999999999" customHeight="1">
      <c r="A1899" s="1"/>
    </row>
    <row r="1900" spans="1:1" ht="17.149999999999999" customHeight="1">
      <c r="A1900" s="1"/>
    </row>
    <row r="1901" spans="1:1" ht="17.149999999999999" customHeight="1">
      <c r="A1901" s="1"/>
    </row>
    <row r="1902" spans="1:1" ht="17.149999999999999" customHeight="1">
      <c r="A1902" s="1"/>
    </row>
    <row r="1903" spans="1:1" ht="17.149999999999999" customHeight="1">
      <c r="A1903" s="1"/>
    </row>
    <row r="1904" spans="1:1" ht="17.149999999999999" customHeight="1">
      <c r="A1904" s="1"/>
    </row>
    <row r="1905" spans="1:1" ht="17.149999999999999" customHeight="1">
      <c r="A1905" s="1"/>
    </row>
    <row r="1906" spans="1:1" ht="17.149999999999999" customHeight="1">
      <c r="A1906" s="1"/>
    </row>
    <row r="1907" spans="1:1" ht="17.149999999999999" customHeight="1">
      <c r="A1907" s="1"/>
    </row>
    <row r="1908" spans="1:1" ht="17.149999999999999" customHeight="1">
      <c r="A1908" s="1"/>
    </row>
    <row r="1909" spans="1:1" ht="17.149999999999999" customHeight="1">
      <c r="A1909" s="1"/>
    </row>
    <row r="1910" spans="1:1" ht="17.149999999999999" customHeight="1">
      <c r="A1910" s="1"/>
    </row>
    <row r="1911" spans="1:1" ht="17.149999999999999" customHeight="1">
      <c r="A1911" s="1"/>
    </row>
    <row r="1912" spans="1:1" ht="17.149999999999999" customHeight="1">
      <c r="A1912" s="1"/>
    </row>
    <row r="1913" spans="1:1" ht="17.149999999999999" customHeight="1">
      <c r="A1913" s="1"/>
    </row>
    <row r="1914" spans="1:1" ht="17.149999999999999" customHeight="1">
      <c r="A1914" s="1"/>
    </row>
    <row r="1915" spans="1:1" ht="17.149999999999999" customHeight="1">
      <c r="A1915" s="1"/>
    </row>
    <row r="1916" spans="1:1" ht="17.149999999999999" customHeight="1">
      <c r="A1916" s="1"/>
    </row>
    <row r="1917" spans="1:1" ht="17.149999999999999" customHeight="1">
      <c r="A1917" s="1"/>
    </row>
    <row r="1918" spans="1:1" ht="17.149999999999999" customHeight="1">
      <c r="A1918" s="1"/>
    </row>
    <row r="1919" spans="1:1" ht="17.149999999999999" customHeight="1">
      <c r="A1919" s="1"/>
    </row>
    <row r="1920" spans="1:1" ht="17.149999999999999" customHeight="1">
      <c r="A1920" s="1"/>
    </row>
    <row r="1921" spans="1:1" ht="17.149999999999999" customHeight="1">
      <c r="A1921" s="1"/>
    </row>
    <row r="1922" spans="1:1" ht="17.149999999999999" customHeight="1">
      <c r="A1922" s="1"/>
    </row>
    <row r="1923" spans="1:1" ht="17.149999999999999" customHeight="1">
      <c r="A1923" s="1"/>
    </row>
    <row r="1924" spans="1:1" ht="17.149999999999999" customHeight="1">
      <c r="A1924" s="1"/>
    </row>
    <row r="1925" spans="1:1" ht="17.149999999999999" customHeight="1">
      <c r="A1925" s="1"/>
    </row>
    <row r="1926" spans="1:1" ht="17.149999999999999" customHeight="1">
      <c r="A1926" s="1"/>
    </row>
    <row r="1927" spans="1:1" ht="17.149999999999999" customHeight="1">
      <c r="A1927" s="1"/>
    </row>
    <row r="1928" spans="1:1" ht="17.149999999999999" customHeight="1">
      <c r="A1928" s="1"/>
    </row>
    <row r="1929" spans="1:1" ht="17.149999999999999" customHeight="1">
      <c r="A1929" s="1"/>
    </row>
    <row r="1930" spans="1:1" ht="17.149999999999999" customHeight="1">
      <c r="A1930" s="1"/>
    </row>
    <row r="1931" spans="1:1" ht="17.149999999999999" customHeight="1">
      <c r="A1931" s="1"/>
    </row>
    <row r="1932" spans="1:1" ht="17.149999999999999" customHeight="1">
      <c r="A1932" s="1"/>
    </row>
    <row r="1933" spans="1:1" ht="17.149999999999999" customHeight="1">
      <c r="A1933" s="1"/>
    </row>
    <row r="1934" spans="1:1" ht="17.149999999999999" customHeight="1">
      <c r="A1934" s="1"/>
    </row>
    <row r="1935" spans="1:1" ht="17.149999999999999" customHeight="1">
      <c r="A1935" s="1"/>
    </row>
    <row r="1936" spans="1:1" ht="17.149999999999999" customHeight="1">
      <c r="A1936" s="1"/>
    </row>
    <row r="1937" spans="1:1" ht="17.149999999999999" customHeight="1">
      <c r="A1937" s="1"/>
    </row>
    <row r="1938" spans="1:1" ht="17.149999999999999" customHeight="1">
      <c r="A1938" s="1"/>
    </row>
    <row r="1939" spans="1:1" ht="17.149999999999999" customHeight="1">
      <c r="A1939" s="1"/>
    </row>
    <row r="1940" spans="1:1" ht="17.149999999999999" customHeight="1">
      <c r="A1940" s="1"/>
    </row>
    <row r="1941" spans="1:1" ht="17.149999999999999" customHeight="1">
      <c r="A1941" s="1"/>
    </row>
    <row r="1942" spans="1:1" ht="17.149999999999999" customHeight="1">
      <c r="A1942" s="1"/>
    </row>
    <row r="1943" spans="1:1" ht="17.149999999999999" customHeight="1">
      <c r="A1943" s="1"/>
    </row>
    <row r="1944" spans="1:1" ht="17.149999999999999" customHeight="1">
      <c r="A1944" s="1"/>
    </row>
    <row r="1945" spans="1:1" ht="17.149999999999999" customHeight="1">
      <c r="A1945" s="1"/>
    </row>
    <row r="1946" spans="1:1" ht="17.149999999999999" customHeight="1">
      <c r="A1946" s="1"/>
    </row>
    <row r="1947" spans="1:1" ht="17.149999999999999" customHeight="1">
      <c r="A1947" s="1"/>
    </row>
    <row r="1948" spans="1:1" ht="17.149999999999999" customHeight="1">
      <c r="A1948" s="1"/>
    </row>
    <row r="1949" spans="1:1" ht="17.149999999999999" customHeight="1">
      <c r="A1949" s="1"/>
    </row>
    <row r="1950" spans="1:1" ht="17.149999999999999" customHeight="1">
      <c r="A1950" s="1"/>
    </row>
    <row r="1951" spans="1:1" ht="17.149999999999999" customHeight="1">
      <c r="A1951" s="1"/>
    </row>
    <row r="1952" spans="1:1" ht="17.149999999999999" customHeight="1">
      <c r="A1952" s="1"/>
    </row>
    <row r="1953" spans="1:1" ht="17.149999999999999" customHeight="1">
      <c r="A1953" s="1"/>
    </row>
    <row r="1954" spans="1:1" ht="17.149999999999999" customHeight="1">
      <c r="A1954" s="1"/>
    </row>
    <row r="1955" spans="1:1" ht="17.149999999999999" customHeight="1">
      <c r="A1955" s="1"/>
    </row>
    <row r="1956" spans="1:1" ht="17.149999999999999" customHeight="1">
      <c r="A1956" s="1"/>
    </row>
    <row r="1957" spans="1:1" ht="17.149999999999999" customHeight="1">
      <c r="A1957" s="1"/>
    </row>
    <row r="1958" spans="1:1" ht="17.149999999999999" customHeight="1">
      <c r="A1958" s="1"/>
    </row>
    <row r="1959" spans="1:1" ht="17.149999999999999" customHeight="1">
      <c r="A1959" s="1"/>
    </row>
    <row r="1960" spans="1:1" ht="17.149999999999999" customHeight="1">
      <c r="A1960" s="1"/>
    </row>
    <row r="1961" spans="1:1" ht="17.149999999999999" customHeight="1">
      <c r="A1961" s="1"/>
    </row>
    <row r="1962" spans="1:1" ht="17.149999999999999" customHeight="1">
      <c r="A1962" s="1"/>
    </row>
    <row r="1963" spans="1:1" ht="17.149999999999999" customHeight="1">
      <c r="A1963" s="1"/>
    </row>
    <row r="1964" spans="1:1" ht="17.149999999999999" customHeight="1">
      <c r="A1964" s="1"/>
    </row>
    <row r="1965" spans="1:1" ht="17.149999999999999" customHeight="1">
      <c r="A1965" s="1"/>
    </row>
    <row r="1966" spans="1:1" ht="17.149999999999999" customHeight="1">
      <c r="A1966" s="1"/>
    </row>
    <row r="1967" spans="1:1" ht="17.149999999999999" customHeight="1">
      <c r="A1967" s="1"/>
    </row>
    <row r="1968" spans="1:1" ht="17.149999999999999" customHeight="1">
      <c r="A1968" s="1"/>
    </row>
    <row r="1969" spans="1:1" ht="17.149999999999999" customHeight="1">
      <c r="A1969" s="1"/>
    </row>
    <row r="1970" spans="1:1" ht="17.149999999999999" customHeight="1">
      <c r="A1970" s="1"/>
    </row>
    <row r="1971" spans="1:1" ht="17.149999999999999" customHeight="1">
      <c r="A1971" s="1"/>
    </row>
    <row r="1972" spans="1:1" ht="17.149999999999999" customHeight="1">
      <c r="A1972" s="1"/>
    </row>
    <row r="1973" spans="1:1" ht="17.149999999999999" customHeight="1">
      <c r="A1973" s="1"/>
    </row>
    <row r="1974" spans="1:1" ht="17.149999999999999" customHeight="1">
      <c r="A1974" s="1"/>
    </row>
    <row r="1975" spans="1:1" ht="17.149999999999999" customHeight="1">
      <c r="A1975" s="1"/>
    </row>
    <row r="1976" spans="1:1" ht="17.149999999999999" customHeight="1">
      <c r="A1976" s="1"/>
    </row>
    <row r="1977" spans="1:1" ht="17.149999999999999" customHeight="1">
      <c r="A1977" s="1"/>
    </row>
    <row r="1978" spans="1:1" ht="17.149999999999999" customHeight="1">
      <c r="A1978" s="1"/>
    </row>
    <row r="1979" spans="1:1" ht="17.149999999999999" customHeight="1">
      <c r="A1979" s="1"/>
    </row>
    <row r="1980" spans="1:1" ht="17.149999999999999" customHeight="1">
      <c r="A1980" s="1"/>
    </row>
    <row r="1981" spans="1:1" ht="17.149999999999999" customHeight="1">
      <c r="A1981" s="1"/>
    </row>
    <row r="1982" spans="1:1" ht="17.149999999999999" customHeight="1">
      <c r="A1982" s="1"/>
    </row>
    <row r="1983" spans="1:1" ht="17.149999999999999" customHeight="1">
      <c r="A1983" s="1"/>
    </row>
    <row r="1984" spans="1:1" ht="17.149999999999999" customHeight="1">
      <c r="A1984" s="1"/>
    </row>
    <row r="1985" spans="1:1" ht="17.149999999999999" customHeight="1">
      <c r="A1985" s="1"/>
    </row>
    <row r="1986" spans="1:1" ht="17.149999999999999" customHeight="1">
      <c r="A1986" s="1"/>
    </row>
    <row r="1987" spans="1:1" ht="17.149999999999999" customHeight="1">
      <c r="A1987" s="1"/>
    </row>
    <row r="1988" spans="1:1" ht="17.149999999999999" customHeight="1">
      <c r="A1988" s="1"/>
    </row>
    <row r="1989" spans="1:1" ht="17.149999999999999" customHeight="1">
      <c r="A1989" s="1"/>
    </row>
    <row r="1990" spans="1:1" ht="17.149999999999999" customHeight="1">
      <c r="A1990" s="1"/>
    </row>
    <row r="1991" spans="1:1" ht="17.149999999999999" customHeight="1">
      <c r="A1991" s="1"/>
    </row>
    <row r="1992" spans="1:1" ht="17.149999999999999" customHeight="1">
      <c r="A1992" s="1"/>
    </row>
    <row r="1993" spans="1:1" ht="17.149999999999999" customHeight="1">
      <c r="A1993" s="1"/>
    </row>
    <row r="1994" spans="1:1" ht="17.149999999999999" customHeight="1">
      <c r="A1994" s="1"/>
    </row>
    <row r="1995" spans="1:1" ht="17.149999999999999" customHeight="1">
      <c r="A1995" s="1"/>
    </row>
    <row r="1996" spans="1:1" ht="17.149999999999999" customHeight="1">
      <c r="A1996" s="1"/>
    </row>
    <row r="1997" spans="1:1" ht="17.149999999999999" customHeight="1">
      <c r="A1997" s="1"/>
    </row>
    <row r="1998" spans="1:1" ht="17.149999999999999" customHeight="1">
      <c r="A1998" s="1"/>
    </row>
    <row r="1999" spans="1:1" ht="17.149999999999999" customHeight="1">
      <c r="A1999" s="1"/>
    </row>
    <row r="2000" spans="1:1" ht="17.149999999999999" customHeight="1">
      <c r="A2000" s="1"/>
    </row>
    <row r="2001" spans="1:1" ht="17.149999999999999" customHeight="1">
      <c r="A2001" s="1"/>
    </row>
    <row r="2002" spans="1:1" ht="17.149999999999999" customHeight="1">
      <c r="A2002" s="1"/>
    </row>
    <row r="2003" spans="1:1" ht="17.149999999999999" customHeight="1">
      <c r="A2003" s="1"/>
    </row>
    <row r="2004" spans="1:1" ht="17.149999999999999" customHeight="1">
      <c r="A2004" s="1"/>
    </row>
    <row r="2005" spans="1:1" ht="17.149999999999999" customHeight="1">
      <c r="A2005" s="1"/>
    </row>
    <row r="2006" spans="1:1" ht="17.149999999999999" customHeight="1">
      <c r="A2006" s="1"/>
    </row>
    <row r="2007" spans="1:1" ht="17.149999999999999" customHeight="1">
      <c r="A2007" s="1"/>
    </row>
    <row r="2008" spans="1:1" ht="17.149999999999999" customHeight="1">
      <c r="A2008" s="1"/>
    </row>
    <row r="2009" spans="1:1" ht="17.149999999999999" customHeight="1">
      <c r="A2009" s="1"/>
    </row>
    <row r="2010" spans="1:1" ht="17.149999999999999" customHeight="1">
      <c r="A2010" s="1"/>
    </row>
    <row r="2011" spans="1:1" ht="17.149999999999999" customHeight="1">
      <c r="A2011" s="1"/>
    </row>
    <row r="2012" spans="1:1" ht="17.149999999999999" customHeight="1">
      <c r="A2012" s="1"/>
    </row>
    <row r="2013" spans="1:1" ht="17.149999999999999" customHeight="1">
      <c r="A2013" s="1"/>
    </row>
    <row r="2014" spans="1:1" ht="17.149999999999999" customHeight="1">
      <c r="A2014" s="1"/>
    </row>
    <row r="2015" spans="1:1" ht="17.149999999999999" customHeight="1">
      <c r="A2015" s="1"/>
    </row>
    <row r="2016" spans="1:1" ht="17.149999999999999" customHeight="1">
      <c r="A2016" s="1"/>
    </row>
    <row r="2017" spans="1:1" ht="17.149999999999999" customHeight="1">
      <c r="A2017" s="1"/>
    </row>
    <row r="2018" spans="1:1" ht="17.149999999999999" customHeight="1">
      <c r="A2018" s="1"/>
    </row>
    <row r="2019" spans="1:1" ht="17.149999999999999" customHeight="1">
      <c r="A2019" s="1"/>
    </row>
    <row r="2020" spans="1:1" ht="17.149999999999999" customHeight="1">
      <c r="A2020" s="1"/>
    </row>
    <row r="2021" spans="1:1" ht="17.149999999999999" customHeight="1">
      <c r="A2021" s="1"/>
    </row>
    <row r="2022" spans="1:1" ht="17.149999999999999" customHeight="1">
      <c r="A2022" s="1"/>
    </row>
    <row r="2023" spans="1:1" ht="17.149999999999999" customHeight="1">
      <c r="A2023" s="1"/>
    </row>
    <row r="2024" spans="1:1" ht="17.149999999999999" customHeight="1">
      <c r="A2024" s="1"/>
    </row>
    <row r="2025" spans="1:1" ht="17.149999999999999" customHeight="1">
      <c r="A2025" s="1"/>
    </row>
    <row r="2026" spans="1:1" ht="17.149999999999999" customHeight="1">
      <c r="A2026" s="1"/>
    </row>
    <row r="2027" spans="1:1" ht="17.149999999999999" customHeight="1">
      <c r="A2027" s="1"/>
    </row>
    <row r="2028" spans="1:1" ht="17.149999999999999" customHeight="1">
      <c r="A2028" s="1"/>
    </row>
    <row r="2029" spans="1:1" ht="17.149999999999999" customHeight="1">
      <c r="A2029" s="1"/>
    </row>
    <row r="2030" spans="1:1" ht="17.149999999999999" customHeight="1">
      <c r="A2030" s="1"/>
    </row>
    <row r="2031" spans="1:1" ht="17.149999999999999" customHeight="1">
      <c r="A2031" s="1"/>
    </row>
    <row r="2032" spans="1:1" ht="17.149999999999999" customHeight="1">
      <c r="A2032" s="1"/>
    </row>
    <row r="2033" spans="1:1" ht="17.149999999999999" customHeight="1">
      <c r="A2033" s="1"/>
    </row>
    <row r="2034" spans="1:1" ht="17.149999999999999" customHeight="1">
      <c r="A2034" s="1"/>
    </row>
    <row r="2035" spans="1:1" ht="17.149999999999999" customHeight="1">
      <c r="A2035" s="1"/>
    </row>
    <row r="2036" spans="1:1" ht="17.149999999999999" customHeight="1">
      <c r="A2036" s="1"/>
    </row>
    <row r="2037" spans="1:1" ht="17.149999999999999" customHeight="1">
      <c r="A2037" s="1"/>
    </row>
    <row r="2038" spans="1:1" ht="17.149999999999999" customHeight="1">
      <c r="A2038" s="1"/>
    </row>
    <row r="2039" spans="1:1" ht="17.149999999999999" customHeight="1">
      <c r="A2039" s="1"/>
    </row>
    <row r="2040" spans="1:1" ht="17.149999999999999" customHeight="1">
      <c r="A2040" s="1"/>
    </row>
    <row r="2041" spans="1:1" ht="17.149999999999999" customHeight="1">
      <c r="A2041" s="1"/>
    </row>
    <row r="2042" spans="1:1" ht="17.149999999999999" customHeight="1">
      <c r="A2042" s="1"/>
    </row>
    <row r="2043" spans="1:1" ht="17.149999999999999" customHeight="1">
      <c r="A2043" s="1"/>
    </row>
    <row r="2044" spans="1:1" ht="17.149999999999999" customHeight="1">
      <c r="A2044" s="1"/>
    </row>
    <row r="2045" spans="1:1" ht="17.149999999999999" customHeight="1">
      <c r="A2045" s="1"/>
    </row>
    <row r="2046" spans="1:1" ht="17.149999999999999" customHeight="1">
      <c r="A2046" s="1"/>
    </row>
    <row r="2047" spans="1:1" ht="17.149999999999999" customHeight="1">
      <c r="A2047" s="1"/>
    </row>
    <row r="2048" spans="1:1" ht="17.149999999999999" customHeight="1">
      <c r="A2048" s="1"/>
    </row>
    <row r="2049" spans="1:1" ht="17.149999999999999" customHeight="1">
      <c r="A2049" s="1"/>
    </row>
    <row r="2050" spans="1:1" ht="17.149999999999999" customHeight="1">
      <c r="A2050" s="1"/>
    </row>
    <row r="2051" spans="1:1" ht="17.149999999999999" customHeight="1">
      <c r="A2051" s="1"/>
    </row>
    <row r="2052" spans="1:1" ht="17.149999999999999" customHeight="1">
      <c r="A2052" s="1"/>
    </row>
    <row r="2053" spans="1:1" ht="17.149999999999999" customHeight="1">
      <c r="A2053" s="1"/>
    </row>
    <row r="2054" spans="1:1" ht="17.149999999999999" customHeight="1">
      <c r="A2054" s="1"/>
    </row>
    <row r="2055" spans="1:1" ht="17.149999999999999" customHeight="1">
      <c r="A2055" s="1"/>
    </row>
    <row r="2056" spans="1:1" ht="17.149999999999999" customHeight="1">
      <c r="A2056" s="1"/>
    </row>
    <row r="2057" spans="1:1" ht="17.149999999999999" customHeight="1">
      <c r="A2057" s="1"/>
    </row>
    <row r="2058" spans="1:1" ht="17.149999999999999" customHeight="1">
      <c r="A2058" s="1"/>
    </row>
    <row r="2059" spans="1:1" ht="17.149999999999999" customHeight="1">
      <c r="A2059" s="1"/>
    </row>
    <row r="2060" spans="1:1" ht="17.149999999999999" customHeight="1">
      <c r="A2060" s="1"/>
    </row>
    <row r="2061" spans="1:1" ht="17.149999999999999" customHeight="1">
      <c r="A2061" s="1"/>
    </row>
    <row r="2062" spans="1:1" ht="17.149999999999999" customHeight="1">
      <c r="A2062" s="1"/>
    </row>
    <row r="2063" spans="1:1" ht="17.149999999999999" customHeight="1">
      <c r="A2063" s="1"/>
    </row>
    <row r="2064" spans="1:1" ht="17.149999999999999" customHeight="1">
      <c r="A2064" s="1"/>
    </row>
    <row r="2065" spans="1:1" ht="17.149999999999999" customHeight="1">
      <c r="A2065" s="1"/>
    </row>
    <row r="2066" spans="1:1" ht="17.149999999999999" customHeight="1">
      <c r="A2066" s="1"/>
    </row>
    <row r="2067" spans="1:1" ht="17.149999999999999" customHeight="1">
      <c r="A2067" s="1"/>
    </row>
    <row r="2068" spans="1:1" ht="17.149999999999999" customHeight="1">
      <c r="A2068" s="1"/>
    </row>
    <row r="2069" spans="1:1" ht="17.149999999999999" customHeight="1">
      <c r="A2069" s="1"/>
    </row>
    <row r="2070" spans="1:1" ht="17.149999999999999" customHeight="1">
      <c r="A2070" s="1"/>
    </row>
    <row r="2071" spans="1:1" ht="17.149999999999999" customHeight="1">
      <c r="A2071" s="1"/>
    </row>
    <row r="2072" spans="1:1" ht="17.149999999999999" customHeight="1">
      <c r="A2072" s="1"/>
    </row>
    <row r="2073" spans="1:1" ht="17.149999999999999" customHeight="1">
      <c r="A2073" s="1"/>
    </row>
    <row r="2074" spans="1:1" ht="17.149999999999999" customHeight="1">
      <c r="A2074" s="1"/>
    </row>
    <row r="2075" spans="1:1" ht="17.149999999999999" customHeight="1">
      <c r="A2075" s="1"/>
    </row>
    <row r="2076" spans="1:1" ht="17.149999999999999" customHeight="1">
      <c r="A2076" s="1"/>
    </row>
    <row r="2077" spans="1:1" ht="17.149999999999999" customHeight="1">
      <c r="A2077" s="1"/>
    </row>
    <row r="2078" spans="1:1" ht="17.149999999999999" customHeight="1">
      <c r="A2078" s="1"/>
    </row>
    <row r="2079" spans="1:1" ht="17.149999999999999" customHeight="1">
      <c r="A2079" s="1"/>
    </row>
    <row r="2080" spans="1:1" ht="17.149999999999999" customHeight="1">
      <c r="A2080" s="1"/>
    </row>
    <row r="2081" spans="1:1" ht="17.149999999999999" customHeight="1">
      <c r="A2081" s="1"/>
    </row>
    <row r="2082" spans="1:1" ht="17.149999999999999" customHeight="1">
      <c r="A2082" s="1"/>
    </row>
    <row r="2083" spans="1:1" ht="17.149999999999999" customHeight="1">
      <c r="A2083" s="1"/>
    </row>
    <row r="2084" spans="1:1" ht="17.149999999999999" customHeight="1">
      <c r="A2084" s="1"/>
    </row>
    <row r="2085" spans="1:1" ht="17.149999999999999" customHeight="1">
      <c r="A2085" s="1"/>
    </row>
    <row r="2086" spans="1:1" ht="17.149999999999999" customHeight="1">
      <c r="A2086" s="1"/>
    </row>
    <row r="2087" spans="1:1" ht="17.149999999999999" customHeight="1">
      <c r="A2087" s="1"/>
    </row>
    <row r="2088" spans="1:1" ht="17.149999999999999" customHeight="1">
      <c r="A2088" s="1"/>
    </row>
    <row r="2089" spans="1:1" ht="17.149999999999999" customHeight="1">
      <c r="A2089" s="1"/>
    </row>
    <row r="2090" spans="1:1" ht="17.149999999999999" customHeight="1">
      <c r="A2090" s="1"/>
    </row>
    <row r="2091" spans="1:1" ht="17.149999999999999" customHeight="1">
      <c r="A2091" s="1"/>
    </row>
    <row r="2092" spans="1:1" ht="17.149999999999999" customHeight="1">
      <c r="A2092" s="1"/>
    </row>
    <row r="2093" spans="1:1" ht="17.149999999999999" customHeight="1">
      <c r="A2093" s="1"/>
    </row>
    <row r="2094" spans="1:1" ht="17.149999999999999" customHeight="1">
      <c r="A2094" s="1"/>
    </row>
    <row r="2095" spans="1:1" ht="17.149999999999999" customHeight="1">
      <c r="A2095" s="1"/>
    </row>
    <row r="2096" spans="1:1" ht="17.149999999999999" customHeight="1">
      <c r="A2096" s="1"/>
    </row>
    <row r="2097" spans="1:1" ht="17.149999999999999" customHeight="1">
      <c r="A2097" s="1"/>
    </row>
    <row r="2098" spans="1:1" ht="17.149999999999999" customHeight="1">
      <c r="A2098" s="1"/>
    </row>
    <row r="2099" spans="1:1" ht="17.149999999999999" customHeight="1">
      <c r="A2099" s="1"/>
    </row>
    <row r="2100" spans="1:1" ht="17.149999999999999" customHeight="1">
      <c r="A2100" s="1"/>
    </row>
    <row r="2101" spans="1:1" ht="17.149999999999999" customHeight="1">
      <c r="A2101" s="1"/>
    </row>
    <row r="2102" spans="1:1" ht="17.149999999999999" customHeight="1">
      <c r="A2102" s="1"/>
    </row>
    <row r="2103" spans="1:1" ht="17.149999999999999" customHeight="1">
      <c r="A2103" s="1"/>
    </row>
    <row r="2104" spans="1:1" ht="17.149999999999999" customHeight="1">
      <c r="A2104" s="1"/>
    </row>
    <row r="2105" spans="1:1" ht="17.149999999999999" customHeight="1">
      <c r="A2105" s="1"/>
    </row>
    <row r="2106" spans="1:1" ht="17.149999999999999" customHeight="1">
      <c r="A2106" s="1"/>
    </row>
    <row r="2107" spans="1:1" ht="17.149999999999999" customHeight="1">
      <c r="A2107" s="1"/>
    </row>
    <row r="2108" spans="1:1" ht="17.149999999999999" customHeight="1">
      <c r="A2108" s="1"/>
    </row>
    <row r="2109" spans="1:1" ht="17.149999999999999" customHeight="1">
      <c r="A2109" s="1"/>
    </row>
    <row r="2110" spans="1:1" ht="17.149999999999999" customHeight="1">
      <c r="A2110" s="1"/>
    </row>
    <row r="2111" spans="1:1" ht="17.149999999999999" customHeight="1">
      <c r="A2111" s="1"/>
    </row>
    <row r="2112" spans="1:1" ht="17.149999999999999" customHeight="1">
      <c r="A2112" s="1"/>
    </row>
    <row r="2113" spans="1:1" ht="17.149999999999999" customHeight="1">
      <c r="A2113" s="1"/>
    </row>
    <row r="2114" spans="1:1" ht="17.149999999999999" customHeight="1">
      <c r="A2114" s="1"/>
    </row>
    <row r="2115" spans="1:1" ht="17.149999999999999" customHeight="1">
      <c r="A2115" s="1"/>
    </row>
    <row r="2116" spans="1:1" ht="17.149999999999999" customHeight="1">
      <c r="A2116" s="1"/>
    </row>
    <row r="2117" spans="1:1" ht="17.149999999999999" customHeight="1">
      <c r="A2117" s="1"/>
    </row>
    <row r="2118" spans="1:1" ht="17.149999999999999" customHeight="1">
      <c r="A2118" s="1"/>
    </row>
    <row r="2119" spans="1:1" ht="17.149999999999999" customHeight="1">
      <c r="A2119" s="1"/>
    </row>
    <row r="2120" spans="1:1" ht="17.149999999999999" customHeight="1">
      <c r="A2120" s="1"/>
    </row>
    <row r="2121" spans="1:1" ht="17.149999999999999" customHeight="1">
      <c r="A2121" s="1"/>
    </row>
    <row r="2122" spans="1:1" ht="17.149999999999999" customHeight="1">
      <c r="A2122" s="1"/>
    </row>
    <row r="2123" spans="1:1" ht="17.149999999999999" customHeight="1">
      <c r="A2123" s="1"/>
    </row>
    <row r="2124" spans="1:1" ht="17.149999999999999" customHeight="1">
      <c r="A2124" s="1"/>
    </row>
    <row r="2125" spans="1:1" ht="17.149999999999999" customHeight="1">
      <c r="A2125" s="1"/>
    </row>
    <row r="2126" spans="1:1" ht="17.149999999999999" customHeight="1">
      <c r="A2126" s="1"/>
    </row>
    <row r="2127" spans="1:1" ht="17.149999999999999" customHeight="1">
      <c r="A2127" s="1"/>
    </row>
    <row r="2128" spans="1:1" ht="17.149999999999999" customHeight="1">
      <c r="A2128" s="1"/>
    </row>
    <row r="2129" spans="1:1" ht="17.149999999999999" customHeight="1">
      <c r="A2129" s="1"/>
    </row>
    <row r="2130" spans="1:1" ht="17.149999999999999" customHeight="1">
      <c r="A2130" s="1"/>
    </row>
    <row r="2131" spans="1:1" ht="17.149999999999999" customHeight="1">
      <c r="A2131" s="1"/>
    </row>
    <row r="2132" spans="1:1" ht="17.149999999999999" customHeight="1">
      <c r="A2132" s="1"/>
    </row>
    <row r="2133" spans="1:1" ht="17.149999999999999" customHeight="1">
      <c r="A2133" s="1"/>
    </row>
    <row r="2134" spans="1:1" ht="17.149999999999999" customHeight="1">
      <c r="A2134" s="1"/>
    </row>
    <row r="2135" spans="1:1" ht="17.149999999999999" customHeight="1">
      <c r="A2135" s="1"/>
    </row>
    <row r="2136" spans="1:1" ht="17.149999999999999" customHeight="1">
      <c r="A2136" s="1"/>
    </row>
    <row r="2137" spans="1:1" ht="17.149999999999999" customHeight="1">
      <c r="A2137" s="1"/>
    </row>
    <row r="2138" spans="1:1" ht="17.149999999999999" customHeight="1">
      <c r="A2138" s="1"/>
    </row>
    <row r="2139" spans="1:1" ht="17.149999999999999" customHeight="1">
      <c r="A2139" s="1"/>
    </row>
    <row r="2140" spans="1:1" ht="17.149999999999999" customHeight="1">
      <c r="A2140" s="1"/>
    </row>
    <row r="2141" spans="1:1" ht="17.149999999999999" customHeight="1">
      <c r="A2141" s="1"/>
    </row>
    <row r="2142" spans="1:1" ht="17.149999999999999" customHeight="1">
      <c r="A2142" s="1"/>
    </row>
    <row r="2143" spans="1:1" ht="17.149999999999999" customHeight="1">
      <c r="A2143" s="1"/>
    </row>
    <row r="2144" spans="1:1" ht="17.149999999999999" customHeight="1">
      <c r="A2144" s="1"/>
    </row>
    <row r="2145" spans="1:1" ht="17.149999999999999" customHeight="1">
      <c r="A2145" s="1"/>
    </row>
    <row r="2146" spans="1:1" ht="17.149999999999999" customHeight="1">
      <c r="A2146" s="1"/>
    </row>
    <row r="2147" spans="1:1" ht="17.149999999999999" customHeight="1">
      <c r="A2147" s="1"/>
    </row>
    <row r="2148" spans="1:1" ht="17.149999999999999" customHeight="1">
      <c r="A2148" s="1"/>
    </row>
    <row r="2149" spans="1:1" ht="17.149999999999999" customHeight="1">
      <c r="A2149" s="1"/>
    </row>
    <row r="2150" spans="1:1" ht="17.149999999999999" customHeight="1">
      <c r="A2150" s="1"/>
    </row>
    <row r="2151" spans="1:1" ht="17.149999999999999" customHeight="1">
      <c r="A2151" s="1"/>
    </row>
    <row r="2152" spans="1:1" ht="17.149999999999999" customHeight="1">
      <c r="A2152" s="1"/>
    </row>
    <row r="2153" spans="1:1" ht="17.149999999999999" customHeight="1">
      <c r="A2153" s="1"/>
    </row>
    <row r="2154" spans="1:1" ht="17.149999999999999" customHeight="1">
      <c r="A2154" s="1"/>
    </row>
    <row r="2155" spans="1:1" ht="17.149999999999999" customHeight="1">
      <c r="A2155" s="1"/>
    </row>
    <row r="2156" spans="1:1" ht="17.149999999999999" customHeight="1">
      <c r="A2156" s="1"/>
    </row>
    <row r="2157" spans="1:1" ht="17.149999999999999" customHeight="1">
      <c r="A2157" s="1"/>
    </row>
    <row r="2158" spans="1:1" ht="17.149999999999999" customHeight="1">
      <c r="A2158" s="1"/>
    </row>
    <row r="2159" spans="1:1" ht="17.149999999999999" customHeight="1">
      <c r="A2159" s="1"/>
    </row>
    <row r="2160" spans="1:1" ht="17.149999999999999" customHeight="1">
      <c r="A2160" s="1"/>
    </row>
    <row r="2161" spans="1:1" ht="17.149999999999999" customHeight="1">
      <c r="A2161" s="1"/>
    </row>
    <row r="2162" spans="1:1" ht="17.149999999999999" customHeight="1">
      <c r="A2162" s="1"/>
    </row>
    <row r="2163" spans="1:1" ht="17.149999999999999" customHeight="1">
      <c r="A2163" s="1"/>
    </row>
    <row r="2164" spans="1:1" ht="17.149999999999999" customHeight="1">
      <c r="A2164" s="1"/>
    </row>
    <row r="2165" spans="1:1" ht="17.149999999999999" customHeight="1">
      <c r="A2165" s="1"/>
    </row>
    <row r="2166" spans="1:1" ht="17.149999999999999" customHeight="1">
      <c r="A2166" s="1"/>
    </row>
    <row r="2167" spans="1:1" ht="17.149999999999999" customHeight="1">
      <c r="A2167" s="1"/>
    </row>
    <row r="2168" spans="1:1" ht="17.149999999999999" customHeight="1">
      <c r="A2168" s="1"/>
    </row>
    <row r="2169" spans="1:1" ht="17.149999999999999" customHeight="1">
      <c r="A2169" s="1"/>
    </row>
    <row r="2170" spans="1:1" ht="17.149999999999999" customHeight="1">
      <c r="A2170" s="1"/>
    </row>
    <row r="2171" spans="1:1" ht="17.149999999999999" customHeight="1">
      <c r="A2171" s="1"/>
    </row>
    <row r="2172" spans="1:1" ht="17.149999999999999" customHeight="1">
      <c r="A2172" s="1"/>
    </row>
    <row r="2173" spans="1:1" ht="17.149999999999999" customHeight="1">
      <c r="A2173" s="1"/>
    </row>
    <row r="2174" spans="1:1" ht="17.149999999999999" customHeight="1">
      <c r="A2174" s="1"/>
    </row>
    <row r="2175" spans="1:1" ht="17.149999999999999" customHeight="1">
      <c r="A2175" s="1"/>
    </row>
    <row r="2176" spans="1:1" ht="17.149999999999999" customHeight="1">
      <c r="A2176" s="1"/>
    </row>
    <row r="2177" spans="1:1" ht="17.149999999999999" customHeight="1">
      <c r="A2177" s="1"/>
    </row>
    <row r="2178" spans="1:1" ht="17.149999999999999" customHeight="1">
      <c r="A2178" s="1"/>
    </row>
    <row r="2179" spans="1:1" ht="17.149999999999999" customHeight="1">
      <c r="A2179" s="1"/>
    </row>
    <row r="2180" spans="1:1" ht="17.149999999999999" customHeight="1">
      <c r="A2180" s="1"/>
    </row>
    <row r="2181" spans="1:1" ht="17.149999999999999" customHeight="1">
      <c r="A2181" s="1"/>
    </row>
    <row r="2182" spans="1:1" ht="17.149999999999999" customHeight="1">
      <c r="A2182" s="1"/>
    </row>
    <row r="2183" spans="1:1" ht="17.149999999999999" customHeight="1">
      <c r="A2183" s="1"/>
    </row>
    <row r="2184" spans="1:1" ht="17.149999999999999" customHeight="1">
      <c r="A2184" s="1"/>
    </row>
    <row r="2185" spans="1:1" ht="17.149999999999999" customHeight="1">
      <c r="A2185" s="1"/>
    </row>
    <row r="2186" spans="1:1" ht="17.149999999999999" customHeight="1">
      <c r="A2186" s="1"/>
    </row>
    <row r="2187" spans="1:1" ht="17.149999999999999" customHeight="1">
      <c r="A2187" s="1"/>
    </row>
    <row r="2188" spans="1:1" ht="17.149999999999999" customHeight="1">
      <c r="A2188" s="1"/>
    </row>
    <row r="2189" spans="1:1" ht="17.149999999999999" customHeight="1">
      <c r="A2189" s="1"/>
    </row>
    <row r="2190" spans="1:1" ht="17.149999999999999" customHeight="1">
      <c r="A2190" s="1"/>
    </row>
    <row r="2191" spans="1:1" ht="17.149999999999999" customHeight="1">
      <c r="A2191" s="1"/>
    </row>
    <row r="2192" spans="1:1" ht="17.149999999999999" customHeight="1">
      <c r="A2192" s="1"/>
    </row>
    <row r="2193" spans="1:1" ht="17.149999999999999" customHeight="1">
      <c r="A2193" s="1"/>
    </row>
    <row r="2194" spans="1:1" ht="17.149999999999999" customHeight="1">
      <c r="A2194" s="1"/>
    </row>
    <row r="2195" spans="1:1" ht="17.149999999999999" customHeight="1">
      <c r="A2195" s="1"/>
    </row>
    <row r="2196" spans="1:1" ht="17.149999999999999" customHeight="1">
      <c r="A2196" s="1"/>
    </row>
    <row r="2197" spans="1:1" ht="17.149999999999999" customHeight="1">
      <c r="A2197" s="1"/>
    </row>
    <row r="2198" spans="1:1" ht="17.149999999999999" customHeight="1">
      <c r="A2198" s="1"/>
    </row>
    <row r="2199" spans="1:1" ht="17.149999999999999" customHeight="1">
      <c r="A2199" s="1"/>
    </row>
    <row r="2200" spans="1:1" ht="17.149999999999999" customHeight="1">
      <c r="A2200" s="1"/>
    </row>
    <row r="2201" spans="1:1" ht="17.149999999999999" customHeight="1">
      <c r="A2201" s="1"/>
    </row>
    <row r="2202" spans="1:1" ht="17.149999999999999" customHeight="1">
      <c r="A2202" s="1"/>
    </row>
    <row r="2203" spans="1:1" ht="17.149999999999999" customHeight="1">
      <c r="A2203" s="1"/>
    </row>
    <row r="2204" spans="1:1" ht="17.149999999999999" customHeight="1">
      <c r="A2204" s="1"/>
    </row>
    <row r="2205" spans="1:1" ht="17.149999999999999" customHeight="1">
      <c r="A2205" s="1"/>
    </row>
    <row r="2206" spans="1:1" ht="17.149999999999999" customHeight="1">
      <c r="A2206" s="1"/>
    </row>
    <row r="2207" spans="1:1" ht="17.149999999999999" customHeight="1">
      <c r="A2207" s="1"/>
    </row>
    <row r="2208" spans="1:1" ht="17.149999999999999" customHeight="1">
      <c r="A2208" s="1"/>
    </row>
    <row r="2209" spans="1:1" ht="17.149999999999999" customHeight="1">
      <c r="A2209" s="1"/>
    </row>
    <row r="2210" spans="1:1" ht="17.149999999999999" customHeight="1">
      <c r="A2210" s="1"/>
    </row>
    <row r="2211" spans="1:1" ht="17.149999999999999" customHeight="1">
      <c r="A2211" s="1"/>
    </row>
    <row r="2212" spans="1:1" ht="17.149999999999999" customHeight="1">
      <c r="A2212" s="1"/>
    </row>
    <row r="2213" spans="1:1" ht="17.149999999999999" customHeight="1">
      <c r="A2213" s="1"/>
    </row>
    <row r="2214" spans="1:1" ht="17.149999999999999" customHeight="1">
      <c r="A2214" s="1"/>
    </row>
    <row r="2215" spans="1:1" ht="17.149999999999999" customHeight="1">
      <c r="A2215" s="1"/>
    </row>
    <row r="2216" spans="1:1" ht="17.149999999999999" customHeight="1">
      <c r="A2216" s="1"/>
    </row>
    <row r="2217" spans="1:1" ht="17.149999999999999" customHeight="1">
      <c r="A2217" s="1"/>
    </row>
    <row r="2218" spans="1:1" ht="17.149999999999999" customHeight="1">
      <c r="A2218" s="1"/>
    </row>
    <row r="2219" spans="1:1" ht="17.149999999999999" customHeight="1">
      <c r="A2219" s="1"/>
    </row>
    <row r="2220" spans="1:1" ht="17.149999999999999" customHeight="1">
      <c r="A2220" s="1"/>
    </row>
    <row r="2221" spans="1:1" ht="17.149999999999999" customHeight="1">
      <c r="A2221" s="1"/>
    </row>
    <row r="2222" spans="1:1" ht="17.149999999999999" customHeight="1">
      <c r="A2222" s="1"/>
    </row>
    <row r="2223" spans="1:1" ht="17.149999999999999" customHeight="1">
      <c r="A2223" s="1"/>
    </row>
    <row r="2224" spans="1:1" ht="17.149999999999999" customHeight="1">
      <c r="A2224" s="1"/>
    </row>
    <row r="2225" spans="1:1" ht="17.149999999999999" customHeight="1">
      <c r="A2225" s="1"/>
    </row>
    <row r="2226" spans="1:1" ht="17.149999999999999" customHeight="1">
      <c r="A2226" s="1"/>
    </row>
    <row r="2227" spans="1:1" ht="17.149999999999999" customHeight="1">
      <c r="A2227" s="1"/>
    </row>
    <row r="2228" spans="1:1" ht="17.149999999999999" customHeight="1">
      <c r="A2228" s="1"/>
    </row>
    <row r="2229" spans="1:1" ht="17.149999999999999" customHeight="1">
      <c r="A2229" s="1"/>
    </row>
    <row r="2230" spans="1:1" ht="17.149999999999999" customHeight="1">
      <c r="A2230" s="1"/>
    </row>
    <row r="2231" spans="1:1" ht="17.149999999999999" customHeight="1">
      <c r="A2231" s="1"/>
    </row>
    <row r="2232" spans="1:1" ht="17.149999999999999" customHeight="1">
      <c r="A2232" s="1"/>
    </row>
    <row r="2233" spans="1:1" ht="17.149999999999999" customHeight="1">
      <c r="A2233" s="1"/>
    </row>
    <row r="2234" spans="1:1" ht="17.149999999999999" customHeight="1">
      <c r="A2234" s="1"/>
    </row>
    <row r="2235" spans="1:1" ht="17.149999999999999" customHeight="1">
      <c r="A2235" s="1"/>
    </row>
    <row r="2236" spans="1:1" ht="17.149999999999999" customHeight="1">
      <c r="A2236" s="1"/>
    </row>
    <row r="2237" spans="1:1" ht="17.149999999999999" customHeight="1">
      <c r="A2237" s="1"/>
    </row>
    <row r="2238" spans="1:1" ht="17.149999999999999" customHeight="1">
      <c r="A2238" s="1"/>
    </row>
    <row r="2239" spans="1:1" ht="17.149999999999999" customHeight="1">
      <c r="A2239" s="1"/>
    </row>
    <row r="2240" spans="1:1" ht="17.149999999999999" customHeight="1">
      <c r="A2240" s="1"/>
    </row>
    <row r="2241" spans="1:1" ht="17.149999999999999" customHeight="1">
      <c r="A2241" s="1"/>
    </row>
    <row r="2242" spans="1:1" ht="17.149999999999999" customHeight="1">
      <c r="A2242" s="1"/>
    </row>
    <row r="2243" spans="1:1" ht="17.149999999999999" customHeight="1">
      <c r="A2243" s="1"/>
    </row>
    <row r="2244" spans="1:1" ht="17.149999999999999" customHeight="1">
      <c r="A2244" s="1"/>
    </row>
    <row r="2245" spans="1:1" ht="17.149999999999999" customHeight="1">
      <c r="A2245" s="1"/>
    </row>
    <row r="2246" spans="1:1" ht="17.149999999999999" customHeight="1">
      <c r="A2246" s="1"/>
    </row>
    <row r="2247" spans="1:1" ht="17.149999999999999" customHeight="1">
      <c r="A2247" s="1"/>
    </row>
    <row r="2248" spans="1:1" ht="17.149999999999999" customHeight="1">
      <c r="A2248" s="1"/>
    </row>
    <row r="2249" spans="1:1" ht="17.149999999999999" customHeight="1">
      <c r="A2249" s="1"/>
    </row>
    <row r="2250" spans="1:1" ht="17.149999999999999" customHeight="1">
      <c r="A2250" s="1"/>
    </row>
    <row r="2251" spans="1:1" ht="17.149999999999999" customHeight="1">
      <c r="A2251" s="1"/>
    </row>
    <row r="2252" spans="1:1" ht="17.149999999999999" customHeight="1">
      <c r="A2252" s="1"/>
    </row>
    <row r="2253" spans="1:1" ht="17.149999999999999" customHeight="1">
      <c r="A2253" s="1"/>
    </row>
    <row r="2254" spans="1:1" ht="17.149999999999999" customHeight="1">
      <c r="A2254" s="1"/>
    </row>
    <row r="2255" spans="1:1" ht="17.149999999999999" customHeight="1">
      <c r="A2255" s="1"/>
    </row>
    <row r="2256" spans="1:1" ht="17.149999999999999" customHeight="1">
      <c r="A2256" s="1"/>
    </row>
    <row r="2257" spans="1:1" ht="17.149999999999999" customHeight="1">
      <c r="A2257" s="1"/>
    </row>
    <row r="2258" spans="1:1" ht="17.149999999999999" customHeight="1">
      <c r="A2258" s="1"/>
    </row>
    <row r="2259" spans="1:1" ht="17.149999999999999" customHeight="1">
      <c r="A2259" s="1"/>
    </row>
    <row r="2260" spans="1:1" ht="17.149999999999999" customHeight="1">
      <c r="A2260" s="1"/>
    </row>
    <row r="2261" spans="1:1" ht="17.149999999999999" customHeight="1">
      <c r="A2261" s="1"/>
    </row>
    <row r="2262" spans="1:1" ht="17.149999999999999" customHeight="1">
      <c r="A2262" s="1"/>
    </row>
    <row r="2263" spans="1:1" ht="17.149999999999999" customHeight="1">
      <c r="A2263" s="1"/>
    </row>
    <row r="2264" spans="1:1" ht="17.149999999999999" customHeight="1">
      <c r="A2264" s="1"/>
    </row>
    <row r="2265" spans="1:1" ht="17.149999999999999" customHeight="1">
      <c r="A2265" s="1"/>
    </row>
    <row r="2266" spans="1:1" ht="17.149999999999999" customHeight="1">
      <c r="A2266" s="1"/>
    </row>
    <row r="2267" spans="1:1" ht="17.149999999999999" customHeight="1">
      <c r="A2267" s="1"/>
    </row>
    <row r="2268" spans="1:1" ht="17.149999999999999" customHeight="1">
      <c r="A2268" s="1"/>
    </row>
    <row r="2269" spans="1:1" ht="17.149999999999999" customHeight="1">
      <c r="A2269" s="1"/>
    </row>
    <row r="2270" spans="1:1" ht="17.149999999999999" customHeight="1">
      <c r="A2270" s="1"/>
    </row>
    <row r="2271" spans="1:1" ht="17.149999999999999" customHeight="1">
      <c r="A2271" s="1"/>
    </row>
    <row r="2272" spans="1:1" ht="17.149999999999999" customHeight="1">
      <c r="A2272" s="1"/>
    </row>
    <row r="2273" spans="1:1" ht="17.149999999999999" customHeight="1">
      <c r="A2273" s="1"/>
    </row>
    <row r="2274" spans="1:1" ht="17.149999999999999" customHeight="1">
      <c r="A2274" s="1"/>
    </row>
    <row r="2275" spans="1:1" ht="17.149999999999999" customHeight="1">
      <c r="A2275" s="1"/>
    </row>
    <row r="2276" spans="1:1" ht="17.149999999999999" customHeight="1">
      <c r="A2276" s="1"/>
    </row>
    <row r="2277" spans="1:1" ht="17.149999999999999" customHeight="1">
      <c r="A2277" s="1"/>
    </row>
    <row r="2278" spans="1:1" ht="17.149999999999999" customHeight="1">
      <c r="A2278" s="1"/>
    </row>
    <row r="2279" spans="1:1" ht="17.149999999999999" customHeight="1">
      <c r="A2279" s="1"/>
    </row>
    <row r="2280" spans="1:1" ht="17.149999999999999" customHeight="1">
      <c r="A2280" s="1"/>
    </row>
    <row r="2281" spans="1:1" ht="17.149999999999999" customHeight="1">
      <c r="A2281" s="1"/>
    </row>
    <row r="2282" spans="1:1" ht="17.149999999999999" customHeight="1">
      <c r="A2282" s="1"/>
    </row>
    <row r="2283" spans="1:1" ht="17.149999999999999" customHeight="1">
      <c r="A2283" s="1"/>
    </row>
    <row r="2284" spans="1:1" ht="17.149999999999999" customHeight="1">
      <c r="A2284" s="1"/>
    </row>
    <row r="2285" spans="1:1" ht="17.149999999999999" customHeight="1">
      <c r="A2285" s="1"/>
    </row>
    <row r="2286" spans="1:1" ht="17.149999999999999" customHeight="1">
      <c r="A2286" s="1"/>
    </row>
    <row r="2287" spans="1:1" ht="17.149999999999999" customHeight="1">
      <c r="A2287" s="1"/>
    </row>
    <row r="2288" spans="1:1" ht="17.149999999999999" customHeight="1">
      <c r="A2288" s="1"/>
    </row>
    <row r="2289" spans="1:1" ht="17.149999999999999" customHeight="1">
      <c r="A2289" s="1"/>
    </row>
    <row r="2290" spans="1:1" ht="17.149999999999999" customHeight="1">
      <c r="A2290" s="1"/>
    </row>
    <row r="2291" spans="1:1" ht="17.149999999999999" customHeight="1">
      <c r="A2291" s="1"/>
    </row>
    <row r="2292" spans="1:1" ht="17.149999999999999" customHeight="1">
      <c r="A2292" s="1"/>
    </row>
    <row r="2293" spans="1:1" ht="17.149999999999999" customHeight="1">
      <c r="A2293" s="1"/>
    </row>
    <row r="2294" spans="1:1" ht="17.149999999999999" customHeight="1">
      <c r="A2294" s="1"/>
    </row>
    <row r="2295" spans="1:1" ht="17.149999999999999" customHeight="1">
      <c r="A2295" s="1"/>
    </row>
    <row r="2296" spans="1:1" ht="17.149999999999999" customHeight="1">
      <c r="A2296" s="1"/>
    </row>
    <row r="2297" spans="1:1" ht="17.149999999999999" customHeight="1">
      <c r="A2297" s="1"/>
    </row>
    <row r="2298" spans="1:1" ht="17.149999999999999" customHeight="1">
      <c r="A2298" s="1"/>
    </row>
    <row r="2299" spans="1:1" ht="17.149999999999999" customHeight="1">
      <c r="A2299" s="1"/>
    </row>
    <row r="2300" spans="1:1" ht="17.149999999999999" customHeight="1">
      <c r="A2300" s="1"/>
    </row>
    <row r="2301" spans="1:1" ht="17.149999999999999" customHeight="1">
      <c r="A2301" s="1"/>
    </row>
    <row r="2302" spans="1:1" ht="17.149999999999999" customHeight="1">
      <c r="A2302" s="1"/>
    </row>
    <row r="2303" spans="1:1" ht="17.149999999999999" customHeight="1">
      <c r="A2303" s="1"/>
    </row>
    <row r="2304" spans="1:1" ht="17.149999999999999" customHeight="1">
      <c r="A2304" s="1"/>
    </row>
    <row r="2305" spans="1:1" ht="17.149999999999999" customHeight="1">
      <c r="A2305" s="1"/>
    </row>
    <row r="2306" spans="1:1" ht="17.149999999999999" customHeight="1">
      <c r="A2306" s="1"/>
    </row>
    <row r="2307" spans="1:1" ht="17.149999999999999" customHeight="1">
      <c r="A2307" s="1"/>
    </row>
    <row r="2308" spans="1:1" ht="17.149999999999999" customHeight="1">
      <c r="A2308" s="1"/>
    </row>
    <row r="2309" spans="1:1" ht="17.149999999999999" customHeight="1">
      <c r="A2309" s="1"/>
    </row>
    <row r="2310" spans="1:1" ht="17.149999999999999" customHeight="1">
      <c r="A2310" s="1"/>
    </row>
    <row r="2311" spans="1:1" ht="17.149999999999999" customHeight="1">
      <c r="A2311" s="1"/>
    </row>
    <row r="2312" spans="1:1" ht="17.149999999999999" customHeight="1">
      <c r="A2312" s="1"/>
    </row>
    <row r="2313" spans="1:1" ht="17.149999999999999" customHeight="1">
      <c r="A2313" s="1"/>
    </row>
    <row r="2314" spans="1:1" ht="17.149999999999999" customHeight="1">
      <c r="A2314" s="1"/>
    </row>
    <row r="2315" spans="1:1" ht="17.149999999999999" customHeight="1">
      <c r="A2315" s="1"/>
    </row>
    <row r="2316" spans="1:1" ht="17.149999999999999" customHeight="1">
      <c r="A2316" s="1"/>
    </row>
    <row r="2317" spans="1:1" ht="17.149999999999999" customHeight="1">
      <c r="A2317" s="1"/>
    </row>
    <row r="2318" spans="1:1" ht="17.149999999999999" customHeight="1">
      <c r="A2318" s="1"/>
    </row>
    <row r="2319" spans="1:1" ht="17.149999999999999" customHeight="1">
      <c r="A2319" s="1"/>
    </row>
    <row r="2320" spans="1:1" ht="17.149999999999999" customHeight="1">
      <c r="A2320" s="1"/>
    </row>
    <row r="2321" spans="1:1" ht="17.149999999999999" customHeight="1">
      <c r="A2321" s="1"/>
    </row>
    <row r="2322" spans="1:1" ht="17.149999999999999" customHeight="1">
      <c r="A2322" s="1"/>
    </row>
    <row r="2323" spans="1:1" ht="17.149999999999999" customHeight="1">
      <c r="A2323" s="1"/>
    </row>
    <row r="2324" spans="1:1" ht="17.149999999999999" customHeight="1">
      <c r="A2324" s="1"/>
    </row>
    <row r="2325" spans="1:1" ht="17.149999999999999" customHeight="1">
      <c r="A2325" s="1"/>
    </row>
    <row r="2326" spans="1:1" ht="17.149999999999999" customHeight="1">
      <c r="A2326" s="1"/>
    </row>
    <row r="2327" spans="1:1" ht="17.149999999999999" customHeight="1">
      <c r="A2327" s="1"/>
    </row>
    <row r="2328" spans="1:1" ht="17.149999999999999" customHeight="1">
      <c r="A2328" s="1"/>
    </row>
    <row r="2329" spans="1:1" ht="17.149999999999999" customHeight="1">
      <c r="A2329" s="1"/>
    </row>
    <row r="2330" spans="1:1" ht="17.149999999999999" customHeight="1">
      <c r="A2330" s="1"/>
    </row>
    <row r="2331" spans="1:1" ht="17.149999999999999" customHeight="1">
      <c r="A2331" s="1"/>
    </row>
    <row r="2332" spans="1:1" ht="17.149999999999999" customHeight="1">
      <c r="A2332" s="1"/>
    </row>
    <row r="2333" spans="1:1" ht="17.149999999999999" customHeight="1">
      <c r="A2333" s="1"/>
    </row>
    <row r="2334" spans="1:1" ht="17.149999999999999" customHeight="1">
      <c r="A2334" s="1"/>
    </row>
    <row r="2335" spans="1:1" ht="17.149999999999999" customHeight="1">
      <c r="A2335" s="1"/>
    </row>
    <row r="2336" spans="1:1" ht="17.149999999999999" customHeight="1">
      <c r="A2336" s="1"/>
    </row>
    <row r="2337" spans="1:1" ht="17.149999999999999" customHeight="1">
      <c r="A2337" s="1"/>
    </row>
    <row r="2338" spans="1:1" ht="17.149999999999999" customHeight="1">
      <c r="A2338" s="1"/>
    </row>
    <row r="2339" spans="1:1" ht="17.149999999999999" customHeight="1">
      <c r="A2339" s="1"/>
    </row>
    <row r="2340" spans="1:1" ht="17.149999999999999" customHeight="1">
      <c r="A2340" s="1"/>
    </row>
    <row r="2341" spans="1:1" ht="17.149999999999999" customHeight="1">
      <c r="A2341" s="1"/>
    </row>
    <row r="2342" spans="1:1" ht="17.149999999999999" customHeight="1">
      <c r="A2342" s="1"/>
    </row>
    <row r="2343" spans="1:1" ht="17.149999999999999" customHeight="1">
      <c r="A2343" s="1"/>
    </row>
    <row r="2344" spans="1:1" ht="17.149999999999999" customHeight="1">
      <c r="A2344" s="1"/>
    </row>
    <row r="2345" spans="1:1" ht="17.149999999999999" customHeight="1">
      <c r="A2345" s="1"/>
    </row>
    <row r="2346" spans="1:1" ht="17.149999999999999" customHeight="1">
      <c r="A2346" s="1"/>
    </row>
    <row r="2347" spans="1:1" ht="17.149999999999999" customHeight="1">
      <c r="A2347" s="1"/>
    </row>
    <row r="2348" spans="1:1" ht="17.149999999999999" customHeight="1">
      <c r="A2348" s="1"/>
    </row>
    <row r="2349" spans="1:1" ht="17.149999999999999" customHeight="1">
      <c r="A2349" s="1"/>
    </row>
    <row r="2350" spans="1:1" ht="17.149999999999999" customHeight="1">
      <c r="A2350" s="1"/>
    </row>
    <row r="2351" spans="1:1" ht="17.149999999999999" customHeight="1">
      <c r="A2351" s="1"/>
    </row>
    <row r="2352" spans="1:1" ht="17.149999999999999" customHeight="1">
      <c r="A2352" s="1"/>
    </row>
    <row r="2353" spans="1:1" ht="17.149999999999999" customHeight="1">
      <c r="A2353" s="1"/>
    </row>
    <row r="2354" spans="1:1" ht="17.149999999999999" customHeight="1">
      <c r="A2354" s="1"/>
    </row>
    <row r="2355" spans="1:1" ht="17.149999999999999" customHeight="1">
      <c r="A2355" s="1"/>
    </row>
    <row r="2356" spans="1:1" ht="17.149999999999999" customHeight="1">
      <c r="A2356" s="1"/>
    </row>
    <row r="2357" spans="1:1" ht="17.149999999999999" customHeight="1">
      <c r="A2357" s="1"/>
    </row>
    <row r="2358" spans="1:1" ht="17.149999999999999" customHeight="1">
      <c r="A2358" s="1"/>
    </row>
    <row r="2359" spans="1:1" ht="17.149999999999999" customHeight="1">
      <c r="A2359" s="1"/>
    </row>
    <row r="2360" spans="1:1" ht="17.149999999999999" customHeight="1">
      <c r="A2360" s="1"/>
    </row>
    <row r="2361" spans="1:1" ht="17.149999999999999" customHeight="1">
      <c r="A2361" s="1"/>
    </row>
    <row r="2362" spans="1:1" ht="17.149999999999999" customHeight="1">
      <c r="A2362" s="1"/>
    </row>
    <row r="2363" spans="1:1" ht="17.149999999999999" customHeight="1">
      <c r="A2363" s="1"/>
    </row>
    <row r="2364" spans="1:1" ht="17.149999999999999" customHeight="1">
      <c r="A2364" s="1"/>
    </row>
    <row r="2365" spans="1:1" ht="17.149999999999999" customHeight="1">
      <c r="A2365" s="1"/>
    </row>
    <row r="2366" spans="1:1" ht="17.149999999999999" customHeight="1">
      <c r="A2366" s="1"/>
    </row>
    <row r="2367" spans="1:1" ht="17.149999999999999" customHeight="1">
      <c r="A2367" s="1"/>
    </row>
    <row r="2368" spans="1:1" ht="17.149999999999999" customHeight="1">
      <c r="A2368" s="1"/>
    </row>
    <row r="2369" spans="1:1" ht="17.149999999999999" customHeight="1">
      <c r="A2369" s="1"/>
    </row>
    <row r="2370" spans="1:1" ht="17.149999999999999" customHeight="1">
      <c r="A2370" s="1"/>
    </row>
    <row r="2371" spans="1:1" ht="17.149999999999999" customHeight="1">
      <c r="A2371" s="1"/>
    </row>
    <row r="2372" spans="1:1" ht="17.149999999999999" customHeight="1">
      <c r="A2372" s="1"/>
    </row>
    <row r="2373" spans="1:1" ht="17.149999999999999" customHeight="1">
      <c r="A2373" s="1"/>
    </row>
    <row r="2374" spans="1:1" ht="17.149999999999999" customHeight="1">
      <c r="A2374" s="1"/>
    </row>
    <row r="2375" spans="1:1" ht="17.149999999999999" customHeight="1">
      <c r="A2375" s="1"/>
    </row>
    <row r="2376" spans="1:1" ht="17.149999999999999" customHeight="1">
      <c r="A2376" s="1"/>
    </row>
    <row r="2377" spans="1:1" ht="17.149999999999999" customHeight="1">
      <c r="A2377" s="1"/>
    </row>
    <row r="2378" spans="1:1" ht="17.149999999999999" customHeight="1">
      <c r="A2378" s="1"/>
    </row>
    <row r="2379" spans="1:1" ht="17.149999999999999" customHeight="1">
      <c r="A2379" s="1"/>
    </row>
    <row r="2380" spans="1:1" ht="17.149999999999999" customHeight="1">
      <c r="A2380" s="1"/>
    </row>
    <row r="2381" spans="1:1" ht="17.149999999999999" customHeight="1">
      <c r="A2381" s="1"/>
    </row>
    <row r="2382" spans="1:1" ht="17.149999999999999" customHeight="1">
      <c r="A2382" s="1"/>
    </row>
    <row r="2383" spans="1:1" ht="17.149999999999999" customHeight="1">
      <c r="A2383" s="1"/>
    </row>
    <row r="2384" spans="1:1" ht="17.149999999999999" customHeight="1">
      <c r="A2384" s="1"/>
    </row>
    <row r="2385" spans="1:1" ht="17.149999999999999" customHeight="1">
      <c r="A2385" s="1"/>
    </row>
    <row r="2386" spans="1:1" ht="17.149999999999999" customHeight="1">
      <c r="A2386" s="1"/>
    </row>
    <row r="2387" spans="1:1" ht="17.149999999999999" customHeight="1">
      <c r="A2387" s="1"/>
    </row>
    <row r="2388" spans="1:1" ht="17.149999999999999" customHeight="1">
      <c r="A2388" s="1"/>
    </row>
    <row r="2389" spans="1:1" ht="17.149999999999999" customHeight="1">
      <c r="A2389" s="1"/>
    </row>
    <row r="2390" spans="1:1" ht="17.149999999999999" customHeight="1">
      <c r="A2390" s="1"/>
    </row>
    <row r="2391" spans="1:1" ht="17.149999999999999" customHeight="1">
      <c r="A2391" s="1"/>
    </row>
    <row r="2392" spans="1:1" ht="17.149999999999999" customHeight="1">
      <c r="A2392" s="1"/>
    </row>
    <row r="2393" spans="1:1" ht="17.149999999999999" customHeight="1">
      <c r="A2393" s="1"/>
    </row>
    <row r="2394" spans="1:1" ht="17.149999999999999" customHeight="1">
      <c r="A2394" s="1"/>
    </row>
    <row r="2395" spans="1:1" ht="17.149999999999999" customHeight="1">
      <c r="A2395" s="1"/>
    </row>
    <row r="2396" spans="1:1" ht="17.149999999999999" customHeight="1">
      <c r="A2396" s="1"/>
    </row>
    <row r="2397" spans="1:1" ht="17.149999999999999" customHeight="1">
      <c r="A2397" s="1"/>
    </row>
    <row r="2398" spans="1:1" ht="17.149999999999999" customHeight="1">
      <c r="A2398" s="1"/>
    </row>
    <row r="2399" spans="1:1" ht="17.149999999999999" customHeight="1">
      <c r="A2399" s="1"/>
    </row>
    <row r="2400" spans="1:1" ht="17.149999999999999" customHeight="1">
      <c r="A2400" s="1"/>
    </row>
    <row r="2401" spans="1:1" ht="17.149999999999999" customHeight="1">
      <c r="A2401" s="1"/>
    </row>
    <row r="2402" spans="1:1" ht="17.149999999999999" customHeight="1">
      <c r="A2402" s="1"/>
    </row>
    <row r="2403" spans="1:1" ht="17.149999999999999" customHeight="1">
      <c r="A2403" s="1"/>
    </row>
    <row r="2404" spans="1:1" ht="17.149999999999999" customHeight="1">
      <c r="A2404" s="1"/>
    </row>
    <row r="2405" spans="1:1" ht="17.149999999999999" customHeight="1">
      <c r="A2405" s="1"/>
    </row>
    <row r="2406" spans="1:1" ht="17.149999999999999" customHeight="1">
      <c r="A2406" s="1"/>
    </row>
    <row r="2407" spans="1:1" ht="17.149999999999999" customHeight="1">
      <c r="A2407" s="1"/>
    </row>
    <row r="2408" spans="1:1" ht="17.149999999999999" customHeight="1">
      <c r="A2408" s="1"/>
    </row>
    <row r="2409" spans="1:1" ht="17.149999999999999" customHeight="1">
      <c r="A2409" s="1"/>
    </row>
    <row r="2410" spans="1:1" ht="17.149999999999999" customHeight="1">
      <c r="A2410" s="1"/>
    </row>
    <row r="2411" spans="1:1" ht="17.149999999999999" customHeight="1">
      <c r="A2411" s="1"/>
    </row>
  </sheetData>
  <mergeCells count="51">
    <mergeCell ref="H54:I54"/>
    <mergeCell ref="C37:E37"/>
    <mergeCell ref="B73:E73"/>
    <mergeCell ref="C54:E54"/>
    <mergeCell ref="C63:F63"/>
    <mergeCell ref="H55:I55"/>
    <mergeCell ref="H56:I56"/>
    <mergeCell ref="H58:I58"/>
    <mergeCell ref="H59:I59"/>
    <mergeCell ref="H60:I60"/>
    <mergeCell ref="H61:I61"/>
    <mergeCell ref="H57:I57"/>
    <mergeCell ref="H41:I41"/>
    <mergeCell ref="H42:I42"/>
    <mergeCell ref="D2:H3"/>
    <mergeCell ref="D4:H4"/>
    <mergeCell ref="D5:H5"/>
    <mergeCell ref="C18:J18"/>
    <mergeCell ref="B8:J8"/>
    <mergeCell ref="B9:J9"/>
    <mergeCell ref="D11:F11"/>
    <mergeCell ref="C19:E19"/>
    <mergeCell ref="C35:E35"/>
    <mergeCell ref="C52:J52"/>
    <mergeCell ref="H44:I44"/>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50:I50"/>
    <mergeCell ref="H37:I37"/>
    <mergeCell ref="H38:I38"/>
    <mergeCell ref="H39:I39"/>
    <mergeCell ref="H40:I40"/>
    <mergeCell ref="H43:I43"/>
    <mergeCell ref="H45:I45"/>
    <mergeCell ref="H48:I48"/>
  </mergeCells>
  <pageMargins left="0.39370078740157483" right="0.23622047244094491" top="0.39370078740157483" bottom="0.59055118110236227" header="0.31496062992125984" footer="0.31496062992125984"/>
  <pageSetup scale="5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8"/>
  <sheetViews>
    <sheetView workbookViewId="0">
      <selection activeCell="I6" sqref="I6"/>
    </sheetView>
  </sheetViews>
  <sheetFormatPr defaultRowHeight="14.5"/>
  <cols>
    <col min="3" max="3" width="11.36328125" bestFit="1" customWidth="1"/>
    <col min="4" max="4" width="9" bestFit="1" customWidth="1"/>
    <col min="5" max="5" width="12.90625" bestFit="1" customWidth="1"/>
  </cols>
  <sheetData>
    <row r="2" spans="2:5">
      <c r="B2" t="s">
        <v>113</v>
      </c>
      <c r="C2" s="151">
        <v>400000</v>
      </c>
      <c r="D2" s="151">
        <v>1</v>
      </c>
      <c r="E2" s="151">
        <f>D2*C2</f>
        <v>400000</v>
      </c>
    </row>
    <row r="3" spans="2:5">
      <c r="B3" t="s">
        <v>114</v>
      </c>
      <c r="C3" s="151">
        <v>150000</v>
      </c>
      <c r="D3" s="151">
        <v>2</v>
      </c>
      <c r="E3" s="151">
        <f>D3*C3</f>
        <v>300000</v>
      </c>
    </row>
    <row r="4" spans="2:5">
      <c r="B4" t="s">
        <v>115</v>
      </c>
      <c r="C4" s="151">
        <v>150000</v>
      </c>
      <c r="D4" s="151">
        <v>2</v>
      </c>
      <c r="E4" s="151">
        <f>D4*C4</f>
        <v>300000</v>
      </c>
    </row>
    <row r="5" spans="2:5">
      <c r="C5" s="151"/>
      <c r="D5" s="151"/>
      <c r="E5" s="151"/>
    </row>
    <row r="6" spans="2:5">
      <c r="C6" s="151"/>
      <c r="D6" s="151"/>
      <c r="E6" s="151">
        <f>SUM(E2:E4)</f>
        <v>1000000</v>
      </c>
    </row>
    <row r="7" spans="2:5">
      <c r="C7" s="151"/>
      <c r="D7" s="151"/>
      <c r="E7" s="151"/>
    </row>
    <row r="8" spans="2:5">
      <c r="C8" s="151"/>
      <c r="D8" s="151"/>
      <c r="E8" s="1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I24"/>
  <sheetViews>
    <sheetView topLeftCell="A11" zoomScale="20" zoomScaleNormal="20" workbookViewId="0">
      <selection activeCell="A122" sqref="A122"/>
    </sheetView>
  </sheetViews>
  <sheetFormatPr defaultColWidth="8.90625" defaultRowHeight="14.5"/>
  <cols>
    <col min="1" max="1" width="18.54296875" style="127" customWidth="1"/>
    <col min="2" max="2" width="106.90625" style="127" customWidth="1"/>
    <col min="3" max="3" width="101.90625" style="128" customWidth="1"/>
    <col min="4" max="4" width="77.90625" style="127" customWidth="1"/>
    <col min="5" max="5" width="59.1796875" style="127" customWidth="1"/>
    <col min="6" max="6" width="97.1796875" style="127" customWidth="1"/>
    <col min="7" max="7" width="86.08984375" style="127" customWidth="1"/>
    <col min="8" max="8" width="117.453125" style="127" customWidth="1"/>
    <col min="9" max="9" width="63.54296875" style="127" customWidth="1"/>
    <col min="10" max="16384" width="8.90625" style="127"/>
  </cols>
  <sheetData>
    <row r="2" spans="1:9" ht="92">
      <c r="A2" s="196" t="s">
        <v>68</v>
      </c>
      <c r="B2" s="196"/>
      <c r="C2" s="196"/>
      <c r="D2" s="196"/>
      <c r="E2" s="196"/>
      <c r="F2" s="196"/>
      <c r="G2" s="196"/>
      <c r="H2" s="196"/>
      <c r="I2" s="126"/>
    </row>
    <row r="3" spans="1:9">
      <c r="A3" s="126"/>
      <c r="B3" s="126"/>
      <c r="D3" s="126"/>
      <c r="E3" s="126"/>
      <c r="F3" s="126"/>
      <c r="G3" s="126"/>
      <c r="H3" s="126"/>
      <c r="I3" s="126"/>
    </row>
    <row r="4" spans="1:9">
      <c r="A4" s="126"/>
      <c r="B4" s="126"/>
      <c r="D4" s="126"/>
      <c r="E4" s="126"/>
      <c r="F4" s="126"/>
      <c r="G4" s="126"/>
      <c r="H4" s="126"/>
      <c r="I4" s="126"/>
    </row>
    <row r="5" spans="1:9" ht="213" customHeight="1">
      <c r="A5" s="197" t="s">
        <v>69</v>
      </c>
      <c r="B5" s="197"/>
      <c r="C5" s="197"/>
      <c r="D5" s="129"/>
      <c r="E5" s="129"/>
      <c r="F5" s="129"/>
      <c r="G5" s="129"/>
      <c r="H5" s="129"/>
      <c r="I5" s="129"/>
    </row>
    <row r="6" spans="1:9" ht="178" customHeight="1">
      <c r="A6" s="129"/>
      <c r="B6" s="129" t="s">
        <v>70</v>
      </c>
      <c r="C6" s="130"/>
      <c r="D6" s="129"/>
      <c r="E6" s="129"/>
      <c r="F6" s="129"/>
      <c r="G6" s="129"/>
      <c r="H6" s="129"/>
      <c r="I6" s="129"/>
    </row>
    <row r="7" spans="1:9" ht="216.5" hidden="1" customHeight="1">
      <c r="A7" s="129"/>
      <c r="B7" s="129"/>
      <c r="C7" s="130"/>
      <c r="D7" s="129"/>
      <c r="E7" s="129"/>
      <c r="F7" s="129"/>
      <c r="G7" s="129"/>
      <c r="H7" s="129"/>
      <c r="I7" s="129"/>
    </row>
    <row r="8" spans="1:9" ht="229" hidden="1" customHeight="1">
      <c r="A8" s="129"/>
      <c r="B8" s="129"/>
      <c r="C8" s="130"/>
      <c r="D8" s="129"/>
      <c r="E8" s="129"/>
      <c r="F8" s="129"/>
      <c r="G8" s="129"/>
      <c r="H8" s="129"/>
      <c r="I8" s="129"/>
    </row>
    <row r="9" spans="1:9" ht="270.5" customHeight="1">
      <c r="A9" s="198" t="s">
        <v>71</v>
      </c>
      <c r="B9" s="199" t="s">
        <v>72</v>
      </c>
      <c r="C9" s="200" t="s">
        <v>73</v>
      </c>
      <c r="D9" s="198" t="s">
        <v>74</v>
      </c>
      <c r="E9" s="201" t="s">
        <v>75</v>
      </c>
      <c r="F9" s="203" t="s">
        <v>76</v>
      </c>
      <c r="G9" s="205" t="s">
        <v>77</v>
      </c>
      <c r="H9" s="198" t="s">
        <v>78</v>
      </c>
    </row>
    <row r="10" spans="1:9">
      <c r="A10" s="198"/>
      <c r="B10" s="199"/>
      <c r="C10" s="200"/>
      <c r="D10" s="198"/>
      <c r="E10" s="202"/>
      <c r="F10" s="204"/>
      <c r="G10" s="205"/>
      <c r="H10" s="198"/>
    </row>
    <row r="11" spans="1:9" ht="216" customHeight="1">
      <c r="A11" s="131">
        <v>1</v>
      </c>
      <c r="B11" s="132" t="s">
        <v>79</v>
      </c>
      <c r="C11" s="133" t="s">
        <v>80</v>
      </c>
      <c r="D11" s="131">
        <v>1</v>
      </c>
      <c r="E11" s="131" t="s">
        <v>81</v>
      </c>
      <c r="F11" s="134">
        <f>'[198]Kertas Kertas Sparing'!I4</f>
        <v>33485760</v>
      </c>
      <c r="G11" s="135">
        <f>F11*D11</f>
        <v>33485760</v>
      </c>
      <c r="H11" s="136" t="s">
        <v>82</v>
      </c>
    </row>
    <row r="12" spans="1:9" ht="184.5">
      <c r="A12" s="131">
        <v>2</v>
      </c>
      <c r="B12" s="136" t="s">
        <v>83</v>
      </c>
      <c r="C12" s="133" t="s">
        <v>84</v>
      </c>
      <c r="D12" s="131">
        <v>1</v>
      </c>
      <c r="E12" s="131" t="s">
        <v>81</v>
      </c>
      <c r="F12" s="134">
        <f>'[198]Kertas Kertas Sparing'!I5</f>
        <v>157616700.80000001</v>
      </c>
      <c r="G12" s="135">
        <f>F12*D12</f>
        <v>157616700.80000001</v>
      </c>
      <c r="H12" s="136" t="s">
        <v>85</v>
      </c>
    </row>
    <row r="13" spans="1:9" ht="254" customHeight="1">
      <c r="A13" s="131">
        <v>3</v>
      </c>
      <c r="B13" s="136" t="s">
        <v>86</v>
      </c>
      <c r="C13" s="133" t="s">
        <v>87</v>
      </c>
      <c r="D13" s="131">
        <v>1</v>
      </c>
      <c r="E13" s="131" t="s">
        <v>88</v>
      </c>
      <c r="F13" s="137">
        <f>'[198]Kertas Kertas Sparing'!I6</f>
        <v>15625311</v>
      </c>
      <c r="G13" s="137">
        <f>F13*D13</f>
        <v>15625311</v>
      </c>
      <c r="H13" s="136" t="s">
        <v>89</v>
      </c>
    </row>
    <row r="14" spans="1:9" ht="262.5" customHeight="1">
      <c r="A14" s="131">
        <v>4</v>
      </c>
      <c r="B14" s="136" t="s">
        <v>90</v>
      </c>
      <c r="C14" s="133" t="s">
        <v>87</v>
      </c>
      <c r="D14" s="136">
        <v>1</v>
      </c>
      <c r="E14" s="136" t="s">
        <v>81</v>
      </c>
      <c r="F14" s="137">
        <f>'[198]Kertas Kertas Sparing'!I7</f>
        <v>104837105</v>
      </c>
      <c r="G14" s="137">
        <f>F14</f>
        <v>104837105</v>
      </c>
      <c r="H14" s="136" t="s">
        <v>91</v>
      </c>
    </row>
    <row r="15" spans="1:9" ht="336" customHeight="1">
      <c r="A15" s="131">
        <v>5</v>
      </c>
      <c r="B15" s="138" t="s">
        <v>92</v>
      </c>
      <c r="C15" s="139"/>
      <c r="D15" s="140">
        <v>1</v>
      </c>
      <c r="E15" s="141" t="s">
        <v>47</v>
      </c>
      <c r="F15" s="134">
        <f>'[198]Kertas Kertas Sparing'!I41</f>
        <v>43775014</v>
      </c>
      <c r="G15" s="135">
        <f t="shared" ref="G15" si="0">F15*D15</f>
        <v>43775014</v>
      </c>
      <c r="H15" s="142" t="s">
        <v>93</v>
      </c>
      <c r="I15" s="143"/>
    </row>
    <row r="16" spans="1:9" ht="307.5" customHeight="1">
      <c r="A16" s="131">
        <v>6</v>
      </c>
      <c r="B16" s="136" t="s">
        <v>94</v>
      </c>
      <c r="C16" s="144" t="s">
        <v>95</v>
      </c>
      <c r="D16" s="131">
        <v>1</v>
      </c>
      <c r="E16" s="131" t="s">
        <v>81</v>
      </c>
      <c r="F16" s="137">
        <f>'[198]Kertas Kertas Sparing'!I47</f>
        <v>46140000</v>
      </c>
      <c r="G16" s="137">
        <f>F16*D16</f>
        <v>46140000</v>
      </c>
      <c r="H16" s="133" t="s">
        <v>96</v>
      </c>
      <c r="I16" s="143"/>
    </row>
    <row r="17" spans="1:9" ht="123">
      <c r="A17" s="131">
        <v>7</v>
      </c>
      <c r="B17" s="136" t="s">
        <v>97</v>
      </c>
      <c r="C17" s="144"/>
      <c r="D17" s="131">
        <v>1</v>
      </c>
      <c r="E17" s="136" t="s">
        <v>81</v>
      </c>
      <c r="F17" s="137">
        <f>'[198]Kertas Kertas Sparing'!I67</f>
        <v>5250000</v>
      </c>
      <c r="G17" s="137">
        <f t="shared" ref="G17" si="1">F17</f>
        <v>5250000</v>
      </c>
      <c r="H17" s="133" t="s">
        <v>98</v>
      </c>
      <c r="I17" s="143"/>
    </row>
    <row r="18" spans="1:9" ht="61.5">
      <c r="A18" s="131">
        <v>8</v>
      </c>
      <c r="B18" s="136"/>
      <c r="C18" s="133"/>
      <c r="D18" s="131"/>
      <c r="E18" s="136"/>
      <c r="F18" s="137"/>
      <c r="G18" s="137"/>
      <c r="H18" s="136"/>
      <c r="I18" s="143"/>
    </row>
    <row r="19" spans="1:9" ht="184.5">
      <c r="A19" s="131">
        <v>9</v>
      </c>
      <c r="B19" s="192" t="s">
        <v>99</v>
      </c>
      <c r="C19" s="193"/>
      <c r="D19" s="131">
        <v>1</v>
      </c>
      <c r="E19" s="141" t="s">
        <v>81</v>
      </c>
      <c r="F19" s="134">
        <v>30000000</v>
      </c>
      <c r="G19" s="135">
        <f t="shared" ref="G19:G21" si="2">F19*D19</f>
        <v>30000000</v>
      </c>
      <c r="H19" s="133" t="s">
        <v>100</v>
      </c>
      <c r="I19" s="143"/>
    </row>
    <row r="20" spans="1:9" ht="409.5">
      <c r="A20" s="131">
        <v>10</v>
      </c>
      <c r="B20" s="194" t="s">
        <v>101</v>
      </c>
      <c r="C20" s="195"/>
      <c r="D20" s="131">
        <v>1</v>
      </c>
      <c r="E20" s="141" t="s">
        <v>47</v>
      </c>
      <c r="F20" s="134">
        <f>'[198]Kertas Kertas Sparing'!I61</f>
        <v>21775007</v>
      </c>
      <c r="G20" s="135">
        <f t="shared" si="2"/>
        <v>21775007</v>
      </c>
      <c r="H20" s="145" t="s">
        <v>102</v>
      </c>
      <c r="I20" s="143"/>
    </row>
    <row r="21" spans="1:9" ht="61.5">
      <c r="A21" s="131">
        <v>11</v>
      </c>
      <c r="B21" s="194" t="s">
        <v>103</v>
      </c>
      <c r="C21" s="195"/>
      <c r="D21" s="131">
        <v>1</v>
      </c>
      <c r="E21" s="131" t="s">
        <v>47</v>
      </c>
      <c r="F21" s="137"/>
      <c r="G21" s="137">
        <f t="shared" si="2"/>
        <v>0</v>
      </c>
      <c r="H21" s="136" t="s">
        <v>104</v>
      </c>
      <c r="I21" s="143"/>
    </row>
    <row r="22" spans="1:9" ht="61.5">
      <c r="A22" s="131">
        <v>12</v>
      </c>
      <c r="B22" s="194" t="s">
        <v>105</v>
      </c>
      <c r="C22" s="195"/>
      <c r="D22" s="136">
        <v>1</v>
      </c>
      <c r="E22" s="136" t="s">
        <v>47</v>
      </c>
      <c r="F22" s="137"/>
      <c r="G22" s="137">
        <f>F22</f>
        <v>0</v>
      </c>
      <c r="H22" s="136" t="s">
        <v>104</v>
      </c>
      <c r="I22" s="143"/>
    </row>
    <row r="23" spans="1:9" ht="61.5">
      <c r="A23" s="143"/>
      <c r="B23" s="143"/>
      <c r="C23" s="146"/>
      <c r="D23" s="143"/>
      <c r="E23" s="147" t="s">
        <v>106</v>
      </c>
      <c r="F23" s="147"/>
      <c r="G23" s="148">
        <f>SUM(G11:G22)</f>
        <v>458504897.80000001</v>
      </c>
      <c r="H23" s="143"/>
      <c r="I23" s="143"/>
    </row>
    <row r="24" spans="1:9" ht="61.5">
      <c r="A24" s="143"/>
      <c r="B24" s="143"/>
      <c r="C24" s="146"/>
      <c r="D24" s="143"/>
      <c r="E24" s="143"/>
      <c r="F24" s="143"/>
      <c r="G24" s="143"/>
      <c r="H24" s="143"/>
      <c r="I24" s="143"/>
    </row>
  </sheetData>
  <mergeCells count="14">
    <mergeCell ref="B19:C19"/>
    <mergeCell ref="B20:C20"/>
    <mergeCell ref="B21:C21"/>
    <mergeCell ref="B22:C22"/>
    <mergeCell ref="A2:H2"/>
    <mergeCell ref="A5:C5"/>
    <mergeCell ref="A9:A10"/>
    <mergeCell ref="B9:B10"/>
    <mergeCell ref="C9:C10"/>
    <mergeCell ref="D9:D10"/>
    <mergeCell ref="E9:E10"/>
    <mergeCell ref="F9:F10"/>
    <mergeCell ref="G9:G10"/>
    <mergeCell ref="H9:H10"/>
  </mergeCells>
  <pageMargins left="0.7" right="0.7" top="0.75" bottom="0.75" header="0.3" footer="0.3"/>
  <pageSetup paperSize="9" scale="1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RAB </vt:lpstr>
      <vt:lpstr>Sheet3</vt:lpstr>
      <vt:lpstr>CBI</vt:lpstr>
      <vt:lpstr>'RAB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xxx</cp:lastModifiedBy>
  <cp:lastPrinted>2026-01-20T08:08:06Z</cp:lastPrinted>
  <dcterms:created xsi:type="dcterms:W3CDTF">2021-07-09T07:33:00Z</dcterms:created>
  <dcterms:modified xsi:type="dcterms:W3CDTF">2026-08-11T02:31:30Z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34B42CF6D32D448486C47CC3BC609C29</vt:lpwstr>
  </property>
  <property fmtid="{D5CDD505-2E9C-101B-9397-08002B2CF9AE}" pid="3" name="KSOProductBuildVer">
    <vt:lpwstr>1033-11.2.0.11254</vt:lpwstr>
  </property>
</Properties>
</file>