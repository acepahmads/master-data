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2026\Alat Lab\Bom Calory\KR BC5000\"/>
    </mc:Choice>
  </mc:AlternateContent>
  <bookViews>
    <workbookView xWindow="0" yWindow="0" windowWidth="23040" windowHeight="9072"/>
  </bookViews>
  <sheets>
    <sheet name="OBC-1A" sheetId="1" r:id="rId1"/>
    <sheet name="Sheet1" sheetId="2" r:id="rId2"/>
  </sheets>
  <externalReferences>
    <externalReference r:id="rId3"/>
    <externalReference r:id="rId4"/>
    <externalReference r:id="rId5"/>
    <externalReference r:id="rId6"/>
  </externalReferences>
  <definedNames>
    <definedName name="asad" localSheetId="0">#REF!</definedName>
    <definedName name="asad">#REF!</definedName>
    <definedName name="Barang" localSheetId="0">#REF!</definedName>
    <definedName name="Barang">#REF!</definedName>
    <definedName name="budget" localSheetId="0">#REF!</definedName>
    <definedName name="budget">#REF!</definedName>
    <definedName name="BudgetCategory" localSheetId="0">#REF!</definedName>
    <definedName name="BudgetCategory">#REF!</definedName>
    <definedName name="calendar" localSheetId="0">[1]!daysAndWks+'OBC-1A'!dateOfFirst-WEEKDAY('OBC-1A'!dateOfFirst,2)</definedName>
    <definedName name="calendar">daysAndWks+dateOfFirst-WEEKDAY(dateOfFirst,2)</definedName>
    <definedName name="ColumnTitle1" localSheetId="0">#REF!</definedName>
    <definedName name="ColumnTitle1">#REF!</definedName>
    <definedName name="ColumnTitleRegion1..B12.1" localSheetId="0">#REF!</definedName>
    <definedName name="ColumnTitleRegion1..B12.1">#REF!</definedName>
    <definedName name="ColumnTitleRegion2..E12.1" localSheetId="0">#REF!</definedName>
    <definedName name="ColumnTitleRegion2..E12.1">#REF!</definedName>
    <definedName name="Company_Name" localSheetId="0">#REF!</definedName>
    <definedName name="Company_Name">#REF!</definedName>
    <definedName name="Date" localSheetId="0">[0]!daysAndWks+'OBC-1A'!DOF-WEEKDAY('OBC-1A'!DOF,2)</definedName>
    <definedName name="Date">daysAndWks+DOF-WEEKDAY(DOF,2)</definedName>
    <definedName name="dateOfFirst" localSheetId="0">DATE(#REF!,MONTH(#REF!),1)</definedName>
    <definedName name="dateOfFirst">DATE(#REF!,MONTH(#REF!),1)</definedName>
    <definedName name="daysAndWks">COLUMN(OFFSET(INDIRECT("$A$1"),0,0,1,42))-1</definedName>
    <definedName name="dd">'[2]Jenis Pengeluaran'!$B$2:$B$36</definedName>
    <definedName name="DOF" localSheetId="0">DATE(#REF!,MONTH(#REF!),1)</definedName>
    <definedName name="DOF">DATE(#REF!,MONTH(#REF!),1)</definedName>
    <definedName name="Expenditure" localSheetId="0">#REF!</definedName>
    <definedName name="Expenditure">#REF!</definedName>
    <definedName name="finance" localSheetId="0">#REF!</definedName>
    <definedName name="finance">#REF!</definedName>
    <definedName name="financial" localSheetId="0">#REF!</definedName>
    <definedName name="financial">#REF!</definedName>
    <definedName name="income" localSheetId="0">#REF!</definedName>
    <definedName name="income">#REF!</definedName>
    <definedName name="JenisPengeluaran" localSheetId="0">#REF!</definedName>
    <definedName name="JenisPengeluaran">#REF!</definedName>
    <definedName name="lstEDates" localSheetId="0">#REF!</definedName>
    <definedName name="lstEDates">#REF!</definedName>
    <definedName name="lstEmployees">[3]!tblEmployees[List of Employees]</definedName>
    <definedName name="lstEmpNames">[3]!tblLeave[Month]</definedName>
    <definedName name="lstHolidays">[3]!tblCompanyHolidays[Company Holidays]</definedName>
    <definedName name="lstHolidayTypes">[3]!tblLeaveTypes[Type of Leave]</definedName>
    <definedName name="lstHTypes">[3]!tblLeave[Type of Leave]</definedName>
    <definedName name="lstSdates" localSheetId="0">#REF!</definedName>
    <definedName name="lstSdates">#REF!</definedName>
    <definedName name="Name" localSheetId="0">#REF!</definedName>
    <definedName name="Name">#REF!</definedName>
    <definedName name="_xlnm.Print_Area" localSheetId="0">'OBC-1A'!$B$2:$L$71</definedName>
    <definedName name="_xlnm.Print_Titles" localSheetId="0">'OBC-1A'!$19:$19</definedName>
    <definedName name="RoomList">[4]!RoomLookup[#Data]</definedName>
    <definedName name="RowTitleRegion1..E5" localSheetId="0">#REF!</definedName>
    <definedName name="RowTitleRegion1..E5">#REF!</definedName>
    <definedName name="Slicer_Month11">#N/A</definedName>
    <definedName name="Slicer_Quotation_number1">#N/A</definedName>
    <definedName name="t" localSheetId="0">#REF!</definedName>
    <definedName name="t">#REF!</definedName>
    <definedName name="tanggal" localSheetId="0">#REF!</definedName>
    <definedName name="tanggal">#REF!</definedName>
    <definedName name="TitleRegion1..D14" localSheetId="0">#REF!</definedName>
    <definedName name="TitleRegion1..D14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2" l="1"/>
  <c r="D22" i="2"/>
  <c r="C22" i="2"/>
  <c r="F6" i="2"/>
  <c r="F4" i="2"/>
  <c r="E4" i="2"/>
  <c r="D4" i="2"/>
  <c r="N33" i="1"/>
  <c r="O61" i="1"/>
  <c r="O60" i="1"/>
  <c r="N28" i="1" l="1"/>
  <c r="N29" i="1" s="1"/>
  <c r="N32" i="1" s="1"/>
  <c r="L21" i="1" l="1"/>
  <c r="L50" i="1" s="1"/>
  <c r="L51" i="1" s="1"/>
  <c r="L52" i="1" s="1"/>
  <c r="K17" i="1"/>
</calcChain>
</file>

<file path=xl/sharedStrings.xml><?xml version="1.0" encoding="utf-8"?>
<sst xmlns="http://schemas.openxmlformats.org/spreadsheetml/2006/main" count="99" uniqueCount="81">
  <si>
    <t>PT Cakrawala Bima Instrument</t>
  </si>
  <si>
    <t xml:space="preserve">                                   www.cbinstrument.com</t>
  </si>
  <si>
    <t xml:space="preserve">                                   info@cbinstrument.com</t>
  </si>
  <si>
    <t xml:space="preserve">Kutawringin Industrial Park No. 259, Sukawangi Kaler, </t>
  </si>
  <si>
    <t xml:space="preserve">                                   (022) 73518599</t>
  </si>
  <si>
    <t>Jelegong, Kec. Kutawaringin, Kabupaten Bandung, Jawa Barat 40911</t>
  </si>
  <si>
    <t xml:space="preserve">                                   (022) 73513301</t>
  </si>
  <si>
    <t>Kepada Yth,</t>
  </si>
  <si>
    <t xml:space="preserve"> PRICE QUOTE </t>
  </si>
  <si>
    <t>Number</t>
  </si>
  <si>
    <t xml:space="preserve"> :</t>
  </si>
  <si>
    <t>Date</t>
  </si>
  <si>
    <t>Reff</t>
  </si>
  <si>
    <t>Whatsapp</t>
  </si>
  <si>
    <t>Telp:</t>
  </si>
  <si>
    <t>Payment</t>
  </si>
  <si>
    <t>Validity</t>
  </si>
  <si>
    <t xml:space="preserve">30 days </t>
  </si>
  <si>
    <t>Currency</t>
  </si>
  <si>
    <t xml:space="preserve">Rupiah </t>
  </si>
  <si>
    <t>Ship via</t>
  </si>
  <si>
    <t xml:space="preserve">Lead times </t>
  </si>
  <si>
    <t>Validity Quotation</t>
  </si>
  <si>
    <t xml:space="preserve">Send directly </t>
  </si>
  <si>
    <t>No</t>
  </si>
  <si>
    <t>Description</t>
  </si>
  <si>
    <t>Qty</t>
  </si>
  <si>
    <t>Unit</t>
  </si>
  <si>
    <t>Price / unit</t>
  </si>
  <si>
    <t>Amount</t>
  </si>
  <si>
    <t>:</t>
  </si>
  <si>
    <t>Notes and Intructions</t>
  </si>
  <si>
    <t>Kind Regards,</t>
  </si>
  <si>
    <t>PT. Cakrawala Bima Instrument</t>
  </si>
  <si>
    <t>Marketing Division</t>
  </si>
  <si>
    <t>For any questions please contact us</t>
  </si>
  <si>
    <t>Thank you for business with us</t>
  </si>
  <si>
    <t>Djuhartono</t>
  </si>
  <si>
    <t>HP. +62 8157113115</t>
  </si>
  <si>
    <t>+62 821-2969-4453</t>
  </si>
  <si>
    <t>DP 50%</t>
  </si>
  <si>
    <t>PT Papyrus Sakti Bandung</t>
  </si>
  <si>
    <t>Up. Ibu Novi</t>
  </si>
  <si>
    <t>Sub Total</t>
  </si>
  <si>
    <t>PPN</t>
  </si>
  <si>
    <t>Total</t>
  </si>
  <si>
    <t>- Franco Bandung Price (FOB)
- Free training fee for Bandung area, outside Bandung borne by the buyer
- Price include installation. If installation is required, please inquire for a survey
- Price  include accommodation and transportation
- Warranty 1 year</t>
  </si>
  <si>
    <t>ENVILIFE OBC-50 Fully Automatic Oxygen Bomb Calorific</t>
  </si>
  <si>
    <t>CQC07260411-c</t>
  </si>
  <si>
    <t xml:space="preserve">OBC-50, high-precision fully automatic calorimeter, touch screen operation. Using
imported chips, the main control board comes with a built-in shielding box, which
effectively resists interference and has excellent testing accuracy and stability in harsh
usage scenarios. </t>
  </si>
  <si>
    <t>Main Technical Parameters</t>
  </si>
  <si>
    <t>Measurement Range</t>
  </si>
  <si>
    <t>Temperature neasurement accuracy</t>
  </si>
  <si>
    <t>Heat capacity</t>
  </si>
  <si>
    <t>Outer Cylinder water Volume</t>
  </si>
  <si>
    <t>Inner cylinder water volume</t>
  </si>
  <si>
    <t>Test Time</t>
  </si>
  <si>
    <t>Weighing Quality</t>
  </si>
  <si>
    <t>Maximum power</t>
  </si>
  <si>
    <t>Voltage</t>
  </si>
  <si>
    <t>Ambient temperature</t>
  </si>
  <si>
    <t>Enviromental humidity</t>
  </si>
  <si>
    <t>All solid &amp; liquid fluels</t>
  </si>
  <si>
    <t>About 10300J/g</t>
  </si>
  <si>
    <t>40L</t>
  </si>
  <si>
    <t>2.5L</t>
  </si>
  <si>
    <t>18 minutes, the test is completed and automatically retures</t>
  </si>
  <si>
    <t>0.6 - 1.1g</t>
  </si>
  <si>
    <t>360W</t>
  </si>
  <si>
    <t>0-40 °C</t>
  </si>
  <si>
    <t>± 0.000 1 °C</t>
  </si>
  <si>
    <t>220V ±  10%</t>
  </si>
  <si>
    <t xml:space="preserve">≤85% RH </t>
  </si>
  <si>
    <t xml:space="preserve"> 100-35000Kcal/kg</t>
  </si>
  <si>
    <t>2- 4 weeks</t>
  </si>
  <si>
    <t>45KG, 49*69*46cm</t>
  </si>
  <si>
    <t>Instrument weight &amp; Size</t>
  </si>
  <si>
    <t>IDR</t>
  </si>
  <si>
    <t>Harga ( $)</t>
  </si>
  <si>
    <t>hr Jual (1,5)</t>
  </si>
  <si>
    <t>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</si>
</sst>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6" formatCode="&quot;Rp&quot;#,##0;[Red]\-&quot;Rp&quot;#,##0"/>
    <numFmt numFmtId="42" formatCode="_-&quot;Rp&quot;* #,##0_-;\-&quot;Rp&quot;* #,##0_-;_-&quot;Rp&quot;* &quot;-&quot;_-;_-@_-"/>
    <numFmt numFmtId="43" formatCode="_-* #,##0.00_-;\-* #,##0.00_-;_-* &quot;-&quot;??_-;_-@_-"/>
    <numFmt numFmtId="164" formatCode="0&quot;.&quot;"/>
    <numFmt numFmtId="165" formatCode="_(* #,##0_);_(* \(#,##0\);_(* &quot;-&quot;_);_(@_)"/>
    <numFmt numFmtId="166" formatCode="_(&quot;Rp&quot;* #,##0_);_(&quot;Rp&quot;* \(#,##0\);_(&quot;Rp&quot;* &quot;-&quot;_);_(@_)"/>
    <numFmt numFmtId="167" formatCode="[$-409]mmmm\ d\,\ yyyy;@"/>
    <numFmt numFmtId="168" formatCode="[$-13809]dd\ mmmm\ yyyy;@"/>
    <numFmt numFmtId="169" formatCode="[$-409]mmmm&quot; &quot;d&quot;, &quot;yyyy"/>
    <numFmt numFmtId="170" formatCode="General\ &quot;Days&quot;"/>
    <numFmt numFmtId="171" formatCode="[$-421]dd\ mmmm\ yyyy;@"/>
    <numFmt numFmtId="172" formatCode="#,##0.0"/>
    <numFmt numFmtId="173" formatCode="&quot;Rp&quot;\ \ \ #,##0;\-&quot;Rp&quot;\ \ \ #,##0"/>
    <numFmt numFmtId="174" formatCode="&quot;Rp&quot;\ \ \ #,##0.00;\-&quot;Rp&quot;\ \ \ #,##0.00"/>
    <numFmt numFmtId="175" formatCode="_-* #,##0_-;\-* #,##0_-;_-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b/>
      <sz val="18"/>
      <name val="Arial"/>
      <family val="2"/>
    </font>
    <font>
      <u/>
      <sz val="18"/>
      <color theme="10"/>
      <name val="Arial"/>
      <family val="2"/>
    </font>
    <font>
      <b/>
      <u/>
      <sz val="18"/>
      <color theme="10"/>
      <name val="Arial"/>
      <family val="2"/>
    </font>
    <font>
      <b/>
      <sz val="18"/>
      <color theme="0"/>
      <name val="Arial"/>
      <family val="2"/>
    </font>
    <font>
      <sz val="18"/>
      <color theme="0" tint="-0.499984740745262"/>
      <name val="Arial"/>
      <family val="2"/>
    </font>
    <font>
      <u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2">
    <xf numFmtId="0" fontId="0" fillId="0" borderId="0" xfId="0"/>
    <xf numFmtId="164" fontId="3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165" fontId="3" fillId="0" borderId="0" xfId="2" applyFont="1" applyBorder="1" applyAlignment="1">
      <alignment horizontal="right" vertical="center"/>
    </xf>
    <xf numFmtId="0" fontId="3" fillId="0" borderId="0" xfId="1" applyFont="1" applyAlignment="1">
      <alignment horizontal="center" vertical="center"/>
    </xf>
    <xf numFmtId="164" fontId="4" fillId="0" borderId="0" xfId="1" applyNumberFormat="1" applyFont="1" applyAlignment="1">
      <alignment horizontal="right" vertical="center"/>
    </xf>
    <xf numFmtId="165" fontId="4" fillId="0" borderId="0" xfId="2" applyFont="1" applyBorder="1" applyAlignment="1">
      <alignment horizontal="right" vertical="center"/>
    </xf>
    <xf numFmtId="164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1" applyFont="1" applyAlignment="1">
      <alignment horizontal="right" vertical="center"/>
    </xf>
    <xf numFmtId="0" fontId="5" fillId="0" borderId="0" xfId="1" applyFont="1" applyAlignment="1">
      <alignment vertical="center" wrapText="1"/>
    </xf>
    <xf numFmtId="42" fontId="5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5" fontId="3" fillId="0" borderId="0" xfId="2" applyFont="1" applyBorder="1" applyAlignment="1">
      <alignment horizontal="right"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65" fontId="3" fillId="0" borderId="0" xfId="2" applyFont="1" applyBorder="1" applyAlignment="1"/>
    <xf numFmtId="165" fontId="3" fillId="0" borderId="0" xfId="2" applyFont="1" applyBorder="1" applyAlignment="1">
      <alignment horizontal="right"/>
    </xf>
    <xf numFmtId="165" fontId="3" fillId="0" borderId="0" xfId="2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9" fontId="3" fillId="0" borderId="0" xfId="1" applyNumberFormat="1" applyFont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175" fontId="5" fillId="0" borderId="0" xfId="5" applyNumberFormat="1" applyFont="1" applyAlignment="1">
      <alignment vertical="center" wrapText="1"/>
    </xf>
    <xf numFmtId="175" fontId="5" fillId="0" borderId="0" xfId="1" applyNumberFormat="1" applyFont="1" applyAlignment="1">
      <alignment vertical="center" wrapText="1"/>
    </xf>
    <xf numFmtId="0" fontId="10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center"/>
    </xf>
    <xf numFmtId="164" fontId="10" fillId="0" borderId="1" xfId="1" applyNumberFormat="1" applyFont="1" applyBorder="1" applyAlignment="1">
      <alignment horizontal="righ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right" vertical="center"/>
    </xf>
    <xf numFmtId="164" fontId="11" fillId="0" borderId="1" xfId="1" applyNumberFormat="1" applyFont="1" applyBorder="1" applyAlignment="1">
      <alignment horizontal="center" vertical="center"/>
    </xf>
    <xf numFmtId="164" fontId="10" fillId="0" borderId="0" xfId="1" applyNumberFormat="1" applyFont="1" applyAlignment="1">
      <alignment horizontal="right" vertical="center"/>
    </xf>
    <xf numFmtId="164" fontId="11" fillId="0" borderId="0" xfId="1" applyNumberFormat="1" applyFont="1" applyAlignment="1">
      <alignment horizontal="left" vertical="center"/>
    </xf>
    <xf numFmtId="164" fontId="11" fillId="0" borderId="0" xfId="1" applyNumberFormat="1" applyFont="1" applyAlignment="1">
      <alignment horizontal="right" vertical="center"/>
    </xf>
    <xf numFmtId="164" fontId="11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vertical="center"/>
    </xf>
    <xf numFmtId="166" fontId="14" fillId="0" borderId="0" xfId="1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6" fontId="13" fillId="0" borderId="0" xfId="1" applyNumberFormat="1" applyFont="1" applyAlignment="1">
      <alignment horizontal="left" vertical="top"/>
    </xf>
    <xf numFmtId="0" fontId="11" fillId="0" borderId="0" xfId="1" applyFont="1" applyAlignment="1">
      <alignment horizontal="right" vertical="center"/>
    </xf>
    <xf numFmtId="167" fontId="13" fillId="0" borderId="0" xfId="1" applyNumberFormat="1" applyFont="1" applyAlignment="1">
      <alignment horizontal="left" vertical="center"/>
    </xf>
    <xf numFmtId="167" fontId="15" fillId="0" borderId="0" xfId="1" applyNumberFormat="1" applyFont="1" applyAlignment="1">
      <alignment horizontal="left" vertical="center"/>
    </xf>
    <xf numFmtId="168" fontId="13" fillId="0" borderId="0" xfId="1" quotePrefix="1" applyNumberFormat="1" applyFont="1" applyAlignment="1">
      <alignment horizontal="left" vertical="top"/>
    </xf>
    <xf numFmtId="0" fontId="16" fillId="0" borderId="0" xfId="3" applyFont="1" applyBorder="1" applyAlignment="1">
      <alignment horizontal="left" vertical="center"/>
    </xf>
    <xf numFmtId="0" fontId="16" fillId="0" borderId="0" xfId="3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quotePrefix="1" applyFont="1" applyAlignment="1">
      <alignment vertical="center"/>
    </xf>
    <xf numFmtId="169" fontId="12" fillId="0" borderId="0" xfId="0" applyNumberFormat="1" applyFont="1" applyAlignment="1">
      <alignment horizontal="left" vertical="center"/>
    </xf>
    <xf numFmtId="167" fontId="16" fillId="0" borderId="0" xfId="3" applyNumberFormat="1" applyFont="1" applyBorder="1" applyAlignment="1">
      <alignment horizontal="left" vertical="center"/>
    </xf>
    <xf numFmtId="0" fontId="17" fillId="0" borderId="0" xfId="3" applyFont="1" applyBorder="1" applyAlignment="1">
      <alignment vertical="center"/>
    </xf>
    <xf numFmtId="0" fontId="13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167" fontId="10" fillId="0" borderId="0" xfId="1" applyNumberFormat="1" applyFont="1" applyAlignment="1">
      <alignment horizontal="right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Alignment="1">
      <alignment horizontal="left" vertical="center"/>
    </xf>
    <xf numFmtId="170" fontId="13" fillId="0" borderId="0" xfId="1" applyNumberFormat="1" applyFont="1" applyAlignment="1">
      <alignment horizontal="left" vertical="center"/>
    </xf>
    <xf numFmtId="170" fontId="13" fillId="0" borderId="0" xfId="1" applyNumberFormat="1" applyFont="1" applyAlignment="1">
      <alignment vertical="center"/>
    </xf>
    <xf numFmtId="0" fontId="18" fillId="3" borderId="2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left" vertical="center"/>
    </xf>
    <xf numFmtId="0" fontId="18" fillId="3" borderId="4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18" fillId="3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11" fillId="0" borderId="9" xfId="1" applyFont="1" applyBorder="1" applyAlignment="1">
      <alignment horizontal="left" vertical="center"/>
    </xf>
    <xf numFmtId="0" fontId="11" fillId="0" borderId="10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right" vertical="center"/>
    </xf>
    <xf numFmtId="0" fontId="11" fillId="0" borderId="11" xfId="1" applyFont="1" applyBorder="1" applyAlignment="1">
      <alignment horizontal="right" vertical="center"/>
    </xf>
    <xf numFmtId="0" fontId="10" fillId="0" borderId="22" xfId="1" applyFont="1" applyBorder="1" applyAlignment="1">
      <alignment horizontal="center" vertical="center"/>
    </xf>
    <xf numFmtId="0" fontId="10" fillId="0" borderId="13" xfId="0" applyFont="1" applyBorder="1"/>
    <xf numFmtId="0" fontId="12" fillId="0" borderId="0" xfId="0" applyFont="1" applyAlignment="1">
      <alignment vertical="center" wrapText="1"/>
    </xf>
    <xf numFmtId="0" fontId="11" fillId="0" borderId="14" xfId="1" applyFont="1" applyBorder="1" applyAlignment="1">
      <alignment horizontal="left" vertical="center"/>
    </xf>
    <xf numFmtId="0" fontId="11" fillId="0" borderId="1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42" fontId="11" fillId="0" borderId="0" xfId="1" applyNumberFormat="1" applyFont="1" applyAlignment="1">
      <alignment vertical="center"/>
    </xf>
    <xf numFmtId="42" fontId="11" fillId="0" borderId="16" xfId="1" applyNumberFormat="1" applyFont="1" applyBorder="1" applyAlignment="1">
      <alignment horizontal="right" vertical="center"/>
    </xf>
    <xf numFmtId="0" fontId="10" fillId="0" borderId="12" xfId="1" applyFont="1" applyBorder="1" applyAlignment="1">
      <alignment horizontal="center" vertical="center"/>
    </xf>
    <xf numFmtId="0" fontId="11" fillId="0" borderId="13" xfId="0" applyFont="1" applyBorder="1"/>
    <xf numFmtId="0" fontId="11" fillId="0" borderId="14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horizontal="left" indent="1"/>
    </xf>
    <xf numFmtId="0" fontId="12" fillId="0" borderId="0" xfId="0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42" fontId="11" fillId="0" borderId="15" xfId="1" applyNumberFormat="1" applyFont="1" applyBorder="1" applyAlignment="1">
      <alignment vertical="center"/>
    </xf>
    <xf numFmtId="0" fontId="11" fillId="0" borderId="0" xfId="0" applyFont="1"/>
    <xf numFmtId="0" fontId="11" fillId="0" borderId="14" xfId="1" applyFont="1" applyBorder="1" applyAlignment="1">
      <alignment vertical="center"/>
    </xf>
    <xf numFmtId="0" fontId="12" fillId="0" borderId="15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16" xfId="1" applyFont="1" applyBorder="1" applyAlignment="1">
      <alignment vertical="center" wrapText="1"/>
    </xf>
    <xf numFmtId="0" fontId="10" fillId="0" borderId="12" xfId="1" applyFont="1" applyBorder="1" applyAlignment="1">
      <alignment horizontal="center" vertical="center" wrapText="1"/>
    </xf>
    <xf numFmtId="0" fontId="11" fillId="0" borderId="13" xfId="0" quotePrefix="1" applyFont="1" applyBorder="1" applyAlignment="1">
      <alignment horizontal="left" vertical="center" indent="1"/>
    </xf>
    <xf numFmtId="0" fontId="12" fillId="0" borderId="14" xfId="0" applyFont="1" applyBorder="1" applyAlignment="1">
      <alignment vertical="center" wrapText="1"/>
    </xf>
    <xf numFmtId="0" fontId="11" fillId="0" borderId="15" xfId="1" applyFont="1" applyBorder="1" applyAlignment="1">
      <alignment horizontal="center" vertical="center" wrapText="1"/>
    </xf>
    <xf numFmtId="6" fontId="11" fillId="0" borderId="15" xfId="1" applyNumberFormat="1" applyFont="1" applyBorder="1" applyAlignment="1">
      <alignment horizontal="right" vertical="center" wrapText="1"/>
    </xf>
    <xf numFmtId="0" fontId="11" fillId="0" borderId="16" xfId="1" applyFont="1" applyBorder="1" applyAlignment="1">
      <alignment horizontal="right" vertical="center" wrapText="1"/>
    </xf>
    <xf numFmtId="0" fontId="11" fillId="0" borderId="15" xfId="0" applyFont="1" applyBorder="1" applyAlignment="1">
      <alignment vertical="center" wrapText="1"/>
    </xf>
    <xf numFmtId="0" fontId="11" fillId="0" borderId="13" xfId="1" applyFont="1" applyBorder="1" applyAlignment="1">
      <alignment horizontal="center" vertical="center" wrapText="1"/>
    </xf>
    <xf numFmtId="0" fontId="12" fillId="0" borderId="13" xfId="1" applyFont="1" applyBorder="1" applyAlignment="1">
      <alignment vertical="center" wrapText="1"/>
    </xf>
    <xf numFmtId="0" fontId="10" fillId="0" borderId="12" xfId="1" applyFont="1" applyBorder="1" applyAlignment="1">
      <alignment vertical="center"/>
    </xf>
    <xf numFmtId="0" fontId="11" fillId="0" borderId="13" xfId="1" applyFont="1" applyBorder="1" applyAlignment="1">
      <alignment horizontal="left" vertical="center" indent="1"/>
    </xf>
    <xf numFmtId="0" fontId="11" fillId="0" borderId="13" xfId="1" applyFont="1" applyBorder="1" applyAlignment="1">
      <alignment horizontal="center" vertical="center"/>
    </xf>
    <xf numFmtId="0" fontId="11" fillId="0" borderId="13" xfId="1" applyFont="1" applyBorder="1" applyAlignment="1">
      <alignment horizontal="right" vertical="center"/>
    </xf>
    <xf numFmtId="0" fontId="11" fillId="0" borderId="16" xfId="1" applyFont="1" applyBorder="1" applyAlignment="1">
      <alignment horizontal="right" vertical="center"/>
    </xf>
    <xf numFmtId="0" fontId="11" fillId="0" borderId="13" xfId="1" applyFont="1" applyBorder="1" applyAlignment="1">
      <alignment horizontal="left" vertical="center"/>
    </xf>
    <xf numFmtId="172" fontId="10" fillId="0" borderId="17" xfId="1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172" fontId="11" fillId="0" borderId="18" xfId="1" applyNumberFormat="1" applyFont="1" applyBorder="1" applyAlignment="1">
      <alignment horizontal="center" vertical="center" wrapText="1"/>
    </xf>
    <xf numFmtId="172" fontId="11" fillId="0" borderId="20" xfId="1" applyNumberFormat="1" applyFont="1" applyBorder="1" applyAlignment="1">
      <alignment horizontal="center" vertical="center" wrapText="1"/>
    </xf>
    <xf numFmtId="173" fontId="11" fillId="0" borderId="15" xfId="4" applyNumberFormat="1" applyFont="1" applyFill="1" applyBorder="1" applyAlignment="1">
      <alignment horizontal="right" vertical="center" wrapText="1"/>
    </xf>
    <xf numFmtId="174" fontId="11" fillId="0" borderId="16" xfId="4" applyNumberFormat="1" applyFont="1" applyFill="1" applyBorder="1" applyAlignment="1">
      <alignment horizontal="right" vertical="center" wrapText="1"/>
    </xf>
    <xf numFmtId="172" fontId="10" fillId="0" borderId="0" xfId="1" applyNumberFormat="1" applyFont="1" applyAlignment="1">
      <alignment horizontal="center" vertical="center" wrapText="1"/>
    </xf>
    <xf numFmtId="172" fontId="11" fillId="0" borderId="0" xfId="1" applyNumberFormat="1" applyFont="1" applyAlignment="1">
      <alignment horizontal="left" vertical="center" wrapText="1"/>
    </xf>
    <xf numFmtId="172" fontId="11" fillId="0" borderId="0" xfId="1" applyNumberFormat="1" applyFont="1" applyAlignment="1">
      <alignment horizontal="left" vertical="center"/>
    </xf>
    <xf numFmtId="172" fontId="11" fillId="0" borderId="0" xfId="1" applyNumberFormat="1" applyFont="1" applyAlignment="1">
      <alignment horizontal="center" vertical="center" wrapText="1"/>
    </xf>
    <xf numFmtId="173" fontId="10" fillId="0" borderId="21" xfId="4" applyNumberFormat="1" applyFont="1" applyFill="1" applyBorder="1" applyAlignment="1">
      <alignment horizontal="left" vertical="center" wrapText="1"/>
    </xf>
    <xf numFmtId="42" fontId="10" fillId="0" borderId="21" xfId="4" applyFont="1" applyFill="1" applyBorder="1" applyAlignment="1">
      <alignment horizontal="right" vertical="center" wrapText="1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 wrapText="1"/>
    </xf>
    <xf numFmtId="3" fontId="11" fillId="0" borderId="0" xfId="1" applyNumberFormat="1" applyFont="1" applyAlignment="1">
      <alignment horizontal="center" vertical="center" wrapText="1"/>
    </xf>
    <xf numFmtId="0" fontId="18" fillId="4" borderId="0" xfId="1" applyFont="1" applyFill="1" applyAlignment="1">
      <alignment vertical="center"/>
    </xf>
    <xf numFmtId="0" fontId="18" fillId="4" borderId="0" xfId="1" applyFont="1" applyFill="1" applyAlignment="1">
      <alignment horizontal="left" vertical="center"/>
    </xf>
    <xf numFmtId="173" fontId="10" fillId="0" borderId="21" xfId="4" applyNumberFormat="1" applyFont="1" applyFill="1" applyBorder="1" applyAlignment="1">
      <alignment horizontal="center" vertical="center" wrapText="1"/>
    </xf>
    <xf numFmtId="173" fontId="10" fillId="0" borderId="0" xfId="4" applyNumberFormat="1" applyFont="1" applyFill="1" applyBorder="1" applyAlignment="1">
      <alignment horizontal="left" vertical="center" wrapText="1"/>
    </xf>
    <xf numFmtId="173" fontId="10" fillId="0" borderId="0" xfId="4" applyNumberFormat="1" applyFont="1" applyFill="1" applyBorder="1" applyAlignment="1">
      <alignment horizontal="center" vertical="center" wrapText="1"/>
    </xf>
    <xf numFmtId="0" fontId="11" fillId="0" borderId="0" xfId="1" quotePrefix="1" applyFont="1" applyAlignment="1">
      <alignment horizontal="left" vertical="center" wrapText="1"/>
    </xf>
    <xf numFmtId="0" fontId="15" fillId="0" borderId="0" xfId="1" applyFont="1" applyAlignment="1">
      <alignment horizontal="left" vertical="center"/>
    </xf>
    <xf numFmtId="0" fontId="11" fillId="0" borderId="0" xfId="1" quotePrefix="1" applyFont="1" applyAlignment="1">
      <alignment horizontal="left" vertical="center" wrapText="1" indent="2"/>
    </xf>
    <xf numFmtId="0" fontId="11" fillId="0" borderId="0" xfId="1" quotePrefix="1" applyFont="1" applyAlignment="1">
      <alignment vertical="center" wrapText="1"/>
    </xf>
    <xf numFmtId="0" fontId="19" fillId="0" borderId="0" xfId="1" applyFont="1" applyAlignment="1">
      <alignment horizontal="right"/>
    </xf>
    <xf numFmtId="0" fontId="19" fillId="0" borderId="0" xfId="1" applyFont="1" applyAlignment="1">
      <alignment horizontal="right" vertical="center"/>
    </xf>
    <xf numFmtId="0" fontId="20" fillId="0" borderId="0" xfId="1" applyFont="1" applyAlignment="1">
      <alignment horizontal="left" vertical="center"/>
    </xf>
    <xf numFmtId="175" fontId="3" fillId="0" borderId="0" xfId="5" applyNumberFormat="1" applyFont="1" applyAlignment="1">
      <alignment vertical="center"/>
    </xf>
    <xf numFmtId="175" fontId="3" fillId="0" borderId="0" xfId="5" applyNumberFormat="1" applyFont="1"/>
    <xf numFmtId="175" fontId="0" fillId="0" borderId="0" xfId="5" applyNumberFormat="1" applyFont="1"/>
    <xf numFmtId="0" fontId="0" fillId="0" borderId="0" xfId="0" applyAlignment="1">
      <alignment horizontal="center"/>
    </xf>
    <xf numFmtId="175" fontId="0" fillId="0" borderId="0" xfId="0" applyNumberFormat="1"/>
    <xf numFmtId="0" fontId="10" fillId="0" borderId="0" xfId="1" quotePrefix="1" applyFont="1" applyAlignment="1">
      <alignment vertical="center" wrapText="1"/>
    </xf>
    <xf numFmtId="0" fontId="11" fillId="0" borderId="1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0" xfId="0" quotePrefix="1" applyFont="1" applyAlignment="1">
      <alignment horizontal="left" vertical="top" wrapText="1"/>
    </xf>
    <xf numFmtId="0" fontId="11" fillId="0" borderId="0" xfId="1" quotePrefix="1" applyFont="1" applyAlignment="1">
      <alignment horizontal="left" vertical="center" wrapText="1"/>
    </xf>
    <xf numFmtId="0" fontId="10" fillId="0" borderId="0" xfId="1" applyFont="1" applyAlignment="1">
      <alignment horizontal="left" vertical="center"/>
    </xf>
    <xf numFmtId="171" fontId="13" fillId="0" borderId="0" xfId="1" quotePrefix="1" applyNumberFormat="1" applyFont="1" applyAlignment="1">
      <alignment horizontal="right" vertical="center"/>
    </xf>
  </cellXfs>
  <cellStyles count="6">
    <cellStyle name="Comma" xfId="5" builtinId="3"/>
    <cellStyle name="Comma [0] 2" xfId="2"/>
    <cellStyle name="Currency [0] 2" xfId="4"/>
    <cellStyle name="Hyperlink" xfId="3" builtinId="8"/>
    <cellStyle name="Normal" xfId="0" builtinId="0"/>
    <cellStyle name="Normal 2" xfId="1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21574</xdr:colOff>
      <xdr:row>1</xdr:row>
      <xdr:rowOff>112504</xdr:rowOff>
    </xdr:from>
    <xdr:ext cx="922644" cy="7659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149"/>
        <a:stretch>
          <a:fillRect/>
        </a:stretch>
      </xdr:blipFill>
      <xdr:spPr>
        <a:xfrm>
          <a:off x="926449" y="303004"/>
          <a:ext cx="922644" cy="765977"/>
        </a:xfrm>
        <a:prstGeom prst="rect">
          <a:avLst/>
        </a:prstGeom>
      </xdr:spPr>
    </xdr:pic>
    <xdr:clientData/>
  </xdr:oneCellAnchor>
  <xdr:oneCellAnchor>
    <xdr:from>
      <xdr:col>10</xdr:col>
      <xdr:colOff>619732</xdr:colOff>
      <xdr:row>1</xdr:row>
      <xdr:rowOff>28589</xdr:rowOff>
    </xdr:from>
    <xdr:ext cx="167640" cy="166820"/>
    <xdr:pic>
      <xdr:nvPicPr>
        <xdr:cNvPr id="3" name="Picture 2" descr="Hasil gambar untuk icon websi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10"/>
        <a:stretch>
          <a:fillRect/>
        </a:stretch>
      </xdr:blipFill>
      <xdr:spPr>
        <a:xfrm>
          <a:off x="15307282" y="244489"/>
          <a:ext cx="167640" cy="16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608116</xdr:colOff>
      <xdr:row>2</xdr:row>
      <xdr:rowOff>13079</xdr:rowOff>
    </xdr:from>
    <xdr:ext cx="190500" cy="189991"/>
    <xdr:pic>
      <xdr:nvPicPr>
        <xdr:cNvPr id="4" name="Picture 3" descr="Gambar terkai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10" t="7256" r="7483" b="8164"/>
        <a:stretch>
          <a:fillRect/>
        </a:stretch>
      </xdr:blipFill>
      <xdr:spPr>
        <a:xfrm>
          <a:off x="15295666" y="444879"/>
          <a:ext cx="190500" cy="189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617425</xdr:colOff>
      <xdr:row>3</xdr:row>
      <xdr:rowOff>17537</xdr:rowOff>
    </xdr:from>
    <xdr:ext cx="182880" cy="182880"/>
    <xdr:pic>
      <xdr:nvPicPr>
        <xdr:cNvPr id="5" name="Picture 4" descr="Gambar terkai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04975" y="665237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596653</xdr:colOff>
      <xdr:row>4</xdr:row>
      <xdr:rowOff>12867</xdr:rowOff>
    </xdr:from>
    <xdr:ext cx="205740" cy="207855"/>
    <xdr:pic>
      <xdr:nvPicPr>
        <xdr:cNvPr id="6" name="Picture 5" descr="Gambar terkai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84203" y="876467"/>
          <a:ext cx="205740" cy="20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58</xdr:row>
      <xdr:rowOff>110837</xdr:rowOff>
    </xdr:from>
    <xdr:to>
      <xdr:col>4</xdr:col>
      <xdr:colOff>579097</xdr:colOff>
      <xdr:row>67</xdr:row>
      <xdr:rowOff>215034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84655"/>
          <a:ext cx="2837388" cy="212927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24</xdr:row>
      <xdr:rowOff>333375</xdr:rowOff>
    </xdr:from>
    <xdr:to>
      <xdr:col>20</xdr:col>
      <xdr:colOff>737832</xdr:colOff>
      <xdr:row>38</xdr:row>
      <xdr:rowOff>119985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00" y="5324475"/>
          <a:ext cx="4881207" cy="4418935"/>
        </a:xfrm>
        <a:prstGeom prst="rect">
          <a:avLst/>
        </a:prstGeom>
      </xdr:spPr>
    </xdr:pic>
    <xdr:clientData/>
  </xdr:twoCellAnchor>
  <xdr:twoCellAnchor editAs="oneCell">
    <xdr:from>
      <xdr:col>16</xdr:col>
      <xdr:colOff>1000125</xdr:colOff>
      <xdr:row>48</xdr:row>
      <xdr:rowOff>0</xdr:rowOff>
    </xdr:from>
    <xdr:to>
      <xdr:col>20</xdr:col>
      <xdr:colOff>438676</xdr:colOff>
      <xdr:row>55</xdr:row>
      <xdr:rowOff>152637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31625" y="22631400"/>
          <a:ext cx="3772426" cy="1695687"/>
        </a:xfrm>
        <a:prstGeom prst="rect">
          <a:avLst/>
        </a:prstGeom>
      </xdr:spPr>
    </xdr:pic>
    <xdr:clientData/>
  </xdr:twoCellAnchor>
  <xdr:twoCellAnchor editAs="oneCell">
    <xdr:from>
      <xdr:col>7</xdr:col>
      <xdr:colOff>3609975</xdr:colOff>
      <xdr:row>32</xdr:row>
      <xdr:rowOff>149225</xdr:rowOff>
    </xdr:from>
    <xdr:to>
      <xdr:col>7</xdr:col>
      <xdr:colOff>6703963</xdr:colOff>
      <xdr:row>42</xdr:row>
      <xdr:rowOff>282839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66350" y="10229850"/>
          <a:ext cx="3093988" cy="2991114"/>
        </a:xfrm>
        <a:prstGeom prst="rect">
          <a:avLst/>
        </a:prstGeom>
      </xdr:spPr>
    </xdr:pic>
    <xdr:clientData/>
  </xdr:twoCellAnchor>
  <xdr:twoCellAnchor editAs="oneCell">
    <xdr:from>
      <xdr:col>2</xdr:col>
      <xdr:colOff>311150</xdr:colOff>
      <xdr:row>25</xdr:row>
      <xdr:rowOff>403224</xdr:rowOff>
    </xdr:from>
    <xdr:to>
      <xdr:col>7</xdr:col>
      <xdr:colOff>4209024</xdr:colOff>
      <xdr:row>32</xdr:row>
      <xdr:rowOff>79375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025" y="8229599"/>
          <a:ext cx="9549374" cy="1930401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180974</xdr:colOff>
      <xdr:row>20</xdr:row>
      <xdr:rowOff>48344</xdr:rowOff>
    </xdr:from>
    <xdr:to>
      <xdr:col>16</xdr:col>
      <xdr:colOff>966622</xdr:colOff>
      <xdr:row>22</xdr:row>
      <xdr:rowOff>736749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83149" y="4058369"/>
          <a:ext cx="6814973" cy="12853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14</xdr:col>
      <xdr:colOff>1251169</xdr:colOff>
      <xdr:row>57</xdr:row>
      <xdr:rowOff>146300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48714" y="12573000"/>
          <a:ext cx="4625741" cy="4968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0</xdr:row>
      <xdr:rowOff>0</xdr:rowOff>
    </xdr:from>
    <xdr:to>
      <xdr:col>19</xdr:col>
      <xdr:colOff>244241</xdr:colOff>
      <xdr:row>27</xdr:row>
      <xdr:rowOff>30911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940" y="0"/>
          <a:ext cx="4625741" cy="4968671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10</xdr:row>
      <xdr:rowOff>175261</xdr:rowOff>
    </xdr:from>
    <xdr:to>
      <xdr:col>11</xdr:col>
      <xdr:colOff>141306</xdr:colOff>
      <xdr:row>19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" y="2004061"/>
          <a:ext cx="7608906" cy="16230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-PC\Users\Budi%20darma%20business\PT.%20Batara%20Buana%20Panca%20Tengah\20180829%20-%20Quotatio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enovo\Desktop\Laporan%20buat%20Pa%20Ilh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-PC\Users\AAAAAAAAAAAAAAAAA\New%20Program\20161020%20-%20Pekerjaan%20Weni\Employee%20attendance%20track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-PC\Users\AAAAAAAAAAAAAAAAA\New%20Program\20161020%20-%20Pekerjaan%20Weni\Pekerjaan%20Bu%20We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 Quotation"/>
      <sheetName val="20180829 - Quotation 1"/>
      <sheetName val="Display_Quotation"/>
      <sheetName val="20180829_-_Quotation_1"/>
      <sheetName val="20180829_-_Quotation_11"/>
      <sheetName val="20180829_-_Quotation_12"/>
      <sheetName val="Display_Quotation1"/>
      <sheetName val="20180829_-_Quotation_13"/>
      <sheetName val="Display_Quotation2"/>
      <sheetName val="20180829_-_Quotation_14"/>
    </sheetNames>
    <definedNames>
      <definedName name="daysAndWks" refersTo="#REF!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"/>
      <sheetName val="Others"/>
      <sheetName val="JANUARY"/>
      <sheetName val="JUNE"/>
      <sheetName val="DECEMBER"/>
      <sheetName val="produksi -Transport"/>
      <sheetName val="Beban -Transport"/>
      <sheetName val="Rate 2015"/>
      <sheetName val="Payable Report to Supplier"/>
      <sheetName val="Cash Report"/>
      <sheetName val="Kasbon"/>
      <sheetName val="Inv. - WIP &amp; FG"/>
      <sheetName val="Prepaid Exp. - Building"/>
      <sheetName val="Asset Report of Building"/>
      <sheetName val="Asset Report of Mechine, dll"/>
      <sheetName val="Ekuitas"/>
      <sheetName val="Jenis Pengeluaran"/>
      <sheetName val="01"/>
      <sheetName val="Sheet1"/>
      <sheetName val="Database Account No"/>
      <sheetName val="Laporan buat Pa Ilham"/>
      <sheetName val="Additional Data"/>
      <sheetName val="produksi_-Transport"/>
      <sheetName val="Beban_-Transport"/>
      <sheetName val="Rate_2015"/>
      <sheetName val="Payable_Report_to_Supplier"/>
      <sheetName val="Cash_Report"/>
      <sheetName val="Inv__-_WIP_&amp;_FG"/>
      <sheetName val="Prepaid_Exp__-_Building"/>
      <sheetName val="Asset_Report_of_Building"/>
      <sheetName val="Asset_Report_of_Mechine,_dll"/>
      <sheetName val="Jenis_Pengeluaran"/>
      <sheetName val="Database_Account_No"/>
      <sheetName val="Laporan_buat_Pa_Ilham"/>
      <sheetName val="Additional_Data"/>
      <sheetName val="produksi_-Transport1"/>
      <sheetName val="Beban_-Transport1"/>
      <sheetName val="Rate_20151"/>
      <sheetName val="Payable_Report_to_Supplier1"/>
      <sheetName val="Cash_Report1"/>
      <sheetName val="Inv__-_WIP_&amp;_FG1"/>
      <sheetName val="Prepaid_Exp__-_Building1"/>
      <sheetName val="Asset_Report_of_Building1"/>
      <sheetName val="Asset_Report_of_Mechine,_dll1"/>
      <sheetName val="Jenis_Pengeluaran1"/>
      <sheetName val="Database_Account_No1"/>
      <sheetName val="Laporan_buat_Pa_Ilham1"/>
      <sheetName val="Additional_Data1"/>
      <sheetName val="produksi_-Transport2"/>
      <sheetName val="Beban_-Transport2"/>
      <sheetName val="Rate_20152"/>
      <sheetName val="Payable_Report_to_Supplier2"/>
      <sheetName val="Cash_Report2"/>
      <sheetName val="Inv__-_WIP_&amp;_FG2"/>
      <sheetName val="Prepaid_Exp__-_Building2"/>
      <sheetName val="Asset_Report_of_Building2"/>
      <sheetName val="Asset_Report_of_Mechine,_dll2"/>
      <sheetName val="Jenis_Pengeluaran2"/>
      <sheetName val="Database_Account_No2"/>
      <sheetName val="Laporan_buat_Pa_Ilham2"/>
      <sheetName val="Additional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B2" t="str">
            <v>Aset - Kendaraan</v>
          </cell>
        </row>
        <row r="3">
          <cell r="B3" t="str">
            <v>Aset - Mesin</v>
          </cell>
        </row>
        <row r="4">
          <cell r="B4" t="str">
            <v>Aset - Peralatan</v>
          </cell>
        </row>
        <row r="5">
          <cell r="B5" t="str">
            <v>Aset - Elektronik</v>
          </cell>
        </row>
        <row r="6">
          <cell r="B6" t="str">
            <v>Aset - Bangunan</v>
          </cell>
        </row>
        <row r="7">
          <cell r="B7" t="str">
            <v>Aset - Lain-Lain</v>
          </cell>
        </row>
        <row r="8">
          <cell r="B8" t="str">
            <v>Produksi - ATK</v>
          </cell>
        </row>
        <row r="9">
          <cell r="B9" t="str">
            <v>Produksi - Material Langsung</v>
          </cell>
        </row>
        <row r="10">
          <cell r="B10" t="str">
            <v>Produksi - Material Tidak Langsung</v>
          </cell>
        </row>
        <row r="11">
          <cell r="B11" t="str">
            <v>Produksi - Perawatan Bangunan</v>
          </cell>
        </row>
        <row r="12">
          <cell r="B12" t="str">
            <v>Produksi - Perawatan Mesin</v>
          </cell>
        </row>
        <row r="13">
          <cell r="B13" t="str">
            <v>Produksi - Listrik</v>
          </cell>
        </row>
        <row r="14">
          <cell r="B14" t="str">
            <v>Produksi - Telekomunikasi</v>
          </cell>
        </row>
        <row r="15">
          <cell r="B15" t="str">
            <v>Produksi - Transportasi</v>
          </cell>
        </row>
        <row r="16">
          <cell r="B16" t="str">
            <v>Produksi - Permit License</v>
          </cell>
        </row>
        <row r="17">
          <cell r="B17" t="str">
            <v>Produksi - Upah Framing</v>
          </cell>
        </row>
        <row r="26">
          <cell r="B26" t="str">
            <v>Produksi - Upah Weaving</v>
          </cell>
        </row>
        <row r="27">
          <cell r="B27" t="str">
            <v>Produksi - Konsumsi</v>
          </cell>
        </row>
        <row r="28">
          <cell r="B28" t="str">
            <v>ATK</v>
          </cell>
        </row>
        <row r="29">
          <cell r="B29" t="str">
            <v>Transportasi</v>
          </cell>
        </row>
        <row r="30">
          <cell r="B30" t="str">
            <v>Telepon</v>
          </cell>
        </row>
        <row r="31">
          <cell r="B31" t="str">
            <v>Listrik</v>
          </cell>
        </row>
        <row r="32">
          <cell r="B32" t="str">
            <v>Permit License</v>
          </cell>
        </row>
        <row r="33">
          <cell r="B33" t="str">
            <v>Perawatan Bangunan</v>
          </cell>
        </row>
        <row r="34">
          <cell r="B34" t="str">
            <v>Perawatan Mesin</v>
          </cell>
        </row>
        <row r="35">
          <cell r="B35" t="str">
            <v>Konsumsi</v>
          </cell>
        </row>
        <row r="36">
          <cell r="B36" t="str">
            <v>Sewa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B2" t="str">
            <v>Aset - Kendaraan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B2" t="str">
            <v>Aset - Kendaraan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2">
          <cell r="B2" t="str">
            <v>Aset - Kendaraan</v>
          </cell>
        </row>
      </sheetData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 data karyawan"/>
      <sheetName val="Form Employee Assessment"/>
      <sheetName val="Employee Leave Tracker"/>
      <sheetName val="Additional Data"/>
      <sheetName val="Display overview record"/>
      <sheetName val="Data Lengkap Karyawan (2)"/>
      <sheetName val="Employee attendance tracker"/>
    </sheetNames>
    <sheetDataSet>
      <sheetData sheetId="0"/>
      <sheetData sheetId="1"/>
      <sheetData sheetId="2">
        <row r="4">
          <cell r="E4">
            <v>42373</v>
          </cell>
        </row>
      </sheetData>
      <sheetData sheetId="3">
        <row r="4">
          <cell r="D4" t="str">
            <v>Sick Leave</v>
          </cell>
        </row>
      </sheetData>
      <sheetData sheetId="4">
        <row r="12">
          <cell r="B12">
            <v>25</v>
          </cell>
        </row>
      </sheetData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10 - Asset Bangunan 2014"/>
      <sheetName val="Database - Input data"/>
      <sheetName val="Room Lookup"/>
      <sheetName val="Depreciation of Assets"/>
      <sheetName val="The Value of assets"/>
      <sheetName val="Payment of Assets"/>
      <sheetName val="AKUN"/>
      <sheetName val="Home Contents Inventory Lis (2"/>
      <sheetName val="Pekerjaan Bu Wen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2:AJ2211"/>
  <sheetViews>
    <sheetView tabSelected="1" view="pageBreakPreview" topLeftCell="A7" zoomScale="70" zoomScaleNormal="40" zoomScaleSheetLayoutView="70" zoomScalePageLayoutView="90" workbookViewId="0">
      <selection activeCell="Q7" sqref="Q7"/>
    </sheetView>
  </sheetViews>
  <sheetFormatPr defaultColWidth="10.21875" defaultRowHeight="15.6"/>
  <cols>
    <col min="1" max="1" width="3.21875" style="1" customWidth="1"/>
    <col min="2" max="2" width="9.77734375" style="2" customWidth="1"/>
    <col min="3" max="3" width="16.109375" style="3" customWidth="1"/>
    <col min="4" max="4" width="3.77734375" style="3" customWidth="1"/>
    <col min="5" max="5" width="20.109375" style="4" customWidth="1"/>
    <col min="6" max="6" width="3.77734375" style="4" customWidth="1"/>
    <col min="7" max="7" width="37.109375" style="4" customWidth="1"/>
    <col min="8" max="8" width="99.21875" style="4" customWidth="1"/>
    <col min="9" max="9" width="14.21875" style="6" customWidth="1"/>
    <col min="10" max="10" width="8.5546875" style="6" customWidth="1"/>
    <col min="11" max="11" width="30.33203125" style="12" bestFit="1" customWidth="1"/>
    <col min="12" max="12" width="34.77734375" style="12" customWidth="1"/>
    <col min="13" max="13" width="5.21875" style="4" customWidth="1"/>
    <col min="14" max="14" width="49.21875" style="4" bestFit="1" customWidth="1"/>
    <col min="15" max="15" width="18.77734375" style="4" customWidth="1"/>
    <col min="16" max="16" width="14.77734375" style="4" customWidth="1"/>
    <col min="17" max="17" width="17" style="4" customWidth="1"/>
    <col min="18" max="18" width="19.77734375" style="4" customWidth="1"/>
    <col min="19" max="19" width="14" style="4" customWidth="1"/>
    <col min="20" max="20" width="12.5546875" style="4" customWidth="1"/>
    <col min="21" max="21" width="17.21875" style="4" customWidth="1"/>
    <col min="22" max="22" width="21.21875" style="5" customWidth="1"/>
    <col min="23" max="23" width="26.44140625" style="4" customWidth="1"/>
    <col min="24" max="24" width="11.21875" style="4" customWidth="1"/>
    <col min="25" max="25" width="7.77734375" style="4" customWidth="1"/>
    <col min="26" max="26" width="13.21875" style="4" customWidth="1"/>
    <col min="27" max="27" width="22.21875" style="4" customWidth="1"/>
    <col min="28" max="28" width="20.21875" style="4" customWidth="1"/>
    <col min="29" max="29" width="213.21875" style="4" customWidth="1"/>
    <col min="30" max="30" width="11.77734375" style="4" customWidth="1"/>
    <col min="31" max="31" width="18.77734375" style="4" customWidth="1"/>
    <col min="32" max="32" width="14.77734375" style="4" customWidth="1"/>
    <col min="33" max="33" width="11.21875" style="4" customWidth="1"/>
    <col min="34" max="34" width="13.77734375" style="4" customWidth="1"/>
    <col min="35" max="35" width="10.21875" style="4"/>
    <col min="36" max="36" width="5.77734375" style="4" customWidth="1"/>
    <col min="37" max="16384" width="10.21875" style="4"/>
  </cols>
  <sheetData>
    <row r="2" spans="1:22" ht="22.8">
      <c r="B2" s="39"/>
      <c r="C2" s="40"/>
      <c r="D2" s="40"/>
      <c r="E2" s="170" t="s">
        <v>0</v>
      </c>
      <c r="F2" s="170"/>
      <c r="G2" s="170"/>
      <c r="H2" s="170"/>
      <c r="I2" s="39"/>
      <c r="J2" s="39"/>
      <c r="K2" s="41"/>
      <c r="L2" s="42" t="s">
        <v>1</v>
      </c>
    </row>
    <row r="3" spans="1:22" ht="22.8">
      <c r="B3" s="39"/>
      <c r="C3" s="40"/>
      <c r="D3" s="40"/>
      <c r="E3" s="170"/>
      <c r="F3" s="170"/>
      <c r="G3" s="170"/>
      <c r="H3" s="170"/>
      <c r="I3" s="39"/>
      <c r="J3" s="39"/>
      <c r="K3" s="41"/>
      <c r="L3" s="42" t="s">
        <v>2</v>
      </c>
    </row>
    <row r="4" spans="1:22" ht="22.8">
      <c r="B4" s="39"/>
      <c r="C4" s="40"/>
      <c r="D4" s="40"/>
      <c r="E4" s="41" t="s">
        <v>3</v>
      </c>
      <c r="F4" s="41"/>
      <c r="G4" s="41"/>
      <c r="H4" s="41"/>
      <c r="I4" s="43"/>
      <c r="J4" s="43"/>
      <c r="K4" s="41"/>
      <c r="L4" s="42" t="s">
        <v>4</v>
      </c>
    </row>
    <row r="5" spans="1:22" ht="22.8">
      <c r="B5" s="39"/>
      <c r="C5" s="40"/>
      <c r="D5" s="40"/>
      <c r="E5" s="41" t="s">
        <v>5</v>
      </c>
      <c r="F5" s="41"/>
      <c r="G5" s="41"/>
      <c r="H5" s="41"/>
      <c r="I5" s="43"/>
      <c r="J5" s="43"/>
      <c r="K5" s="41"/>
      <c r="L5" s="42" t="s">
        <v>6</v>
      </c>
    </row>
    <row r="6" spans="1:22" s="2" customFormat="1" ht="23.4" thickBot="1">
      <c r="A6" s="7"/>
      <c r="B6" s="44"/>
      <c r="C6" s="45"/>
      <c r="D6" s="45"/>
      <c r="E6" s="46"/>
      <c r="F6" s="46"/>
      <c r="G6" s="46"/>
      <c r="H6" s="46"/>
      <c r="I6" s="47"/>
      <c r="J6" s="47"/>
      <c r="K6" s="46"/>
      <c r="L6" s="46"/>
      <c r="V6" s="8"/>
    </row>
    <row r="7" spans="1:22" s="2" customFormat="1" ht="23.4" thickTop="1">
      <c r="A7" s="7"/>
      <c r="B7" s="48"/>
      <c r="C7" s="49"/>
      <c r="D7" s="49"/>
      <c r="E7" s="50"/>
      <c r="F7" s="50"/>
      <c r="G7" s="50"/>
      <c r="H7" s="50"/>
      <c r="I7" s="51"/>
      <c r="J7" s="51"/>
      <c r="K7" s="50"/>
      <c r="L7" s="50"/>
      <c r="V7" s="8"/>
    </row>
    <row r="8" spans="1:22" ht="22.8">
      <c r="B8" s="40" t="s">
        <v>7</v>
      </c>
      <c r="C8" s="40"/>
      <c r="D8" s="52"/>
      <c r="E8" s="53"/>
      <c r="F8" s="53"/>
      <c r="G8" s="41"/>
      <c r="H8" s="39"/>
      <c r="I8" s="54" t="s">
        <v>8</v>
      </c>
      <c r="J8" s="54"/>
      <c r="K8" s="54"/>
      <c r="L8" s="54"/>
      <c r="M8" s="10"/>
    </row>
    <row r="9" spans="1:22" ht="22.8">
      <c r="B9" s="53"/>
      <c r="C9" s="55" t="s">
        <v>41</v>
      </c>
      <c r="D9" s="56"/>
      <c r="E9" s="56"/>
      <c r="F9" s="165"/>
      <c r="G9" s="165"/>
      <c r="H9" s="41"/>
      <c r="I9" s="53" t="s">
        <v>9</v>
      </c>
      <c r="J9" s="52" t="s">
        <v>10</v>
      </c>
      <c r="K9" s="57" t="s">
        <v>48</v>
      </c>
      <c r="L9" s="58"/>
    </row>
    <row r="10" spans="1:22" ht="22.8">
      <c r="B10" s="53"/>
      <c r="C10" s="55" t="s">
        <v>42</v>
      </c>
      <c r="D10" s="55"/>
      <c r="E10" s="59"/>
      <c r="F10" s="55"/>
      <c r="G10" s="59"/>
      <c r="H10" s="60"/>
      <c r="I10" s="53" t="s">
        <v>11</v>
      </c>
      <c r="J10" s="52" t="s">
        <v>10</v>
      </c>
      <c r="K10" s="61">
        <v>46244</v>
      </c>
      <c r="L10" s="58"/>
    </row>
    <row r="11" spans="1:22" ht="22.8">
      <c r="B11" s="39"/>
      <c r="C11" s="62"/>
      <c r="D11" s="63"/>
      <c r="E11" s="64"/>
      <c r="F11" s="63"/>
      <c r="G11" s="64"/>
      <c r="H11" s="60"/>
      <c r="I11" s="53" t="s">
        <v>12</v>
      </c>
      <c r="J11" s="52" t="s">
        <v>10</v>
      </c>
      <c r="K11" s="57" t="s">
        <v>13</v>
      </c>
      <c r="L11" s="58"/>
    </row>
    <row r="12" spans="1:22" ht="22.8">
      <c r="B12" s="58" t="s">
        <v>14</v>
      </c>
      <c r="C12" s="168" t="s">
        <v>39</v>
      </c>
      <c r="D12" s="168"/>
      <c r="E12" s="168"/>
      <c r="F12" s="65"/>
      <c r="G12" s="66"/>
      <c r="H12" s="60"/>
      <c r="I12" s="53" t="s">
        <v>15</v>
      </c>
      <c r="J12" s="52" t="s">
        <v>10</v>
      </c>
      <c r="K12" s="57" t="s">
        <v>40</v>
      </c>
      <c r="L12" s="58"/>
    </row>
    <row r="13" spans="1:22" ht="22.8">
      <c r="B13" s="39"/>
      <c r="C13" s="58"/>
      <c r="D13" s="58"/>
      <c r="E13" s="67"/>
      <c r="F13" s="60"/>
      <c r="G13" s="60"/>
      <c r="H13" s="41"/>
      <c r="I13" s="53" t="s">
        <v>16</v>
      </c>
      <c r="J13" s="52" t="s">
        <v>10</v>
      </c>
      <c r="K13" s="57" t="s">
        <v>17</v>
      </c>
      <c r="L13" s="58"/>
    </row>
    <row r="14" spans="1:22" ht="22.8">
      <c r="B14" s="68"/>
      <c r="C14" s="40"/>
      <c r="D14" s="62"/>
      <c r="E14" s="69"/>
      <c r="F14" s="69"/>
      <c r="G14" s="69"/>
      <c r="H14" s="69"/>
      <c r="I14" s="53" t="s">
        <v>18</v>
      </c>
      <c r="J14" s="52" t="s">
        <v>10</v>
      </c>
      <c r="K14" s="57" t="s">
        <v>19</v>
      </c>
      <c r="L14" s="58"/>
    </row>
    <row r="15" spans="1:22" ht="22.8">
      <c r="B15" s="39"/>
      <c r="C15" s="40"/>
      <c r="D15" s="40"/>
      <c r="E15" s="70"/>
      <c r="F15" s="70"/>
      <c r="G15" s="70"/>
      <c r="H15" s="70"/>
      <c r="I15" s="71"/>
      <c r="J15" s="71"/>
      <c r="K15" s="58"/>
      <c r="L15" s="72"/>
    </row>
    <row r="16" spans="1:22" s="6" customFormat="1" ht="22.8">
      <c r="A16" s="9"/>
      <c r="B16" s="73" t="s">
        <v>20</v>
      </c>
      <c r="C16" s="73"/>
      <c r="D16" s="74"/>
      <c r="E16" s="73"/>
      <c r="F16" s="74"/>
      <c r="G16" s="74"/>
      <c r="H16" s="74"/>
      <c r="I16" s="74" t="s">
        <v>21</v>
      </c>
      <c r="J16" s="73"/>
      <c r="K16" s="73" t="s">
        <v>22</v>
      </c>
      <c r="L16" s="73"/>
      <c r="V16" s="5"/>
    </row>
    <row r="17" spans="1:22" ht="22.8">
      <c r="B17" s="53" t="s">
        <v>23</v>
      </c>
      <c r="C17" s="53"/>
      <c r="D17" s="69"/>
      <c r="E17" s="53"/>
      <c r="F17" s="69"/>
      <c r="G17" s="69"/>
      <c r="H17" s="69"/>
      <c r="I17" s="75" t="s">
        <v>74</v>
      </c>
      <c r="J17" s="76"/>
      <c r="K17" s="171">
        <f>K10+30</f>
        <v>46274</v>
      </c>
      <c r="L17" s="171"/>
    </row>
    <row r="18" spans="1:22" ht="23.4" thickBot="1">
      <c r="B18" s="39"/>
      <c r="C18" s="40"/>
      <c r="D18" s="40"/>
      <c r="E18" s="41"/>
      <c r="F18" s="41"/>
      <c r="G18" s="41"/>
      <c r="H18" s="41"/>
      <c r="I18" s="43"/>
      <c r="J18" s="43"/>
      <c r="K18" s="58"/>
      <c r="L18" s="58"/>
    </row>
    <row r="19" spans="1:22" s="6" customFormat="1" ht="22.8">
      <c r="A19" s="9"/>
      <c r="B19" s="77" t="s">
        <v>24</v>
      </c>
      <c r="C19" s="78"/>
      <c r="D19" s="78"/>
      <c r="E19" s="78" t="s">
        <v>25</v>
      </c>
      <c r="F19" s="78"/>
      <c r="G19" s="78"/>
      <c r="H19" s="78"/>
      <c r="I19" s="79" t="s">
        <v>26</v>
      </c>
      <c r="J19" s="80" t="s">
        <v>27</v>
      </c>
      <c r="K19" s="80" t="s">
        <v>28</v>
      </c>
      <c r="L19" s="81" t="s">
        <v>29</v>
      </c>
      <c r="V19" s="5"/>
    </row>
    <row r="20" spans="1:22" ht="22.8">
      <c r="B20" s="82"/>
      <c r="C20" s="83"/>
      <c r="D20" s="84"/>
      <c r="E20" s="84"/>
      <c r="F20" s="84"/>
      <c r="G20" s="84"/>
      <c r="H20" s="85"/>
      <c r="I20" s="86"/>
      <c r="J20" s="87"/>
      <c r="K20" s="88"/>
      <c r="L20" s="89"/>
    </row>
    <row r="21" spans="1:22" ht="22.8">
      <c r="B21" s="90">
        <v>1</v>
      </c>
      <c r="C21" s="91" t="s">
        <v>47</v>
      </c>
      <c r="D21" s="92"/>
      <c r="E21" s="92"/>
      <c r="F21" s="92"/>
      <c r="G21" s="92"/>
      <c r="H21" s="93"/>
      <c r="I21" s="94">
        <v>1</v>
      </c>
      <c r="J21" s="95" t="s">
        <v>27</v>
      </c>
      <c r="K21" s="96">
        <v>78000000</v>
      </c>
      <c r="L21" s="97">
        <f>K21</f>
        <v>78000000</v>
      </c>
      <c r="N21" s="13"/>
      <c r="O21" s="14"/>
    </row>
    <row r="22" spans="1:22" ht="22.8">
      <c r="B22" s="98"/>
      <c r="C22" s="99"/>
      <c r="D22" s="92"/>
      <c r="E22" s="92"/>
      <c r="F22" s="92"/>
      <c r="G22" s="92"/>
      <c r="H22" s="93"/>
      <c r="I22" s="94"/>
      <c r="J22" s="95"/>
      <c r="K22" s="96"/>
      <c r="L22" s="97"/>
      <c r="N22" s="13"/>
      <c r="O22" s="14"/>
    </row>
    <row r="23" spans="1:22" ht="59.55" customHeight="1">
      <c r="B23" s="98"/>
      <c r="C23" s="161" t="s">
        <v>49</v>
      </c>
      <c r="D23" s="162"/>
      <c r="E23" s="162"/>
      <c r="F23" s="162"/>
      <c r="G23" s="162"/>
      <c r="H23" s="163"/>
      <c r="I23" s="94"/>
      <c r="J23" s="95"/>
      <c r="K23" s="96"/>
      <c r="L23" s="97"/>
      <c r="N23" s="13"/>
      <c r="O23" s="14"/>
    </row>
    <row r="24" spans="1:22" ht="22.8">
      <c r="B24" s="98"/>
      <c r="C24" s="161"/>
      <c r="D24" s="162"/>
      <c r="E24" s="162"/>
      <c r="F24" s="162"/>
      <c r="G24" s="162"/>
      <c r="H24" s="163"/>
      <c r="I24" s="94"/>
      <c r="J24" s="95"/>
      <c r="K24" s="96"/>
      <c r="L24" s="97"/>
    </row>
    <row r="25" spans="1:22" ht="42" customHeight="1">
      <c r="B25" s="98"/>
      <c r="C25" s="161"/>
      <c r="D25" s="162"/>
      <c r="E25" s="162"/>
      <c r="F25" s="162"/>
      <c r="G25" s="162"/>
      <c r="H25" s="163"/>
      <c r="I25" s="94"/>
      <c r="J25" s="95"/>
      <c r="K25" s="96"/>
      <c r="L25" s="97"/>
      <c r="N25" s="13"/>
    </row>
    <row r="26" spans="1:22" ht="31.95" customHeight="1">
      <c r="B26" s="98"/>
      <c r="C26" s="164"/>
      <c r="D26" s="165"/>
      <c r="E26" s="165"/>
      <c r="F26" s="165"/>
      <c r="G26" s="165"/>
      <c r="H26" s="166"/>
      <c r="I26" s="94"/>
      <c r="J26" s="95"/>
      <c r="K26" s="96"/>
      <c r="L26" s="97"/>
      <c r="N26" s="13"/>
    </row>
    <row r="27" spans="1:22" ht="31.95" customHeight="1">
      <c r="B27" s="98"/>
      <c r="C27" s="164"/>
      <c r="D27" s="165"/>
      <c r="E27" s="165"/>
      <c r="F27" s="165"/>
      <c r="G27" s="165"/>
      <c r="H27" s="166"/>
      <c r="I27" s="94"/>
      <c r="J27" s="95"/>
      <c r="K27" s="96"/>
      <c r="L27" s="97"/>
      <c r="N27" s="13">
        <v>2250</v>
      </c>
    </row>
    <row r="28" spans="1:22" ht="22.8">
      <c r="B28" s="98"/>
      <c r="C28" s="99"/>
      <c r="D28" s="92"/>
      <c r="E28" s="92"/>
      <c r="F28" s="92"/>
      <c r="G28" s="92"/>
      <c r="H28" s="93"/>
      <c r="I28" s="94"/>
      <c r="J28" s="95"/>
      <c r="K28" s="96"/>
      <c r="L28" s="97"/>
      <c r="N28" s="37">
        <f>N27*18500</f>
        <v>41625000</v>
      </c>
      <c r="O28" s="14"/>
    </row>
    <row r="29" spans="1:22" ht="22.8">
      <c r="B29" s="98"/>
      <c r="C29" s="91"/>
      <c r="D29" s="92"/>
      <c r="E29" s="92"/>
      <c r="F29" s="92"/>
      <c r="G29" s="92"/>
      <c r="H29" s="93"/>
      <c r="I29" s="94"/>
      <c r="J29" s="95"/>
      <c r="K29" s="96"/>
      <c r="L29" s="97"/>
      <c r="N29" s="38">
        <f>N28*1.25</f>
        <v>52031250</v>
      </c>
      <c r="O29" s="14"/>
    </row>
    <row r="30" spans="1:22" ht="22.8">
      <c r="B30" s="98"/>
      <c r="C30" s="91"/>
      <c r="D30" s="92"/>
      <c r="E30" s="92"/>
      <c r="F30" s="92"/>
      <c r="G30" s="92"/>
      <c r="H30" s="93"/>
      <c r="I30" s="94"/>
      <c r="J30" s="95"/>
      <c r="K30" s="96"/>
      <c r="L30" s="97"/>
      <c r="N30" s="38"/>
      <c r="O30" s="14"/>
    </row>
    <row r="31" spans="1:22" ht="22.8">
      <c r="B31" s="98"/>
      <c r="C31" s="91"/>
      <c r="D31" s="92"/>
      <c r="E31" s="92"/>
      <c r="F31" s="92"/>
      <c r="G31" s="92"/>
      <c r="H31" s="93"/>
      <c r="I31" s="94"/>
      <c r="J31" s="95"/>
      <c r="K31" s="96"/>
      <c r="L31" s="97"/>
      <c r="N31" s="38"/>
      <c r="O31" s="14"/>
    </row>
    <row r="32" spans="1:22" ht="22.8">
      <c r="B32" s="98"/>
      <c r="C32" s="164"/>
      <c r="D32" s="165"/>
      <c r="E32" s="165"/>
      <c r="F32" s="165"/>
      <c r="G32" s="165"/>
      <c r="H32" s="100"/>
      <c r="I32" s="94"/>
      <c r="J32" s="95"/>
      <c r="K32" s="96"/>
      <c r="L32" s="97"/>
      <c r="N32" s="38">
        <f>N29*1.5</f>
        <v>78046875</v>
      </c>
      <c r="O32" s="14"/>
    </row>
    <row r="33" spans="1:23" ht="22.8">
      <c r="B33" s="98"/>
      <c r="C33" s="99"/>
      <c r="D33" s="92"/>
      <c r="E33" s="92"/>
      <c r="F33" s="92"/>
      <c r="G33" s="92"/>
      <c r="H33" s="93"/>
      <c r="I33" s="94"/>
      <c r="J33" s="95"/>
      <c r="K33" s="96"/>
      <c r="L33" s="97"/>
      <c r="N33" s="38">
        <f>N32-O60</f>
        <v>23656875</v>
      </c>
      <c r="O33" s="14"/>
    </row>
    <row r="34" spans="1:23" ht="22.8">
      <c r="B34" s="98"/>
      <c r="C34" s="91"/>
      <c r="D34" s="92"/>
      <c r="E34" s="92"/>
      <c r="F34" s="92"/>
      <c r="G34" s="92"/>
      <c r="H34" s="93"/>
      <c r="I34" s="94"/>
      <c r="J34" s="95"/>
      <c r="K34" s="96"/>
      <c r="L34" s="97"/>
      <c r="N34" s="37">
        <v>73000000</v>
      </c>
      <c r="O34" s="14"/>
    </row>
    <row r="35" spans="1:23" ht="22.8">
      <c r="B35" s="98"/>
      <c r="C35" s="91" t="s">
        <v>50</v>
      </c>
      <c r="D35" s="92"/>
      <c r="E35" s="92"/>
      <c r="F35" s="101"/>
      <c r="G35" s="92"/>
      <c r="H35" s="93"/>
      <c r="I35" s="94"/>
      <c r="J35" s="95"/>
      <c r="K35" s="96"/>
      <c r="L35" s="97"/>
      <c r="N35" s="13"/>
      <c r="O35" s="14"/>
    </row>
    <row r="36" spans="1:23" ht="22.8">
      <c r="B36" s="98"/>
      <c r="C36" s="102" t="s">
        <v>51</v>
      </c>
      <c r="D36" s="92"/>
      <c r="E36" s="92"/>
      <c r="F36" s="101" t="s">
        <v>30</v>
      </c>
      <c r="G36" s="92" t="s">
        <v>62</v>
      </c>
      <c r="H36" s="93"/>
      <c r="I36" s="94"/>
      <c r="J36" s="95"/>
      <c r="K36" s="96"/>
      <c r="L36" s="97"/>
      <c r="N36" s="13" t="s">
        <v>73</v>
      </c>
      <c r="O36" s="14"/>
    </row>
    <row r="37" spans="1:23" ht="22.8">
      <c r="B37" s="98"/>
      <c r="C37" s="102" t="s">
        <v>52</v>
      </c>
      <c r="D37" s="103"/>
      <c r="E37" s="103"/>
      <c r="F37" s="101" t="s">
        <v>30</v>
      </c>
      <c r="G37" s="104" t="s">
        <v>70</v>
      </c>
      <c r="H37" s="93"/>
      <c r="I37" s="94"/>
      <c r="J37" s="43"/>
      <c r="K37" s="105"/>
      <c r="L37" s="97"/>
    </row>
    <row r="38" spans="1:23" ht="22.8">
      <c r="B38" s="98"/>
      <c r="C38" s="102" t="s">
        <v>53</v>
      </c>
      <c r="D38" s="41"/>
      <c r="E38" s="41"/>
      <c r="F38" s="101" t="s">
        <v>30</v>
      </c>
      <c r="G38" s="106" t="s">
        <v>63</v>
      </c>
      <c r="H38" s="107"/>
      <c r="I38" s="108"/>
      <c r="J38" s="109"/>
      <c r="K38" s="108"/>
      <c r="L38" s="110"/>
      <c r="M38" s="13"/>
      <c r="P38" s="13"/>
      <c r="Q38" s="13"/>
      <c r="R38" s="13"/>
      <c r="S38" s="13"/>
      <c r="T38" s="13"/>
      <c r="U38" s="13"/>
      <c r="V38" s="13"/>
      <c r="W38" s="13"/>
    </row>
    <row r="39" spans="1:23" s="11" customFormat="1" ht="22.8">
      <c r="A39" s="15"/>
      <c r="B39" s="111"/>
      <c r="C39" s="112" t="s">
        <v>54</v>
      </c>
      <c r="D39" s="65"/>
      <c r="E39" s="65"/>
      <c r="F39" s="101" t="s">
        <v>30</v>
      </c>
      <c r="G39" s="65" t="s">
        <v>64</v>
      </c>
      <c r="H39" s="113"/>
      <c r="I39" s="114"/>
      <c r="J39" s="71"/>
      <c r="K39" s="115"/>
      <c r="L39" s="116"/>
      <c r="N39" s="16"/>
      <c r="V39" s="17"/>
    </row>
    <row r="40" spans="1:23" s="11" customFormat="1" ht="22.8">
      <c r="A40" s="15"/>
      <c r="B40" s="111"/>
      <c r="C40" s="112" t="s">
        <v>55</v>
      </c>
      <c r="D40" s="65"/>
      <c r="E40" s="65"/>
      <c r="F40" s="101" t="s">
        <v>30</v>
      </c>
      <c r="G40" s="56" t="s">
        <v>65</v>
      </c>
      <c r="H40" s="113"/>
      <c r="I40" s="114"/>
      <c r="J40" s="71"/>
      <c r="K40" s="117"/>
      <c r="L40" s="116"/>
      <c r="N40" s="16"/>
      <c r="V40" s="17"/>
    </row>
    <row r="41" spans="1:23" s="11" customFormat="1" ht="22.8">
      <c r="A41" s="15"/>
      <c r="B41" s="111"/>
      <c r="C41" s="112" t="s">
        <v>56</v>
      </c>
      <c r="D41" s="65"/>
      <c r="E41" s="65"/>
      <c r="F41" s="101" t="s">
        <v>30</v>
      </c>
      <c r="G41" s="65" t="s">
        <v>66</v>
      </c>
      <c r="H41" s="92"/>
      <c r="I41" s="118"/>
      <c r="J41" s="118"/>
      <c r="K41" s="115"/>
      <c r="L41" s="116"/>
      <c r="N41" s="16"/>
      <c r="V41" s="17"/>
    </row>
    <row r="42" spans="1:23" s="11" customFormat="1" ht="22.8">
      <c r="A42" s="15"/>
      <c r="B42" s="111"/>
      <c r="C42" s="112" t="s">
        <v>57</v>
      </c>
      <c r="D42" s="65"/>
      <c r="E42" s="65"/>
      <c r="F42" s="101" t="s">
        <v>30</v>
      </c>
      <c r="G42" s="167" t="s">
        <v>67</v>
      </c>
      <c r="H42" s="167"/>
      <c r="I42" s="118"/>
      <c r="J42" s="118"/>
      <c r="K42" s="115"/>
      <c r="L42" s="116"/>
      <c r="N42" s="16"/>
      <c r="V42" s="17"/>
    </row>
    <row r="43" spans="1:23" ht="22.8">
      <c r="B43" s="98"/>
      <c r="C43" s="102" t="s">
        <v>58</v>
      </c>
      <c r="D43" s="41"/>
      <c r="E43" s="41"/>
      <c r="F43" s="101" t="s">
        <v>30</v>
      </c>
      <c r="G43" s="106" t="s">
        <v>68</v>
      </c>
      <c r="H43" s="41"/>
      <c r="I43" s="119"/>
      <c r="J43" s="119"/>
      <c r="K43" s="108"/>
      <c r="L43" s="110"/>
      <c r="M43" s="13"/>
      <c r="P43" s="13"/>
      <c r="Q43" s="13"/>
      <c r="R43" s="13"/>
      <c r="S43" s="13"/>
      <c r="T43" s="13"/>
      <c r="U43" s="13"/>
      <c r="V43" s="13"/>
      <c r="W43" s="13"/>
    </row>
    <row r="44" spans="1:23" ht="22.8">
      <c r="B44" s="98"/>
      <c r="C44" s="102" t="s">
        <v>59</v>
      </c>
      <c r="D44" s="106"/>
      <c r="E44" s="106"/>
      <c r="F44" s="101" t="s">
        <v>30</v>
      </c>
      <c r="G44" s="106" t="s">
        <v>71</v>
      </c>
      <c r="H44" s="41"/>
      <c r="I44" s="119"/>
      <c r="J44" s="119"/>
      <c r="K44" s="108"/>
      <c r="L44" s="110"/>
      <c r="M44" s="13"/>
      <c r="P44" s="13"/>
      <c r="Q44" s="13"/>
      <c r="R44" s="13"/>
      <c r="S44" s="13"/>
      <c r="T44" s="13"/>
      <c r="U44" s="13"/>
      <c r="V44" s="13"/>
      <c r="W44" s="13"/>
    </row>
    <row r="45" spans="1:23" ht="22.8">
      <c r="B45" s="98"/>
      <c r="C45" s="102" t="s">
        <v>60</v>
      </c>
      <c r="D45" s="106"/>
      <c r="E45" s="106"/>
      <c r="F45" s="101" t="s">
        <v>30</v>
      </c>
      <c r="G45" s="106" t="s">
        <v>69</v>
      </c>
      <c r="H45" s="41"/>
      <c r="I45" s="119"/>
      <c r="J45" s="119"/>
      <c r="K45" s="119"/>
      <c r="L45" s="110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22.8">
      <c r="B46" s="98"/>
      <c r="C46" s="102" t="s">
        <v>61</v>
      </c>
      <c r="D46" s="106"/>
      <c r="E46" s="106"/>
      <c r="F46" s="101" t="s">
        <v>30</v>
      </c>
      <c r="G46" s="106" t="s">
        <v>72</v>
      </c>
      <c r="H46" s="41"/>
      <c r="I46" s="119"/>
      <c r="J46" s="119"/>
      <c r="K46" s="119"/>
      <c r="L46" s="110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22.8">
      <c r="A47" s="4"/>
      <c r="B47" s="120"/>
      <c r="C47" s="121" t="s">
        <v>76</v>
      </c>
      <c r="D47" s="40"/>
      <c r="E47" s="41"/>
      <c r="F47" s="101" t="s">
        <v>30</v>
      </c>
      <c r="G47" s="41" t="s">
        <v>75</v>
      </c>
      <c r="H47" s="41"/>
      <c r="I47" s="122"/>
      <c r="J47" s="122"/>
      <c r="K47" s="123"/>
      <c r="L47" s="124"/>
      <c r="V47" s="4"/>
    </row>
    <row r="48" spans="1:23" ht="22.8">
      <c r="A48" s="4"/>
      <c r="B48" s="120"/>
      <c r="C48" s="125"/>
      <c r="D48" s="40"/>
      <c r="E48" s="41"/>
      <c r="F48" s="41"/>
      <c r="G48" s="41"/>
      <c r="H48" s="41"/>
      <c r="I48" s="122"/>
      <c r="J48" s="122"/>
      <c r="K48" s="123"/>
      <c r="L48" s="124"/>
      <c r="V48" s="4"/>
    </row>
    <row r="49" spans="1:24" ht="17.25" customHeight="1" thickBot="1">
      <c r="B49" s="126"/>
      <c r="C49" s="127"/>
      <c r="D49" s="128"/>
      <c r="E49" s="128"/>
      <c r="F49" s="128"/>
      <c r="G49" s="128"/>
      <c r="H49" s="128"/>
      <c r="I49" s="129"/>
      <c r="J49" s="130"/>
      <c r="K49" s="131"/>
      <c r="L49" s="132"/>
    </row>
    <row r="50" spans="1:24" ht="17.100000000000001" customHeight="1">
      <c r="B50" s="133"/>
      <c r="C50" s="134"/>
      <c r="D50" s="135"/>
      <c r="E50" s="136"/>
      <c r="F50" s="136"/>
      <c r="G50" s="136"/>
      <c r="H50" s="136"/>
      <c r="I50" s="136"/>
      <c r="J50" s="136"/>
      <c r="K50" s="137" t="s">
        <v>43</v>
      </c>
      <c r="L50" s="138">
        <f>SUM(L20:L49)</f>
        <v>78000000</v>
      </c>
    </row>
    <row r="51" spans="1:24" ht="17.100000000000001" customHeight="1">
      <c r="B51" s="139"/>
      <c r="C51" s="140"/>
      <c r="D51" s="140"/>
      <c r="E51" s="141"/>
      <c r="F51" s="141"/>
      <c r="G51" s="141"/>
      <c r="H51" s="141"/>
      <c r="I51" s="142"/>
      <c r="J51" s="136"/>
      <c r="K51" s="137" t="s">
        <v>44</v>
      </c>
      <c r="L51" s="138">
        <f>L50*11%</f>
        <v>8580000</v>
      </c>
    </row>
    <row r="52" spans="1:24" ht="17.100000000000001" customHeight="1">
      <c r="A52" s="4"/>
      <c r="B52" s="143" t="s">
        <v>31</v>
      </c>
      <c r="C52" s="143"/>
      <c r="D52" s="144"/>
      <c r="E52" s="143"/>
      <c r="F52" s="143"/>
      <c r="G52" s="143"/>
      <c r="H52" s="143"/>
      <c r="I52" s="143"/>
      <c r="J52" s="43"/>
      <c r="K52" s="137" t="s">
        <v>45</v>
      </c>
      <c r="L52" s="138">
        <f>L51+L50</f>
        <v>86580000</v>
      </c>
    </row>
    <row r="53" spans="1:24" ht="15.75" customHeight="1">
      <c r="A53" s="4"/>
      <c r="B53" s="169" t="s">
        <v>46</v>
      </c>
      <c r="C53" s="169"/>
      <c r="D53" s="169"/>
      <c r="E53" s="169"/>
      <c r="F53" s="169"/>
      <c r="G53" s="169"/>
      <c r="H53" s="169"/>
      <c r="I53" s="169"/>
      <c r="J53" s="43"/>
      <c r="K53" s="137"/>
      <c r="L53" s="145"/>
    </row>
    <row r="54" spans="1:24" ht="15.75" customHeight="1">
      <c r="A54" s="4"/>
      <c r="B54" s="169"/>
      <c r="C54" s="169"/>
      <c r="D54" s="169"/>
      <c r="E54" s="169"/>
      <c r="F54" s="169"/>
      <c r="G54" s="169"/>
      <c r="H54" s="169"/>
      <c r="I54" s="169"/>
      <c r="J54" s="43"/>
      <c r="K54" s="146"/>
      <c r="L54" s="147"/>
    </row>
    <row r="55" spans="1:24" ht="22.8">
      <c r="A55" s="4"/>
      <c r="B55" s="169"/>
      <c r="C55" s="169"/>
      <c r="D55" s="169"/>
      <c r="E55" s="169"/>
      <c r="F55" s="169"/>
      <c r="G55" s="169"/>
      <c r="H55" s="169"/>
      <c r="I55" s="169"/>
      <c r="J55" s="43"/>
      <c r="K55" s="146"/>
      <c r="L55" s="147"/>
    </row>
    <row r="56" spans="1:24" ht="22.8">
      <c r="A56" s="4"/>
      <c r="B56" s="169"/>
      <c r="C56" s="169"/>
      <c r="D56" s="169"/>
      <c r="E56" s="169"/>
      <c r="F56" s="169"/>
      <c r="G56" s="169"/>
      <c r="H56" s="169"/>
      <c r="I56" s="169"/>
      <c r="J56" s="43"/>
      <c r="K56" s="146"/>
      <c r="L56" s="147"/>
    </row>
    <row r="57" spans="1:24" ht="49.5" customHeight="1">
      <c r="A57" s="4"/>
      <c r="B57" s="169"/>
      <c r="C57" s="169"/>
      <c r="D57" s="169"/>
      <c r="E57" s="169"/>
      <c r="F57" s="169"/>
      <c r="G57" s="169"/>
      <c r="H57" s="169"/>
      <c r="I57" s="169"/>
      <c r="J57" s="43"/>
      <c r="K57" s="146"/>
      <c r="L57" s="147"/>
    </row>
    <row r="58" spans="1:24" ht="22.8">
      <c r="A58" s="4"/>
      <c r="B58" s="148"/>
      <c r="C58" s="148"/>
      <c r="D58" s="148"/>
      <c r="E58" s="148"/>
      <c r="F58" s="148"/>
      <c r="G58" s="148"/>
      <c r="H58" s="148"/>
      <c r="I58" s="148"/>
      <c r="J58" s="43"/>
      <c r="K58" s="146"/>
      <c r="L58" s="147"/>
    </row>
    <row r="59" spans="1:24" ht="22.8">
      <c r="A59" s="4"/>
      <c r="B59" s="148"/>
      <c r="C59" s="148"/>
      <c r="D59" s="148"/>
      <c r="E59" s="148"/>
      <c r="F59" s="148"/>
      <c r="G59" s="148"/>
      <c r="H59" s="148"/>
      <c r="I59" s="148"/>
      <c r="J59" s="43"/>
      <c r="K59" s="146"/>
      <c r="L59" s="147"/>
    </row>
    <row r="60" spans="1:24" ht="22.8">
      <c r="A60" s="4"/>
      <c r="B60" s="69" t="s">
        <v>32</v>
      </c>
      <c r="C60" s="148"/>
      <c r="D60" s="148"/>
      <c r="E60" s="148"/>
      <c r="F60" s="148"/>
      <c r="G60" s="148"/>
      <c r="H60" s="148"/>
      <c r="I60" s="148"/>
      <c r="J60" s="43"/>
      <c r="K60" s="146"/>
      <c r="L60" s="147"/>
      <c r="N60" s="4">
        <v>2940</v>
      </c>
      <c r="O60" s="155">
        <f>N60*18500</f>
        <v>54390000</v>
      </c>
    </row>
    <row r="61" spans="1:24" s="18" customFormat="1" ht="17.100000000000001" customHeight="1">
      <c r="B61" s="149" t="s">
        <v>33</v>
      </c>
      <c r="C61" s="148"/>
      <c r="D61" s="148"/>
      <c r="E61" s="148"/>
      <c r="F61" s="150"/>
      <c r="G61" s="150"/>
      <c r="H61" s="151"/>
      <c r="I61" s="43"/>
      <c r="J61" s="41"/>
      <c r="K61" s="41"/>
      <c r="L61" s="152"/>
      <c r="O61" s="156">
        <f>O60*1.5</f>
        <v>81585000</v>
      </c>
      <c r="T61" s="21"/>
      <c r="U61" s="21"/>
      <c r="V61" s="22"/>
      <c r="W61" s="21"/>
      <c r="X61" s="21"/>
    </row>
    <row r="62" spans="1:24" ht="17.100000000000001" customHeight="1">
      <c r="A62" s="4"/>
      <c r="B62" s="149"/>
      <c r="C62" s="148"/>
      <c r="D62" s="148"/>
      <c r="E62" s="148"/>
      <c r="F62" s="150"/>
      <c r="G62" s="150"/>
      <c r="H62" s="151"/>
      <c r="I62" s="43"/>
      <c r="J62" s="41"/>
      <c r="K62" s="41"/>
      <c r="L62" s="153"/>
      <c r="T62" s="23"/>
      <c r="U62" s="23"/>
      <c r="W62" s="23"/>
      <c r="X62" s="23"/>
    </row>
    <row r="63" spans="1:24" ht="17.100000000000001" customHeight="1">
      <c r="A63" s="4"/>
      <c r="B63" s="149"/>
      <c r="C63" s="148"/>
      <c r="D63" s="148"/>
      <c r="E63" s="148"/>
      <c r="F63" s="150"/>
      <c r="G63" s="150"/>
      <c r="H63" s="151"/>
      <c r="I63" s="43"/>
      <c r="J63" s="41"/>
      <c r="K63" s="41"/>
      <c r="L63" s="58"/>
      <c r="T63" s="23"/>
      <c r="U63" s="23"/>
      <c r="W63" s="23"/>
      <c r="X63" s="23"/>
    </row>
    <row r="64" spans="1:24" ht="17.100000000000001" customHeight="1">
      <c r="A64" s="4"/>
      <c r="B64" s="40"/>
      <c r="C64" s="148"/>
      <c r="D64" s="148"/>
      <c r="E64" s="148"/>
      <c r="F64" s="150"/>
      <c r="G64" s="150"/>
      <c r="H64" s="151"/>
      <c r="I64" s="43"/>
      <c r="J64" s="41"/>
      <c r="K64" s="41"/>
      <c r="L64" s="58"/>
      <c r="T64" s="23"/>
      <c r="U64" s="23"/>
      <c r="W64" s="23"/>
      <c r="X64" s="23"/>
    </row>
    <row r="65" spans="1:36" ht="17.100000000000001" customHeight="1">
      <c r="A65" s="4"/>
      <c r="B65" s="40"/>
      <c r="C65" s="148"/>
      <c r="D65" s="148"/>
      <c r="E65" s="148"/>
      <c r="F65" s="150"/>
      <c r="G65" s="150"/>
      <c r="H65" s="151"/>
      <c r="I65" s="43"/>
      <c r="J65" s="41"/>
      <c r="K65" s="41"/>
      <c r="L65" s="58"/>
      <c r="V65" s="4"/>
    </row>
    <row r="66" spans="1:36" ht="17.100000000000001" customHeight="1">
      <c r="A66" s="4"/>
      <c r="B66" s="154" t="s">
        <v>34</v>
      </c>
      <c r="C66" s="148"/>
      <c r="D66" s="148"/>
      <c r="E66" s="148"/>
      <c r="F66" s="150"/>
      <c r="G66" s="150"/>
      <c r="H66" s="151"/>
      <c r="I66" s="43"/>
      <c r="J66" s="41"/>
      <c r="K66" s="41"/>
      <c r="L66" s="58"/>
      <c r="V66" s="4"/>
      <c r="AH66" s="25"/>
      <c r="AJ66" s="25"/>
    </row>
    <row r="67" spans="1:36" ht="17.100000000000001" customHeight="1">
      <c r="A67" s="4"/>
      <c r="B67" s="160" t="s">
        <v>37</v>
      </c>
      <c r="C67" s="160"/>
      <c r="D67" s="160"/>
      <c r="E67" s="160"/>
      <c r="F67" s="150"/>
      <c r="G67" s="150"/>
      <c r="H67" s="151"/>
      <c r="I67" s="43"/>
      <c r="J67" s="41"/>
      <c r="K67" s="41"/>
      <c r="L67" s="58"/>
      <c r="V67" s="4"/>
    </row>
    <row r="68" spans="1:36" ht="17.100000000000001" customHeight="1">
      <c r="A68" s="4"/>
      <c r="B68" s="39" t="s">
        <v>38</v>
      </c>
      <c r="C68" s="41"/>
      <c r="D68" s="40"/>
      <c r="E68" s="41"/>
      <c r="F68" s="148"/>
      <c r="G68" s="148"/>
      <c r="H68" s="151"/>
      <c r="I68" s="43"/>
      <c r="J68" s="41"/>
      <c r="K68" s="41"/>
      <c r="L68" s="58"/>
      <c r="V68" s="4"/>
    </row>
    <row r="69" spans="1:36" ht="17.100000000000001" customHeight="1" thickBot="1">
      <c r="A69" s="4"/>
      <c r="B69" s="26"/>
      <c r="C69" s="26"/>
      <c r="D69" s="26"/>
      <c r="E69" s="27"/>
      <c r="F69" s="27"/>
      <c r="G69" s="27"/>
      <c r="H69" s="28"/>
      <c r="I69" s="28"/>
      <c r="J69" s="29"/>
      <c r="K69" s="29"/>
      <c r="L69" s="29"/>
      <c r="V69" s="4"/>
    </row>
    <row r="70" spans="1:36" ht="17.100000000000001" customHeight="1" thickTop="1">
      <c r="A70" s="4"/>
      <c r="B70" s="24"/>
      <c r="C70" s="24"/>
      <c r="D70" s="24"/>
      <c r="E70" s="20"/>
      <c r="F70" s="20"/>
      <c r="G70" s="20"/>
      <c r="H70" s="19"/>
      <c r="I70" s="19"/>
      <c r="J70" s="30"/>
      <c r="L70" s="31" t="s">
        <v>35</v>
      </c>
      <c r="V70" s="4"/>
    </row>
    <row r="71" spans="1:36" ht="17.100000000000001" customHeight="1">
      <c r="A71" s="4"/>
      <c r="B71" s="32"/>
      <c r="C71" s="33"/>
      <c r="D71" s="33"/>
      <c r="E71" s="32"/>
      <c r="F71" s="32"/>
      <c r="G71" s="32"/>
      <c r="H71" s="34"/>
      <c r="I71" s="34"/>
      <c r="J71" s="35"/>
      <c r="L71" s="36" t="s">
        <v>36</v>
      </c>
      <c r="V71" s="4"/>
    </row>
    <row r="72" spans="1:36">
      <c r="A72" s="4"/>
      <c r="V72" s="4"/>
    </row>
    <row r="73" spans="1:36">
      <c r="A73" s="4"/>
      <c r="V73" s="4"/>
    </row>
    <row r="74" spans="1:36">
      <c r="A74" s="4"/>
      <c r="V74" s="4"/>
    </row>
    <row r="75" spans="1:36">
      <c r="A75" s="4"/>
      <c r="V75" s="4"/>
    </row>
    <row r="76" spans="1:36">
      <c r="A76" s="4"/>
      <c r="V76" s="4"/>
    </row>
    <row r="77" spans="1:36">
      <c r="A77" s="4"/>
      <c r="V77" s="4"/>
    </row>
    <row r="78" spans="1:36">
      <c r="A78" s="4"/>
      <c r="V78" s="4"/>
    </row>
    <row r="79" spans="1:36">
      <c r="A79" s="4"/>
      <c r="V79" s="4"/>
    </row>
    <row r="80" spans="1:36">
      <c r="A80" s="4"/>
      <c r="V80" s="4"/>
    </row>
    <row r="81" spans="1:22">
      <c r="A81" s="4"/>
      <c r="V81" s="4"/>
    </row>
    <row r="82" spans="1:22">
      <c r="A82" s="4"/>
      <c r="V82" s="4"/>
    </row>
    <row r="83" spans="1:22">
      <c r="A83" s="4"/>
      <c r="V83" s="4"/>
    </row>
    <row r="84" spans="1:22">
      <c r="A84" s="4"/>
      <c r="V84" s="4"/>
    </row>
    <row r="85" spans="1:22">
      <c r="A85" s="4"/>
      <c r="V85" s="4"/>
    </row>
    <row r="86" spans="1:22">
      <c r="A86" s="4"/>
      <c r="V86" s="4"/>
    </row>
    <row r="87" spans="1:22">
      <c r="A87" s="4"/>
      <c r="V87" s="4"/>
    </row>
    <row r="88" spans="1:22">
      <c r="A88" s="4"/>
      <c r="V88" s="4"/>
    </row>
    <row r="89" spans="1:22">
      <c r="A89" s="4"/>
      <c r="V89" s="4"/>
    </row>
    <row r="90" spans="1:22">
      <c r="A90" s="4"/>
      <c r="V90" s="4"/>
    </row>
    <row r="91" spans="1:22">
      <c r="A91" s="4"/>
      <c r="V91" s="4"/>
    </row>
    <row r="92" spans="1:22">
      <c r="A92" s="4"/>
      <c r="V92" s="4"/>
    </row>
    <row r="93" spans="1:22">
      <c r="A93" s="4"/>
      <c r="V93" s="4"/>
    </row>
    <row r="94" spans="1:22">
      <c r="A94" s="4"/>
      <c r="V94" s="4"/>
    </row>
    <row r="95" spans="1:22">
      <c r="A95" s="4"/>
      <c r="V95" s="4"/>
    </row>
    <row r="96" spans="1:22">
      <c r="A96" s="4"/>
      <c r="V96" s="4"/>
    </row>
    <row r="97" spans="1:22">
      <c r="A97" s="4"/>
      <c r="V97" s="4"/>
    </row>
    <row r="98" spans="1:22">
      <c r="A98" s="4"/>
      <c r="V98" s="4"/>
    </row>
    <row r="99" spans="1:22">
      <c r="A99" s="4"/>
      <c r="V99" s="4"/>
    </row>
    <row r="100" spans="1:22">
      <c r="A100" s="4"/>
      <c r="V100" s="4"/>
    </row>
    <row r="101" spans="1:22">
      <c r="A101" s="4"/>
      <c r="V101" s="4"/>
    </row>
    <row r="102" spans="1:22">
      <c r="A102" s="4"/>
      <c r="V102" s="4"/>
    </row>
    <row r="103" spans="1:22">
      <c r="A103" s="4"/>
      <c r="V103" s="4"/>
    </row>
    <row r="104" spans="1:22">
      <c r="A104" s="4"/>
      <c r="V104" s="4"/>
    </row>
    <row r="105" spans="1:22">
      <c r="A105" s="4"/>
      <c r="V105" s="4"/>
    </row>
    <row r="106" spans="1:22">
      <c r="A106" s="4"/>
      <c r="V106" s="4"/>
    </row>
    <row r="107" spans="1:22">
      <c r="A107" s="4"/>
      <c r="V107" s="4"/>
    </row>
    <row r="108" spans="1:22">
      <c r="A108" s="4"/>
      <c r="V108" s="4"/>
    </row>
    <row r="109" spans="1:22">
      <c r="A109" s="4"/>
      <c r="V109" s="4"/>
    </row>
    <row r="110" spans="1:22">
      <c r="A110" s="4"/>
      <c r="V110" s="4"/>
    </row>
    <row r="111" spans="1:22">
      <c r="A111" s="4"/>
      <c r="V111" s="4"/>
    </row>
    <row r="112" spans="1:22">
      <c r="A112" s="4"/>
      <c r="V112" s="4"/>
    </row>
    <row r="113" spans="1:22">
      <c r="A113" s="4"/>
      <c r="V113" s="4"/>
    </row>
    <row r="114" spans="1:22">
      <c r="A114" s="4"/>
      <c r="V114" s="4"/>
    </row>
    <row r="115" spans="1:22">
      <c r="A115" s="4"/>
      <c r="V115" s="4"/>
    </row>
    <row r="116" spans="1:22">
      <c r="A116" s="4"/>
      <c r="V116" s="4"/>
    </row>
    <row r="117" spans="1:22">
      <c r="A117" s="4"/>
      <c r="V117" s="4"/>
    </row>
    <row r="118" spans="1:22">
      <c r="A118" s="4"/>
      <c r="V118" s="4"/>
    </row>
    <row r="119" spans="1:22">
      <c r="A119" s="4"/>
      <c r="V119" s="4"/>
    </row>
    <row r="120" spans="1:22">
      <c r="A120" s="4"/>
      <c r="V120" s="4"/>
    </row>
    <row r="121" spans="1:22">
      <c r="A121" s="4"/>
      <c r="V121" s="4"/>
    </row>
    <row r="122" spans="1:22">
      <c r="A122" s="4"/>
      <c r="V122" s="4"/>
    </row>
    <row r="123" spans="1:22">
      <c r="A123" s="4"/>
      <c r="V123" s="4"/>
    </row>
    <row r="124" spans="1:22">
      <c r="A124" s="4"/>
      <c r="V124" s="4"/>
    </row>
    <row r="125" spans="1:22">
      <c r="A125" s="4"/>
      <c r="V125" s="4"/>
    </row>
    <row r="126" spans="1:22">
      <c r="A126" s="4"/>
      <c r="V126" s="4"/>
    </row>
    <row r="127" spans="1:22">
      <c r="A127" s="4"/>
      <c r="V127" s="4"/>
    </row>
    <row r="128" spans="1:22">
      <c r="A128" s="4"/>
      <c r="V128" s="4"/>
    </row>
    <row r="129" spans="1:22">
      <c r="A129" s="4"/>
      <c r="V129" s="4"/>
    </row>
    <row r="130" spans="1:22">
      <c r="A130" s="4"/>
      <c r="V130" s="4"/>
    </row>
    <row r="131" spans="1:22">
      <c r="A131" s="4"/>
      <c r="V131" s="4"/>
    </row>
    <row r="132" spans="1:22">
      <c r="A132" s="4"/>
      <c r="V132" s="4"/>
    </row>
    <row r="133" spans="1:22">
      <c r="A133" s="4"/>
      <c r="V133" s="4"/>
    </row>
    <row r="134" spans="1:22">
      <c r="A134" s="4"/>
      <c r="V134" s="4"/>
    </row>
    <row r="135" spans="1:22">
      <c r="A135" s="4"/>
      <c r="V135" s="4"/>
    </row>
    <row r="136" spans="1:22">
      <c r="A136" s="4"/>
      <c r="V136" s="4"/>
    </row>
    <row r="137" spans="1:22">
      <c r="A137" s="4"/>
      <c r="V137" s="4"/>
    </row>
    <row r="138" spans="1:22">
      <c r="A138" s="4"/>
      <c r="V138" s="4"/>
    </row>
    <row r="139" spans="1:22">
      <c r="A139" s="4"/>
      <c r="V139" s="4"/>
    </row>
    <row r="140" spans="1:22">
      <c r="A140" s="4"/>
      <c r="V140" s="4"/>
    </row>
    <row r="141" spans="1:22">
      <c r="A141" s="4"/>
      <c r="V141" s="4"/>
    </row>
    <row r="142" spans="1:22">
      <c r="A142" s="4"/>
      <c r="V142" s="4"/>
    </row>
    <row r="143" spans="1:22">
      <c r="A143" s="4"/>
      <c r="V143" s="4"/>
    </row>
    <row r="144" spans="1:22">
      <c r="A144" s="4"/>
      <c r="V144" s="4"/>
    </row>
    <row r="145" spans="1:22">
      <c r="A145" s="4"/>
      <c r="V145" s="4"/>
    </row>
    <row r="146" spans="1:22">
      <c r="A146" s="4"/>
      <c r="V146" s="4"/>
    </row>
    <row r="147" spans="1:22">
      <c r="A147" s="4"/>
      <c r="V147" s="4"/>
    </row>
    <row r="148" spans="1:22">
      <c r="A148" s="4"/>
      <c r="V148" s="4"/>
    </row>
    <row r="149" spans="1:22">
      <c r="A149" s="4"/>
      <c r="V149" s="4"/>
    </row>
    <row r="150" spans="1:22">
      <c r="A150" s="4"/>
      <c r="V150" s="4"/>
    </row>
    <row r="151" spans="1:22">
      <c r="A151" s="4"/>
      <c r="V151" s="4"/>
    </row>
    <row r="152" spans="1:22">
      <c r="A152" s="4"/>
      <c r="V152" s="4"/>
    </row>
    <row r="153" spans="1:22">
      <c r="A153" s="4"/>
      <c r="V153" s="4"/>
    </row>
    <row r="154" spans="1:22">
      <c r="A154" s="4"/>
      <c r="V154" s="4"/>
    </row>
    <row r="155" spans="1:22">
      <c r="A155" s="4"/>
      <c r="V155" s="4"/>
    </row>
    <row r="156" spans="1:22">
      <c r="A156" s="4"/>
      <c r="V156" s="4"/>
    </row>
    <row r="157" spans="1:22">
      <c r="A157" s="4"/>
      <c r="V157" s="4"/>
    </row>
    <row r="158" spans="1:22">
      <c r="A158" s="4"/>
      <c r="V158" s="4"/>
    </row>
    <row r="159" spans="1:22">
      <c r="A159" s="4"/>
      <c r="V159" s="4"/>
    </row>
    <row r="160" spans="1:22">
      <c r="A160" s="4"/>
      <c r="V160" s="4"/>
    </row>
    <row r="161" spans="1:22">
      <c r="A161" s="4"/>
      <c r="V161" s="4"/>
    </row>
    <row r="162" spans="1:22">
      <c r="A162" s="4"/>
      <c r="V162" s="4"/>
    </row>
    <row r="163" spans="1:22">
      <c r="A163" s="4"/>
      <c r="V163" s="4"/>
    </row>
    <row r="164" spans="1:22">
      <c r="A164" s="4"/>
      <c r="V164" s="4"/>
    </row>
    <row r="165" spans="1:22">
      <c r="A165" s="4"/>
      <c r="V165" s="4"/>
    </row>
    <row r="166" spans="1:22">
      <c r="A166" s="4"/>
      <c r="V166" s="4"/>
    </row>
    <row r="167" spans="1:22">
      <c r="A167" s="4"/>
      <c r="V167" s="4"/>
    </row>
    <row r="168" spans="1:22">
      <c r="A168" s="4"/>
      <c r="V168" s="4"/>
    </row>
    <row r="169" spans="1:22">
      <c r="A169" s="4"/>
      <c r="V169" s="4"/>
    </row>
    <row r="170" spans="1:22">
      <c r="A170" s="4"/>
      <c r="V170" s="4"/>
    </row>
    <row r="171" spans="1:22">
      <c r="A171" s="4"/>
      <c r="V171" s="4"/>
    </row>
    <row r="172" spans="1:22">
      <c r="A172" s="4"/>
      <c r="V172" s="4"/>
    </row>
    <row r="173" spans="1:22">
      <c r="A173" s="4"/>
      <c r="V173" s="4"/>
    </row>
    <row r="174" spans="1:22">
      <c r="A174" s="4"/>
      <c r="V174" s="4"/>
    </row>
    <row r="175" spans="1:22">
      <c r="A175" s="4"/>
      <c r="V175" s="4"/>
    </row>
    <row r="176" spans="1:22">
      <c r="A176" s="4"/>
      <c r="V176" s="4"/>
    </row>
    <row r="177" spans="1:22">
      <c r="A177" s="4"/>
      <c r="V177" s="4"/>
    </row>
    <row r="178" spans="1:22">
      <c r="A178" s="4"/>
      <c r="V178" s="4"/>
    </row>
    <row r="179" spans="1:22">
      <c r="A179" s="4"/>
      <c r="V179" s="4"/>
    </row>
    <row r="180" spans="1:22">
      <c r="A180" s="4"/>
      <c r="V180" s="4"/>
    </row>
    <row r="181" spans="1:22">
      <c r="A181" s="4"/>
      <c r="V181" s="4"/>
    </row>
    <row r="182" spans="1:22">
      <c r="A182" s="4"/>
      <c r="V182" s="4"/>
    </row>
    <row r="183" spans="1:22">
      <c r="A183" s="4"/>
      <c r="V183" s="4"/>
    </row>
    <row r="184" spans="1:22">
      <c r="A184" s="4"/>
      <c r="V184" s="4"/>
    </row>
    <row r="185" spans="1:22">
      <c r="A185" s="4"/>
      <c r="V185" s="4"/>
    </row>
    <row r="186" spans="1:22">
      <c r="A186" s="4"/>
      <c r="V186" s="4"/>
    </row>
    <row r="187" spans="1:22">
      <c r="A187" s="4"/>
      <c r="V187" s="4"/>
    </row>
    <row r="188" spans="1:22">
      <c r="A188" s="4"/>
      <c r="V188" s="4"/>
    </row>
    <row r="189" spans="1:22">
      <c r="A189" s="4"/>
      <c r="V189" s="4"/>
    </row>
    <row r="190" spans="1:22">
      <c r="A190" s="4"/>
      <c r="V190" s="4"/>
    </row>
    <row r="191" spans="1:22">
      <c r="A191" s="4"/>
      <c r="V191" s="4"/>
    </row>
    <row r="192" spans="1:22">
      <c r="A192" s="4"/>
      <c r="V192" s="4"/>
    </row>
    <row r="193" spans="1:22">
      <c r="A193" s="4"/>
      <c r="V193" s="4"/>
    </row>
    <row r="194" spans="1:22">
      <c r="A194" s="4"/>
      <c r="V194" s="4"/>
    </row>
    <row r="195" spans="1:22">
      <c r="A195" s="4"/>
      <c r="V195" s="4"/>
    </row>
    <row r="196" spans="1:22">
      <c r="A196" s="4"/>
      <c r="V196" s="4"/>
    </row>
    <row r="197" spans="1:22">
      <c r="A197" s="4"/>
      <c r="V197" s="4"/>
    </row>
    <row r="198" spans="1:22">
      <c r="A198" s="4"/>
      <c r="V198" s="4"/>
    </row>
    <row r="199" spans="1:22">
      <c r="A199" s="4"/>
      <c r="V199" s="4"/>
    </row>
    <row r="200" spans="1:22">
      <c r="A200" s="4"/>
      <c r="V200" s="4"/>
    </row>
    <row r="201" spans="1:22">
      <c r="A201" s="4"/>
      <c r="V201" s="4"/>
    </row>
    <row r="202" spans="1:22">
      <c r="A202" s="4"/>
      <c r="V202" s="4"/>
    </row>
    <row r="203" spans="1:22">
      <c r="A203" s="4"/>
      <c r="V203" s="4"/>
    </row>
    <row r="204" spans="1:22">
      <c r="A204" s="4"/>
      <c r="V204" s="4"/>
    </row>
    <row r="205" spans="1:22">
      <c r="A205" s="4"/>
      <c r="V205" s="4"/>
    </row>
    <row r="206" spans="1:22">
      <c r="A206" s="4"/>
      <c r="V206" s="4"/>
    </row>
    <row r="207" spans="1:22">
      <c r="A207" s="4"/>
      <c r="V207" s="4"/>
    </row>
    <row r="208" spans="1:22">
      <c r="A208" s="4"/>
      <c r="V208" s="4"/>
    </row>
    <row r="209" spans="1:22">
      <c r="A209" s="4"/>
      <c r="V209" s="4"/>
    </row>
    <row r="210" spans="1:22">
      <c r="A210" s="4"/>
      <c r="V210" s="4"/>
    </row>
    <row r="211" spans="1:22">
      <c r="A211" s="4"/>
      <c r="V211" s="4"/>
    </row>
    <row r="212" spans="1:22">
      <c r="A212" s="4"/>
      <c r="V212" s="4"/>
    </row>
    <row r="213" spans="1:22">
      <c r="A213" s="4"/>
      <c r="V213" s="4"/>
    </row>
    <row r="214" spans="1:22">
      <c r="A214" s="4"/>
      <c r="V214" s="4"/>
    </row>
    <row r="215" spans="1:22">
      <c r="A215" s="4"/>
      <c r="V215" s="4"/>
    </row>
    <row r="216" spans="1:22">
      <c r="A216" s="4"/>
      <c r="V216" s="4"/>
    </row>
    <row r="217" spans="1:22">
      <c r="A217" s="4"/>
      <c r="V217" s="4"/>
    </row>
    <row r="218" spans="1:22">
      <c r="A218" s="4"/>
      <c r="V218" s="4"/>
    </row>
    <row r="219" spans="1:22">
      <c r="A219" s="4"/>
      <c r="V219" s="4"/>
    </row>
    <row r="220" spans="1:22">
      <c r="A220" s="4"/>
      <c r="V220" s="4"/>
    </row>
    <row r="221" spans="1:22">
      <c r="A221" s="4"/>
      <c r="V221" s="4"/>
    </row>
    <row r="222" spans="1:22">
      <c r="A222" s="4"/>
      <c r="V222" s="4"/>
    </row>
    <row r="223" spans="1:22">
      <c r="A223" s="4"/>
      <c r="V223" s="4"/>
    </row>
    <row r="224" spans="1:22">
      <c r="A224" s="4"/>
      <c r="V224" s="4"/>
    </row>
    <row r="225" spans="1:22">
      <c r="A225" s="4"/>
      <c r="V225" s="4"/>
    </row>
    <row r="226" spans="1:22">
      <c r="A226" s="4"/>
      <c r="V226" s="4"/>
    </row>
    <row r="227" spans="1:22">
      <c r="A227" s="4"/>
      <c r="V227" s="4"/>
    </row>
    <row r="228" spans="1:22">
      <c r="A228" s="4"/>
      <c r="V228" s="4"/>
    </row>
    <row r="229" spans="1:22">
      <c r="A229" s="4"/>
      <c r="V229" s="4"/>
    </row>
    <row r="230" spans="1:22">
      <c r="A230" s="4"/>
      <c r="V230" s="4"/>
    </row>
    <row r="231" spans="1:22">
      <c r="A231" s="4"/>
      <c r="V231" s="4"/>
    </row>
    <row r="232" spans="1:22">
      <c r="A232" s="4"/>
      <c r="V232" s="4"/>
    </row>
    <row r="233" spans="1:22">
      <c r="A233" s="4"/>
      <c r="V233" s="4"/>
    </row>
    <row r="234" spans="1:22">
      <c r="A234" s="4"/>
      <c r="V234" s="4"/>
    </row>
    <row r="235" spans="1:22">
      <c r="A235" s="4"/>
      <c r="V235" s="4"/>
    </row>
    <row r="236" spans="1:22">
      <c r="A236" s="4"/>
      <c r="V236" s="4"/>
    </row>
    <row r="237" spans="1:22">
      <c r="A237" s="4"/>
      <c r="V237" s="4"/>
    </row>
    <row r="238" spans="1:22">
      <c r="A238" s="4"/>
      <c r="V238" s="4"/>
    </row>
    <row r="239" spans="1:22">
      <c r="A239" s="4"/>
      <c r="V239" s="4"/>
    </row>
    <row r="240" spans="1:22">
      <c r="A240" s="4"/>
      <c r="V240" s="4"/>
    </row>
    <row r="241" spans="1:22">
      <c r="A241" s="4"/>
      <c r="V241" s="4"/>
    </row>
    <row r="242" spans="1:22">
      <c r="A242" s="4"/>
      <c r="V242" s="4"/>
    </row>
    <row r="243" spans="1:22">
      <c r="A243" s="4"/>
      <c r="V243" s="4"/>
    </row>
    <row r="244" spans="1:22">
      <c r="A244" s="4"/>
      <c r="V244" s="4"/>
    </row>
    <row r="245" spans="1:22">
      <c r="A245" s="4"/>
      <c r="V245" s="4"/>
    </row>
    <row r="246" spans="1:22">
      <c r="A246" s="4"/>
      <c r="V246" s="4"/>
    </row>
    <row r="247" spans="1:22">
      <c r="A247" s="4"/>
      <c r="V247" s="4"/>
    </row>
    <row r="248" spans="1:22">
      <c r="A248" s="4"/>
      <c r="V248" s="4"/>
    </row>
    <row r="249" spans="1:22">
      <c r="A249" s="4"/>
      <c r="V249" s="4"/>
    </row>
    <row r="250" spans="1:22">
      <c r="A250" s="4"/>
      <c r="V250" s="4"/>
    </row>
    <row r="251" spans="1:22">
      <c r="A251" s="4"/>
      <c r="V251" s="4"/>
    </row>
    <row r="252" spans="1:22">
      <c r="A252" s="4"/>
      <c r="V252" s="4"/>
    </row>
    <row r="253" spans="1:22">
      <c r="A253" s="4"/>
      <c r="V253" s="4"/>
    </row>
    <row r="254" spans="1:22">
      <c r="A254" s="4"/>
      <c r="V254" s="4"/>
    </row>
    <row r="255" spans="1:22">
      <c r="A255" s="4"/>
      <c r="V255" s="4"/>
    </row>
    <row r="256" spans="1:22">
      <c r="A256" s="4"/>
      <c r="V256" s="4"/>
    </row>
    <row r="257" spans="1:22">
      <c r="A257" s="4"/>
      <c r="V257" s="4"/>
    </row>
    <row r="258" spans="1:22">
      <c r="A258" s="4"/>
      <c r="V258" s="4"/>
    </row>
    <row r="259" spans="1:22">
      <c r="A259" s="4"/>
      <c r="V259" s="4"/>
    </row>
    <row r="260" spans="1:22">
      <c r="A260" s="4"/>
      <c r="V260" s="4"/>
    </row>
    <row r="261" spans="1:22">
      <c r="A261" s="4"/>
      <c r="V261" s="4"/>
    </row>
    <row r="262" spans="1:22">
      <c r="A262" s="4"/>
      <c r="V262" s="4"/>
    </row>
    <row r="263" spans="1:22">
      <c r="A263" s="4"/>
      <c r="V263" s="4"/>
    </row>
    <row r="264" spans="1:22">
      <c r="A264" s="4"/>
      <c r="V264" s="4"/>
    </row>
    <row r="265" spans="1:22">
      <c r="A265" s="4"/>
      <c r="V265" s="4"/>
    </row>
    <row r="266" spans="1:22">
      <c r="A266" s="4"/>
      <c r="V266" s="4"/>
    </row>
    <row r="267" spans="1:22">
      <c r="A267" s="4"/>
      <c r="V267" s="4"/>
    </row>
    <row r="268" spans="1:22">
      <c r="A268" s="4"/>
      <c r="V268" s="4"/>
    </row>
    <row r="269" spans="1:22">
      <c r="A269" s="4"/>
      <c r="V269" s="4"/>
    </row>
    <row r="270" spans="1:22">
      <c r="A270" s="4"/>
      <c r="V270" s="4"/>
    </row>
    <row r="271" spans="1:22">
      <c r="A271" s="4"/>
      <c r="V271" s="4"/>
    </row>
    <row r="272" spans="1:22">
      <c r="A272" s="4"/>
      <c r="V272" s="4"/>
    </row>
    <row r="273" spans="1:22">
      <c r="A273" s="4"/>
      <c r="V273" s="4"/>
    </row>
    <row r="274" spans="1:22">
      <c r="A274" s="4"/>
      <c r="V274" s="4"/>
    </row>
    <row r="275" spans="1:22">
      <c r="A275" s="4"/>
      <c r="V275" s="4"/>
    </row>
    <row r="276" spans="1:22">
      <c r="A276" s="4"/>
      <c r="V276" s="4"/>
    </row>
    <row r="277" spans="1:22">
      <c r="A277" s="4"/>
      <c r="V277" s="4"/>
    </row>
    <row r="278" spans="1:22">
      <c r="A278" s="4"/>
      <c r="V278" s="4"/>
    </row>
    <row r="279" spans="1:22">
      <c r="A279" s="4"/>
      <c r="V279" s="4"/>
    </row>
    <row r="280" spans="1:22">
      <c r="A280" s="4"/>
      <c r="V280" s="4"/>
    </row>
    <row r="281" spans="1:22">
      <c r="A281" s="4"/>
      <c r="V281" s="4"/>
    </row>
    <row r="282" spans="1:22">
      <c r="A282" s="4"/>
      <c r="V282" s="4"/>
    </row>
    <row r="283" spans="1:22">
      <c r="A283" s="4"/>
      <c r="V283" s="4"/>
    </row>
    <row r="284" spans="1:22">
      <c r="A284" s="4"/>
      <c r="V284" s="4"/>
    </row>
    <row r="285" spans="1:22">
      <c r="A285" s="4"/>
      <c r="V285" s="4"/>
    </row>
    <row r="286" spans="1:22">
      <c r="A286" s="4"/>
      <c r="V286" s="4"/>
    </row>
    <row r="287" spans="1:22">
      <c r="A287" s="4"/>
      <c r="V287" s="4"/>
    </row>
    <row r="288" spans="1:22">
      <c r="A288" s="4"/>
      <c r="V288" s="4"/>
    </row>
    <row r="289" spans="1:22">
      <c r="A289" s="4"/>
      <c r="V289" s="4"/>
    </row>
    <row r="290" spans="1:22">
      <c r="A290" s="4"/>
      <c r="V290" s="4"/>
    </row>
    <row r="291" spans="1:22">
      <c r="A291" s="4"/>
      <c r="V291" s="4"/>
    </row>
    <row r="292" spans="1:22">
      <c r="A292" s="4"/>
      <c r="V292" s="4"/>
    </row>
    <row r="293" spans="1:22">
      <c r="A293" s="4"/>
      <c r="V293" s="4"/>
    </row>
    <row r="294" spans="1:22">
      <c r="A294" s="4"/>
      <c r="V294" s="4"/>
    </row>
    <row r="295" spans="1:22">
      <c r="A295" s="4"/>
      <c r="V295" s="4"/>
    </row>
    <row r="296" spans="1:22">
      <c r="A296" s="4"/>
      <c r="V296" s="4"/>
    </row>
    <row r="297" spans="1:22">
      <c r="A297" s="4"/>
      <c r="V297" s="4"/>
    </row>
    <row r="298" spans="1:22">
      <c r="A298" s="4"/>
      <c r="V298" s="4"/>
    </row>
    <row r="299" spans="1:22">
      <c r="A299" s="4"/>
      <c r="V299" s="4"/>
    </row>
    <row r="300" spans="1:22">
      <c r="A300" s="4"/>
      <c r="V300" s="4"/>
    </row>
    <row r="301" spans="1:22">
      <c r="A301" s="4"/>
      <c r="V301" s="4"/>
    </row>
    <row r="302" spans="1:22">
      <c r="A302" s="4"/>
      <c r="V302" s="4"/>
    </row>
    <row r="303" spans="1:22">
      <c r="A303" s="4"/>
      <c r="V303" s="4"/>
    </row>
    <row r="304" spans="1:22">
      <c r="A304" s="4"/>
      <c r="V304" s="4"/>
    </row>
    <row r="305" spans="1:22">
      <c r="A305" s="4"/>
      <c r="V305" s="4"/>
    </row>
    <row r="306" spans="1:22">
      <c r="A306" s="4"/>
      <c r="V306" s="4"/>
    </row>
    <row r="307" spans="1:22">
      <c r="A307" s="4"/>
      <c r="V307" s="4"/>
    </row>
    <row r="308" spans="1:22">
      <c r="A308" s="4"/>
      <c r="V308" s="4"/>
    </row>
    <row r="309" spans="1:22">
      <c r="A309" s="4"/>
      <c r="V309" s="4"/>
    </row>
    <row r="310" spans="1:22">
      <c r="A310" s="4"/>
      <c r="V310" s="4"/>
    </row>
    <row r="311" spans="1:22">
      <c r="A311" s="4"/>
      <c r="V311" s="4"/>
    </row>
    <row r="312" spans="1:22">
      <c r="A312" s="4"/>
      <c r="V312" s="4"/>
    </row>
    <row r="313" spans="1:22">
      <c r="A313" s="4"/>
      <c r="V313" s="4"/>
    </row>
    <row r="314" spans="1:22">
      <c r="A314" s="4"/>
      <c r="V314" s="4"/>
    </row>
    <row r="315" spans="1:22">
      <c r="A315" s="4"/>
      <c r="V315" s="4"/>
    </row>
    <row r="316" spans="1:22">
      <c r="A316" s="4"/>
      <c r="V316" s="4"/>
    </row>
    <row r="317" spans="1:22">
      <c r="A317" s="4"/>
      <c r="V317" s="4"/>
    </row>
    <row r="318" spans="1:22">
      <c r="A318" s="4"/>
      <c r="V318" s="4"/>
    </row>
    <row r="319" spans="1:22">
      <c r="A319" s="4"/>
      <c r="V319" s="4"/>
    </row>
    <row r="320" spans="1:22">
      <c r="A320" s="4"/>
      <c r="V320" s="4"/>
    </row>
    <row r="321" spans="1:22">
      <c r="A321" s="4"/>
      <c r="V321" s="4"/>
    </row>
    <row r="322" spans="1:22">
      <c r="A322" s="4"/>
      <c r="V322" s="4"/>
    </row>
    <row r="323" spans="1:22">
      <c r="A323" s="4"/>
      <c r="V323" s="4"/>
    </row>
    <row r="324" spans="1:22">
      <c r="A324" s="4"/>
      <c r="V324" s="4"/>
    </row>
    <row r="325" spans="1:22">
      <c r="A325" s="4"/>
      <c r="V325" s="4"/>
    </row>
    <row r="326" spans="1:22">
      <c r="A326" s="4"/>
      <c r="V326" s="4"/>
    </row>
    <row r="327" spans="1:22">
      <c r="A327" s="4"/>
      <c r="V327" s="4"/>
    </row>
    <row r="328" spans="1:22">
      <c r="A328" s="4"/>
      <c r="V328" s="4"/>
    </row>
    <row r="329" spans="1:22">
      <c r="A329" s="4"/>
      <c r="V329" s="4"/>
    </row>
    <row r="330" spans="1:22">
      <c r="A330" s="4"/>
      <c r="V330" s="4"/>
    </row>
    <row r="331" spans="1:22">
      <c r="A331" s="4"/>
      <c r="V331" s="4"/>
    </row>
    <row r="332" spans="1:22">
      <c r="A332" s="4"/>
      <c r="V332" s="4"/>
    </row>
    <row r="333" spans="1:22">
      <c r="A333" s="4"/>
      <c r="V333" s="4"/>
    </row>
    <row r="334" spans="1:22">
      <c r="A334" s="4"/>
      <c r="V334" s="4"/>
    </row>
    <row r="335" spans="1:22">
      <c r="A335" s="4"/>
      <c r="V335" s="4"/>
    </row>
    <row r="336" spans="1:22">
      <c r="A336" s="4"/>
      <c r="V336" s="4"/>
    </row>
    <row r="337" spans="1:22">
      <c r="A337" s="4"/>
      <c r="V337" s="4"/>
    </row>
    <row r="338" spans="1:22">
      <c r="A338" s="4"/>
      <c r="V338" s="4"/>
    </row>
    <row r="339" spans="1:22">
      <c r="A339" s="4"/>
      <c r="V339" s="4"/>
    </row>
    <row r="340" spans="1:22">
      <c r="A340" s="4"/>
      <c r="V340" s="4"/>
    </row>
    <row r="341" spans="1:22">
      <c r="A341" s="4"/>
      <c r="V341" s="4"/>
    </row>
    <row r="342" spans="1:22">
      <c r="A342" s="4"/>
      <c r="V342" s="4"/>
    </row>
    <row r="343" spans="1:22">
      <c r="A343" s="4"/>
      <c r="V343" s="4"/>
    </row>
    <row r="344" spans="1:22">
      <c r="A344" s="4"/>
      <c r="V344" s="4"/>
    </row>
    <row r="345" spans="1:22">
      <c r="A345" s="4"/>
      <c r="V345" s="4"/>
    </row>
    <row r="346" spans="1:22">
      <c r="A346" s="4"/>
      <c r="V346" s="4"/>
    </row>
    <row r="347" spans="1:22">
      <c r="A347" s="4"/>
      <c r="V347" s="4"/>
    </row>
    <row r="348" spans="1:22">
      <c r="A348" s="4"/>
      <c r="V348" s="4"/>
    </row>
    <row r="349" spans="1:22">
      <c r="A349" s="4"/>
      <c r="V349" s="4"/>
    </row>
    <row r="350" spans="1:22">
      <c r="A350" s="4"/>
      <c r="V350" s="4"/>
    </row>
    <row r="351" spans="1:22">
      <c r="A351" s="4"/>
      <c r="V351" s="4"/>
    </row>
    <row r="352" spans="1:22">
      <c r="A352" s="4"/>
      <c r="V352" s="4"/>
    </row>
    <row r="353" spans="1:22">
      <c r="A353" s="4"/>
      <c r="V353" s="4"/>
    </row>
    <row r="354" spans="1:22">
      <c r="A354" s="4"/>
      <c r="V354" s="4"/>
    </row>
    <row r="355" spans="1:22">
      <c r="A355" s="4"/>
      <c r="V355" s="4"/>
    </row>
    <row r="356" spans="1:22">
      <c r="A356" s="4"/>
      <c r="V356" s="4"/>
    </row>
    <row r="357" spans="1:22">
      <c r="A357" s="4"/>
      <c r="V357" s="4"/>
    </row>
    <row r="358" spans="1:22">
      <c r="A358" s="4"/>
      <c r="V358" s="4"/>
    </row>
    <row r="359" spans="1:22">
      <c r="A359" s="4"/>
      <c r="V359" s="4"/>
    </row>
    <row r="360" spans="1:22">
      <c r="A360" s="4"/>
      <c r="V360" s="4"/>
    </row>
    <row r="361" spans="1:22">
      <c r="A361" s="4"/>
      <c r="V361" s="4"/>
    </row>
    <row r="362" spans="1:22">
      <c r="A362" s="4"/>
      <c r="V362" s="4"/>
    </row>
    <row r="363" spans="1:22">
      <c r="A363" s="4"/>
      <c r="V363" s="4"/>
    </row>
    <row r="364" spans="1:22">
      <c r="A364" s="4"/>
      <c r="V364" s="4"/>
    </row>
    <row r="365" spans="1:22">
      <c r="A365" s="4"/>
      <c r="V365" s="4"/>
    </row>
    <row r="366" spans="1:22">
      <c r="A366" s="4"/>
      <c r="V366" s="4"/>
    </row>
    <row r="367" spans="1:22">
      <c r="A367" s="4"/>
      <c r="V367" s="4"/>
    </row>
    <row r="368" spans="1:22">
      <c r="A368" s="4"/>
      <c r="V368" s="4"/>
    </row>
    <row r="369" spans="1:22">
      <c r="A369" s="4"/>
      <c r="V369" s="4"/>
    </row>
    <row r="370" spans="1:22">
      <c r="A370" s="4"/>
      <c r="V370" s="4"/>
    </row>
    <row r="371" spans="1:22">
      <c r="A371" s="4"/>
      <c r="V371" s="4"/>
    </row>
    <row r="372" spans="1:22">
      <c r="A372" s="4"/>
      <c r="V372" s="4"/>
    </row>
    <row r="373" spans="1:22">
      <c r="A373" s="4"/>
      <c r="V373" s="4"/>
    </row>
    <row r="374" spans="1:22">
      <c r="A374" s="4"/>
      <c r="V374" s="4"/>
    </row>
    <row r="375" spans="1:22">
      <c r="A375" s="4"/>
      <c r="V375" s="4"/>
    </row>
    <row r="376" spans="1:22">
      <c r="A376" s="4"/>
      <c r="V376" s="4"/>
    </row>
    <row r="377" spans="1:22">
      <c r="A377" s="4"/>
      <c r="V377" s="4"/>
    </row>
    <row r="378" spans="1:22">
      <c r="A378" s="4"/>
      <c r="V378" s="4"/>
    </row>
    <row r="379" spans="1:22">
      <c r="A379" s="4"/>
      <c r="V379" s="4"/>
    </row>
    <row r="380" spans="1:22">
      <c r="A380" s="4"/>
      <c r="V380" s="4"/>
    </row>
    <row r="381" spans="1:22">
      <c r="A381" s="4"/>
      <c r="V381" s="4"/>
    </row>
    <row r="382" spans="1:22">
      <c r="A382" s="4"/>
      <c r="V382" s="4"/>
    </row>
    <row r="383" spans="1:22">
      <c r="A383" s="4"/>
      <c r="V383" s="4"/>
    </row>
    <row r="384" spans="1:22">
      <c r="A384" s="4"/>
      <c r="V384" s="4"/>
    </row>
    <row r="385" spans="1:22">
      <c r="A385" s="4"/>
      <c r="V385" s="4"/>
    </row>
    <row r="386" spans="1:22">
      <c r="A386" s="4"/>
      <c r="V386" s="4"/>
    </row>
    <row r="387" spans="1:22">
      <c r="A387" s="4"/>
      <c r="V387" s="4"/>
    </row>
    <row r="388" spans="1:22">
      <c r="A388" s="4"/>
      <c r="V388" s="4"/>
    </row>
    <row r="389" spans="1:22">
      <c r="A389" s="4"/>
      <c r="V389" s="4"/>
    </row>
    <row r="390" spans="1:22">
      <c r="A390" s="4"/>
      <c r="V390" s="4"/>
    </row>
    <row r="391" spans="1:22">
      <c r="A391" s="4"/>
      <c r="V391" s="4"/>
    </row>
    <row r="392" spans="1:22">
      <c r="A392" s="4"/>
      <c r="V392" s="4"/>
    </row>
    <row r="393" spans="1:22">
      <c r="A393" s="4"/>
      <c r="V393" s="4"/>
    </row>
    <row r="394" spans="1:22">
      <c r="A394" s="4"/>
      <c r="V394" s="4"/>
    </row>
    <row r="395" spans="1:22">
      <c r="A395" s="4"/>
      <c r="V395" s="4"/>
    </row>
    <row r="396" spans="1:22">
      <c r="A396" s="4"/>
      <c r="V396" s="4"/>
    </row>
    <row r="397" spans="1:22">
      <c r="A397" s="4"/>
      <c r="V397" s="4"/>
    </row>
    <row r="398" spans="1:22">
      <c r="A398" s="4"/>
      <c r="V398" s="4"/>
    </row>
    <row r="399" spans="1:22">
      <c r="A399" s="4"/>
      <c r="V399" s="4"/>
    </row>
    <row r="400" spans="1:22">
      <c r="A400" s="4"/>
      <c r="V400" s="4"/>
    </row>
    <row r="401" spans="1:22">
      <c r="A401" s="4"/>
      <c r="V401" s="4"/>
    </row>
    <row r="402" spans="1:22">
      <c r="A402" s="4"/>
      <c r="V402" s="4"/>
    </row>
    <row r="403" spans="1:22">
      <c r="A403" s="4"/>
      <c r="V403" s="4"/>
    </row>
    <row r="404" spans="1:22">
      <c r="A404" s="4"/>
      <c r="V404" s="4"/>
    </row>
    <row r="405" spans="1:22">
      <c r="A405" s="4"/>
      <c r="V405" s="4"/>
    </row>
    <row r="406" spans="1:22">
      <c r="A406" s="4"/>
      <c r="V406" s="4"/>
    </row>
    <row r="407" spans="1:22">
      <c r="A407" s="4"/>
      <c r="V407" s="4"/>
    </row>
    <row r="408" spans="1:22">
      <c r="A408" s="4"/>
      <c r="V408" s="4"/>
    </row>
    <row r="409" spans="1:22">
      <c r="A409" s="4"/>
      <c r="V409" s="4"/>
    </row>
    <row r="410" spans="1:22">
      <c r="A410" s="4"/>
      <c r="V410" s="4"/>
    </row>
    <row r="411" spans="1:22">
      <c r="A411" s="4"/>
      <c r="V411" s="4"/>
    </row>
    <row r="412" spans="1:22">
      <c r="A412" s="4"/>
      <c r="V412" s="4"/>
    </row>
    <row r="413" spans="1:22">
      <c r="A413" s="4"/>
      <c r="V413" s="4"/>
    </row>
    <row r="414" spans="1:22">
      <c r="A414" s="4"/>
      <c r="V414" s="4"/>
    </row>
    <row r="415" spans="1:22">
      <c r="A415" s="4"/>
      <c r="V415" s="4"/>
    </row>
    <row r="416" spans="1:22">
      <c r="A416" s="4"/>
      <c r="V416" s="4"/>
    </row>
    <row r="417" spans="1:22">
      <c r="A417" s="4"/>
      <c r="V417" s="4"/>
    </row>
    <row r="418" spans="1:22">
      <c r="A418" s="4"/>
      <c r="V418" s="4"/>
    </row>
    <row r="419" spans="1:22">
      <c r="A419" s="4"/>
      <c r="V419" s="4"/>
    </row>
    <row r="420" spans="1:22">
      <c r="A420" s="4"/>
      <c r="V420" s="4"/>
    </row>
    <row r="421" spans="1:22">
      <c r="A421" s="4"/>
      <c r="V421" s="4"/>
    </row>
    <row r="422" spans="1:22">
      <c r="A422" s="4"/>
      <c r="V422" s="4"/>
    </row>
    <row r="423" spans="1:22">
      <c r="A423" s="4"/>
      <c r="V423" s="4"/>
    </row>
    <row r="424" spans="1:22">
      <c r="A424" s="4"/>
      <c r="V424" s="4"/>
    </row>
    <row r="425" spans="1:22">
      <c r="A425" s="4"/>
      <c r="V425" s="4"/>
    </row>
    <row r="426" spans="1:22">
      <c r="A426" s="4"/>
      <c r="V426" s="4"/>
    </row>
    <row r="427" spans="1:22">
      <c r="A427" s="4"/>
      <c r="V427" s="4"/>
    </row>
    <row r="428" spans="1:22">
      <c r="A428" s="4"/>
      <c r="V428" s="4"/>
    </row>
    <row r="429" spans="1:22">
      <c r="A429" s="4"/>
      <c r="V429" s="4"/>
    </row>
    <row r="430" spans="1:22">
      <c r="A430" s="4"/>
      <c r="V430" s="4"/>
    </row>
    <row r="431" spans="1:22">
      <c r="A431" s="4"/>
      <c r="V431" s="4"/>
    </row>
    <row r="432" spans="1:22">
      <c r="A432" s="4"/>
      <c r="V432" s="4"/>
    </row>
    <row r="433" spans="1:22">
      <c r="A433" s="4"/>
      <c r="V433" s="4"/>
    </row>
    <row r="434" spans="1:22">
      <c r="A434" s="4"/>
      <c r="V434" s="4"/>
    </row>
    <row r="435" spans="1:22">
      <c r="A435" s="4"/>
      <c r="V435" s="4"/>
    </row>
    <row r="436" spans="1:22">
      <c r="A436" s="4"/>
      <c r="V436" s="4"/>
    </row>
    <row r="437" spans="1:22">
      <c r="A437" s="4"/>
      <c r="V437" s="4"/>
    </row>
    <row r="438" spans="1:22">
      <c r="A438" s="4"/>
      <c r="V438" s="4"/>
    </row>
    <row r="439" spans="1:22">
      <c r="A439" s="4"/>
      <c r="V439" s="4"/>
    </row>
    <row r="440" spans="1:22">
      <c r="A440" s="4"/>
      <c r="V440" s="4"/>
    </row>
    <row r="441" spans="1:22">
      <c r="A441" s="4"/>
      <c r="V441" s="4"/>
    </row>
    <row r="442" spans="1:22">
      <c r="A442" s="4"/>
      <c r="V442" s="4"/>
    </row>
    <row r="443" spans="1:22">
      <c r="A443" s="4"/>
      <c r="V443" s="4"/>
    </row>
    <row r="444" spans="1:22">
      <c r="A444" s="4"/>
      <c r="V444" s="4"/>
    </row>
    <row r="445" spans="1:22">
      <c r="A445" s="4"/>
      <c r="V445" s="4"/>
    </row>
    <row r="446" spans="1:22">
      <c r="A446" s="4"/>
      <c r="V446" s="4"/>
    </row>
    <row r="447" spans="1:22">
      <c r="A447" s="4"/>
      <c r="V447" s="4"/>
    </row>
    <row r="448" spans="1:22">
      <c r="A448" s="4"/>
      <c r="V448" s="4"/>
    </row>
    <row r="449" spans="1:22">
      <c r="A449" s="4"/>
      <c r="V449" s="4"/>
    </row>
    <row r="450" spans="1:22">
      <c r="A450" s="4"/>
      <c r="V450" s="4"/>
    </row>
    <row r="451" spans="1:22">
      <c r="A451" s="4"/>
      <c r="V451" s="4"/>
    </row>
    <row r="452" spans="1:22">
      <c r="A452" s="4"/>
      <c r="V452" s="4"/>
    </row>
    <row r="453" spans="1:22">
      <c r="A453" s="4"/>
      <c r="V453" s="4"/>
    </row>
    <row r="454" spans="1:22">
      <c r="A454" s="4"/>
      <c r="V454" s="4"/>
    </row>
    <row r="455" spans="1:22">
      <c r="A455" s="4"/>
      <c r="V455" s="4"/>
    </row>
    <row r="456" spans="1:22">
      <c r="A456" s="4"/>
      <c r="V456" s="4"/>
    </row>
    <row r="457" spans="1:22">
      <c r="A457" s="4"/>
      <c r="V457" s="4"/>
    </row>
    <row r="458" spans="1:22">
      <c r="A458" s="4"/>
      <c r="V458" s="4"/>
    </row>
    <row r="459" spans="1:22">
      <c r="A459" s="4"/>
      <c r="V459" s="4"/>
    </row>
    <row r="460" spans="1:22">
      <c r="A460" s="4"/>
      <c r="V460" s="4"/>
    </row>
    <row r="461" spans="1:22">
      <c r="A461" s="4"/>
      <c r="V461" s="4"/>
    </row>
    <row r="462" spans="1:22">
      <c r="A462" s="4"/>
      <c r="V462" s="4"/>
    </row>
    <row r="463" spans="1:22">
      <c r="A463" s="4"/>
      <c r="V463" s="4"/>
    </row>
    <row r="464" spans="1:22">
      <c r="A464" s="4"/>
      <c r="V464" s="4"/>
    </row>
    <row r="465" spans="1:22">
      <c r="A465" s="4"/>
      <c r="V465" s="4"/>
    </row>
    <row r="466" spans="1:22">
      <c r="A466" s="4"/>
      <c r="V466" s="4"/>
    </row>
    <row r="467" spans="1:22">
      <c r="A467" s="4"/>
      <c r="V467" s="4"/>
    </row>
    <row r="468" spans="1:22">
      <c r="A468" s="4"/>
      <c r="V468" s="4"/>
    </row>
    <row r="469" spans="1:22">
      <c r="A469" s="4"/>
      <c r="V469" s="4"/>
    </row>
    <row r="470" spans="1:22">
      <c r="A470" s="4"/>
      <c r="V470" s="4"/>
    </row>
    <row r="471" spans="1:22">
      <c r="A471" s="4"/>
      <c r="V471" s="4"/>
    </row>
    <row r="472" spans="1:22">
      <c r="A472" s="4"/>
      <c r="V472" s="4"/>
    </row>
    <row r="473" spans="1:22">
      <c r="A473" s="4"/>
      <c r="V473" s="4"/>
    </row>
    <row r="474" spans="1:22">
      <c r="A474" s="4"/>
      <c r="V474" s="4"/>
    </row>
    <row r="475" spans="1:22">
      <c r="A475" s="4"/>
      <c r="V475" s="4"/>
    </row>
    <row r="476" spans="1:22">
      <c r="A476" s="4"/>
      <c r="V476" s="4"/>
    </row>
    <row r="477" spans="1:22">
      <c r="A477" s="4"/>
      <c r="V477" s="4"/>
    </row>
    <row r="478" spans="1:22">
      <c r="A478" s="4"/>
      <c r="V478" s="4"/>
    </row>
    <row r="479" spans="1:22">
      <c r="A479" s="4"/>
      <c r="V479" s="4"/>
    </row>
    <row r="480" spans="1:22">
      <c r="A480" s="4"/>
      <c r="V480" s="4"/>
    </row>
    <row r="481" spans="1:22">
      <c r="A481" s="4"/>
      <c r="V481" s="4"/>
    </row>
    <row r="482" spans="1:22">
      <c r="A482" s="4"/>
      <c r="V482" s="4"/>
    </row>
    <row r="483" spans="1:22">
      <c r="A483" s="4"/>
      <c r="V483" s="4"/>
    </row>
    <row r="484" spans="1:22">
      <c r="A484" s="4"/>
      <c r="V484" s="4"/>
    </row>
    <row r="485" spans="1:22">
      <c r="A485" s="4"/>
      <c r="V485" s="4"/>
    </row>
    <row r="486" spans="1:22">
      <c r="A486" s="4"/>
      <c r="V486" s="4"/>
    </row>
    <row r="487" spans="1:22">
      <c r="A487" s="4"/>
      <c r="V487" s="4"/>
    </row>
    <row r="488" spans="1:22">
      <c r="A488" s="4"/>
      <c r="V488" s="4"/>
    </row>
    <row r="489" spans="1:22">
      <c r="A489" s="4"/>
      <c r="V489" s="4"/>
    </row>
    <row r="490" spans="1:22">
      <c r="A490" s="4"/>
      <c r="V490" s="4"/>
    </row>
    <row r="491" spans="1:22">
      <c r="A491" s="4"/>
      <c r="V491" s="4"/>
    </row>
    <row r="492" spans="1:22">
      <c r="A492" s="4"/>
      <c r="V492" s="4"/>
    </row>
    <row r="493" spans="1:22">
      <c r="A493" s="4"/>
      <c r="V493" s="4"/>
    </row>
    <row r="494" spans="1:22">
      <c r="A494" s="4"/>
      <c r="V494" s="4"/>
    </row>
    <row r="495" spans="1:22">
      <c r="A495" s="4"/>
      <c r="V495" s="4"/>
    </row>
    <row r="496" spans="1:22">
      <c r="A496" s="4"/>
      <c r="V496" s="4"/>
    </row>
    <row r="497" spans="1:22">
      <c r="A497" s="4"/>
      <c r="V497" s="4"/>
    </row>
    <row r="498" spans="1:22">
      <c r="A498" s="4"/>
      <c r="V498" s="4"/>
    </row>
    <row r="499" spans="1:22">
      <c r="A499" s="4"/>
      <c r="V499" s="4"/>
    </row>
    <row r="500" spans="1:22">
      <c r="A500" s="4"/>
      <c r="V500" s="4"/>
    </row>
    <row r="501" spans="1:22">
      <c r="A501" s="4"/>
      <c r="V501" s="4"/>
    </row>
    <row r="502" spans="1:22">
      <c r="A502" s="4"/>
      <c r="V502" s="4"/>
    </row>
    <row r="503" spans="1:22">
      <c r="A503" s="4"/>
      <c r="V503" s="4"/>
    </row>
    <row r="504" spans="1:22">
      <c r="A504" s="4"/>
      <c r="V504" s="4"/>
    </row>
    <row r="505" spans="1:22">
      <c r="A505" s="4"/>
      <c r="V505" s="4"/>
    </row>
    <row r="506" spans="1:22">
      <c r="A506" s="4"/>
      <c r="V506" s="4"/>
    </row>
    <row r="507" spans="1:22">
      <c r="A507" s="4"/>
      <c r="V507" s="4"/>
    </row>
    <row r="508" spans="1:22">
      <c r="A508" s="4"/>
      <c r="V508" s="4"/>
    </row>
    <row r="509" spans="1:22">
      <c r="A509" s="4"/>
      <c r="V509" s="4"/>
    </row>
    <row r="510" spans="1:22">
      <c r="A510" s="4"/>
      <c r="V510" s="4"/>
    </row>
    <row r="511" spans="1:22">
      <c r="A511" s="4"/>
      <c r="V511" s="4"/>
    </row>
    <row r="512" spans="1:22">
      <c r="A512" s="4"/>
      <c r="V512" s="4"/>
    </row>
    <row r="513" spans="1:22">
      <c r="A513" s="4"/>
      <c r="V513" s="4"/>
    </row>
    <row r="514" spans="1:22">
      <c r="A514" s="4"/>
      <c r="V514" s="4"/>
    </row>
    <row r="515" spans="1:22">
      <c r="A515" s="4"/>
      <c r="V515" s="4"/>
    </row>
    <row r="516" spans="1:22">
      <c r="A516" s="4"/>
      <c r="V516" s="4"/>
    </row>
    <row r="517" spans="1:22">
      <c r="A517" s="4"/>
      <c r="V517" s="4"/>
    </row>
    <row r="518" spans="1:22">
      <c r="A518" s="4"/>
      <c r="V518" s="4"/>
    </row>
    <row r="519" spans="1:22">
      <c r="A519" s="4"/>
      <c r="V519" s="4"/>
    </row>
    <row r="520" spans="1:22">
      <c r="A520" s="4"/>
      <c r="V520" s="4"/>
    </row>
    <row r="521" spans="1:22">
      <c r="A521" s="4"/>
      <c r="V521" s="4"/>
    </row>
    <row r="522" spans="1:22">
      <c r="A522" s="4"/>
      <c r="V522" s="4"/>
    </row>
    <row r="523" spans="1:22">
      <c r="A523" s="4"/>
      <c r="V523" s="4"/>
    </row>
    <row r="524" spans="1:22">
      <c r="A524" s="4"/>
      <c r="V524" s="4"/>
    </row>
    <row r="525" spans="1:22">
      <c r="A525" s="4"/>
      <c r="V525" s="4"/>
    </row>
    <row r="526" spans="1:22">
      <c r="A526" s="4"/>
      <c r="V526" s="4"/>
    </row>
    <row r="527" spans="1:22">
      <c r="A527" s="4"/>
      <c r="V527" s="4"/>
    </row>
    <row r="528" spans="1:22">
      <c r="A528" s="4"/>
      <c r="V528" s="4"/>
    </row>
    <row r="529" spans="1:22">
      <c r="A529" s="4"/>
      <c r="V529" s="4"/>
    </row>
    <row r="530" spans="1:22">
      <c r="A530" s="4"/>
      <c r="V530" s="4"/>
    </row>
    <row r="531" spans="1:22">
      <c r="A531" s="4"/>
      <c r="V531" s="4"/>
    </row>
    <row r="532" spans="1:22">
      <c r="A532" s="4"/>
      <c r="V532" s="4"/>
    </row>
    <row r="533" spans="1:22">
      <c r="A533" s="4"/>
      <c r="V533" s="4"/>
    </row>
    <row r="534" spans="1:22">
      <c r="A534" s="4"/>
      <c r="V534" s="4"/>
    </row>
    <row r="535" spans="1:22">
      <c r="A535" s="4"/>
      <c r="V535" s="4"/>
    </row>
    <row r="536" spans="1:22">
      <c r="A536" s="4"/>
      <c r="V536" s="4"/>
    </row>
    <row r="537" spans="1:22">
      <c r="A537" s="4"/>
      <c r="V537" s="4"/>
    </row>
    <row r="538" spans="1:22">
      <c r="A538" s="4"/>
      <c r="V538" s="4"/>
    </row>
    <row r="539" spans="1:22">
      <c r="A539" s="4"/>
      <c r="V539" s="4"/>
    </row>
    <row r="540" spans="1:22">
      <c r="A540" s="4"/>
      <c r="V540" s="4"/>
    </row>
    <row r="541" spans="1:22">
      <c r="A541" s="4"/>
      <c r="V541" s="4"/>
    </row>
    <row r="542" spans="1:22">
      <c r="A542" s="4"/>
      <c r="V542" s="4"/>
    </row>
    <row r="543" spans="1:22">
      <c r="A543" s="4"/>
      <c r="V543" s="4"/>
    </row>
    <row r="544" spans="1:22">
      <c r="A544" s="4"/>
      <c r="V544" s="4"/>
    </row>
    <row r="545" spans="1:22">
      <c r="A545" s="4"/>
      <c r="V545" s="4"/>
    </row>
    <row r="546" spans="1:22">
      <c r="A546" s="4"/>
      <c r="V546" s="4"/>
    </row>
    <row r="547" spans="1:22">
      <c r="A547" s="4"/>
      <c r="V547" s="4"/>
    </row>
    <row r="548" spans="1:22">
      <c r="A548" s="4"/>
      <c r="V548" s="4"/>
    </row>
    <row r="549" spans="1:22">
      <c r="A549" s="4"/>
      <c r="V549" s="4"/>
    </row>
    <row r="550" spans="1:22">
      <c r="A550" s="4"/>
      <c r="V550" s="4"/>
    </row>
    <row r="551" spans="1:22">
      <c r="A551" s="4"/>
      <c r="V551" s="4"/>
    </row>
    <row r="552" spans="1:22">
      <c r="A552" s="4"/>
      <c r="V552" s="4"/>
    </row>
    <row r="553" spans="1:22">
      <c r="A553" s="4"/>
      <c r="V553" s="4"/>
    </row>
    <row r="554" spans="1:22">
      <c r="A554" s="4"/>
      <c r="V554" s="4"/>
    </row>
    <row r="555" spans="1:22">
      <c r="A555" s="4"/>
      <c r="V555" s="4"/>
    </row>
    <row r="556" spans="1:22">
      <c r="A556" s="4"/>
      <c r="V556" s="4"/>
    </row>
    <row r="557" spans="1:22">
      <c r="A557" s="4"/>
      <c r="V557" s="4"/>
    </row>
    <row r="558" spans="1:22">
      <c r="A558" s="4"/>
      <c r="V558" s="4"/>
    </row>
    <row r="559" spans="1:22">
      <c r="A559" s="4"/>
      <c r="V559" s="4"/>
    </row>
    <row r="560" spans="1:22">
      <c r="A560" s="4"/>
      <c r="V560" s="4"/>
    </row>
    <row r="561" spans="1:22">
      <c r="A561" s="4"/>
      <c r="V561" s="4"/>
    </row>
    <row r="562" spans="1:22">
      <c r="A562" s="4"/>
      <c r="V562" s="4"/>
    </row>
    <row r="563" spans="1:22">
      <c r="A563" s="4"/>
      <c r="V563" s="4"/>
    </row>
    <row r="564" spans="1:22">
      <c r="A564" s="4"/>
      <c r="V564" s="4"/>
    </row>
    <row r="565" spans="1:22">
      <c r="A565" s="4"/>
      <c r="V565" s="4"/>
    </row>
    <row r="566" spans="1:22">
      <c r="A566" s="4"/>
      <c r="V566" s="4"/>
    </row>
    <row r="567" spans="1:22">
      <c r="A567" s="4"/>
      <c r="V567" s="4"/>
    </row>
    <row r="568" spans="1:22">
      <c r="A568" s="4"/>
      <c r="V568" s="4"/>
    </row>
    <row r="569" spans="1:22">
      <c r="A569" s="4"/>
      <c r="V569" s="4"/>
    </row>
    <row r="570" spans="1:22">
      <c r="A570" s="4"/>
      <c r="V570" s="4"/>
    </row>
    <row r="571" spans="1:22">
      <c r="A571" s="4"/>
      <c r="V571" s="4"/>
    </row>
    <row r="572" spans="1:22">
      <c r="A572" s="4"/>
      <c r="V572" s="4"/>
    </row>
    <row r="573" spans="1:22">
      <c r="A573" s="4"/>
      <c r="V573" s="4"/>
    </row>
    <row r="574" spans="1:22">
      <c r="A574" s="4"/>
      <c r="V574" s="4"/>
    </row>
    <row r="575" spans="1:22">
      <c r="A575" s="4"/>
      <c r="V575" s="4"/>
    </row>
    <row r="576" spans="1:22">
      <c r="A576" s="4"/>
      <c r="V576" s="4"/>
    </row>
    <row r="577" spans="1:22">
      <c r="A577" s="4"/>
      <c r="V577" s="4"/>
    </row>
    <row r="578" spans="1:22">
      <c r="A578" s="4"/>
      <c r="V578" s="4"/>
    </row>
    <row r="579" spans="1:22">
      <c r="A579" s="4"/>
      <c r="V579" s="4"/>
    </row>
    <row r="580" spans="1:22">
      <c r="A580" s="4"/>
      <c r="V580" s="4"/>
    </row>
    <row r="581" spans="1:22">
      <c r="A581" s="4"/>
      <c r="V581" s="4"/>
    </row>
    <row r="582" spans="1:22">
      <c r="A582" s="4"/>
      <c r="V582" s="4"/>
    </row>
    <row r="583" spans="1:22">
      <c r="A583" s="4"/>
      <c r="V583" s="4"/>
    </row>
    <row r="584" spans="1:22">
      <c r="A584" s="4"/>
      <c r="V584" s="4"/>
    </row>
    <row r="585" spans="1:22">
      <c r="A585" s="4"/>
      <c r="V585" s="4"/>
    </row>
    <row r="586" spans="1:22">
      <c r="A586" s="4"/>
      <c r="V586" s="4"/>
    </row>
    <row r="587" spans="1:22">
      <c r="A587" s="4"/>
      <c r="V587" s="4"/>
    </row>
    <row r="588" spans="1:22">
      <c r="A588" s="4"/>
      <c r="V588" s="4"/>
    </row>
    <row r="589" spans="1:22">
      <c r="A589" s="4"/>
      <c r="V589" s="4"/>
    </row>
    <row r="590" spans="1:22">
      <c r="A590" s="4"/>
      <c r="V590" s="4"/>
    </row>
    <row r="591" spans="1:22">
      <c r="A591" s="4"/>
      <c r="V591" s="4"/>
    </row>
    <row r="592" spans="1:22">
      <c r="A592" s="4"/>
      <c r="V592" s="4"/>
    </row>
    <row r="593" spans="1:22">
      <c r="A593" s="4"/>
      <c r="V593" s="4"/>
    </row>
    <row r="594" spans="1:22">
      <c r="A594" s="4"/>
      <c r="V594" s="4"/>
    </row>
    <row r="595" spans="1:22">
      <c r="A595" s="4"/>
      <c r="V595" s="4"/>
    </row>
    <row r="596" spans="1:22">
      <c r="A596" s="4"/>
      <c r="V596" s="4"/>
    </row>
    <row r="597" spans="1:22">
      <c r="A597" s="4"/>
      <c r="V597" s="4"/>
    </row>
    <row r="598" spans="1:22">
      <c r="A598" s="4"/>
      <c r="V598" s="4"/>
    </row>
    <row r="599" spans="1:22">
      <c r="A599" s="4"/>
      <c r="V599" s="4"/>
    </row>
    <row r="600" spans="1:22">
      <c r="A600" s="4"/>
      <c r="V600" s="4"/>
    </row>
    <row r="601" spans="1:22">
      <c r="A601" s="4"/>
      <c r="V601" s="4"/>
    </row>
    <row r="602" spans="1:22">
      <c r="A602" s="4"/>
      <c r="V602" s="4"/>
    </row>
    <row r="603" spans="1:22">
      <c r="A603" s="4"/>
      <c r="V603" s="4"/>
    </row>
    <row r="604" spans="1:22">
      <c r="A604" s="4"/>
      <c r="V604" s="4"/>
    </row>
    <row r="605" spans="1:22">
      <c r="A605" s="4"/>
      <c r="V605" s="4"/>
    </row>
    <row r="606" spans="1:22">
      <c r="A606" s="4"/>
      <c r="V606" s="4"/>
    </row>
    <row r="607" spans="1:22">
      <c r="A607" s="4"/>
      <c r="V607" s="4"/>
    </row>
    <row r="608" spans="1:22">
      <c r="A608" s="4"/>
      <c r="V608" s="4"/>
    </row>
    <row r="609" spans="1:22">
      <c r="A609" s="4"/>
      <c r="V609" s="4"/>
    </row>
    <row r="610" spans="1:22">
      <c r="A610" s="4"/>
      <c r="V610" s="4"/>
    </row>
    <row r="611" spans="1:22">
      <c r="A611" s="4"/>
      <c r="V611" s="4"/>
    </row>
    <row r="612" spans="1:22">
      <c r="A612" s="4"/>
      <c r="V612" s="4"/>
    </row>
    <row r="613" spans="1:22">
      <c r="A613" s="4"/>
      <c r="V613" s="4"/>
    </row>
    <row r="614" spans="1:22">
      <c r="A614" s="4"/>
      <c r="V614" s="4"/>
    </row>
    <row r="615" spans="1:22">
      <c r="A615" s="4"/>
      <c r="V615" s="4"/>
    </row>
    <row r="616" spans="1:22">
      <c r="A616" s="4"/>
      <c r="V616" s="4"/>
    </row>
    <row r="617" spans="1:22">
      <c r="A617" s="4"/>
      <c r="V617" s="4"/>
    </row>
    <row r="618" spans="1:22">
      <c r="A618" s="4"/>
      <c r="V618" s="4"/>
    </row>
    <row r="619" spans="1:22">
      <c r="A619" s="4"/>
      <c r="V619" s="4"/>
    </row>
    <row r="620" spans="1:22">
      <c r="A620" s="4"/>
      <c r="V620" s="4"/>
    </row>
    <row r="621" spans="1:22">
      <c r="A621" s="4"/>
      <c r="V621" s="4"/>
    </row>
    <row r="622" spans="1:22">
      <c r="A622" s="4"/>
      <c r="V622" s="4"/>
    </row>
    <row r="623" spans="1:22">
      <c r="A623" s="4"/>
      <c r="V623" s="4"/>
    </row>
    <row r="624" spans="1:22">
      <c r="A624" s="4"/>
      <c r="V624" s="4"/>
    </row>
    <row r="625" spans="1:22">
      <c r="A625" s="4"/>
      <c r="V625" s="4"/>
    </row>
    <row r="626" spans="1:22">
      <c r="A626" s="4"/>
      <c r="V626" s="4"/>
    </row>
    <row r="627" spans="1:22">
      <c r="A627" s="4"/>
      <c r="V627" s="4"/>
    </row>
    <row r="628" spans="1:22">
      <c r="A628" s="4"/>
      <c r="V628" s="4"/>
    </row>
    <row r="629" spans="1:22">
      <c r="A629" s="4"/>
      <c r="V629" s="4"/>
    </row>
    <row r="630" spans="1:22">
      <c r="A630" s="4"/>
      <c r="V630" s="4"/>
    </row>
    <row r="631" spans="1:22">
      <c r="A631" s="4"/>
      <c r="V631" s="4"/>
    </row>
    <row r="632" spans="1:22">
      <c r="A632" s="4"/>
      <c r="V632" s="4"/>
    </row>
    <row r="633" spans="1:22">
      <c r="A633" s="4"/>
      <c r="V633" s="4"/>
    </row>
    <row r="634" spans="1:22">
      <c r="A634" s="4"/>
      <c r="V634" s="4"/>
    </row>
    <row r="635" spans="1:22">
      <c r="A635" s="4"/>
      <c r="V635" s="4"/>
    </row>
    <row r="636" spans="1:22">
      <c r="A636" s="4"/>
      <c r="V636" s="4"/>
    </row>
    <row r="637" spans="1:22">
      <c r="A637" s="4"/>
      <c r="V637" s="4"/>
    </row>
    <row r="638" spans="1:22">
      <c r="A638" s="4"/>
      <c r="V638" s="4"/>
    </row>
    <row r="639" spans="1:22">
      <c r="A639" s="4"/>
      <c r="V639" s="4"/>
    </row>
    <row r="640" spans="1:22">
      <c r="A640" s="4"/>
      <c r="V640" s="4"/>
    </row>
    <row r="641" spans="1:22">
      <c r="A641" s="4"/>
      <c r="V641" s="4"/>
    </row>
    <row r="642" spans="1:22">
      <c r="A642" s="4"/>
      <c r="V642" s="4"/>
    </row>
    <row r="643" spans="1:22">
      <c r="A643" s="4"/>
      <c r="V643" s="4"/>
    </row>
    <row r="644" spans="1:22">
      <c r="A644" s="4"/>
      <c r="V644" s="4"/>
    </row>
    <row r="645" spans="1:22">
      <c r="A645" s="4"/>
      <c r="V645" s="4"/>
    </row>
    <row r="646" spans="1:22">
      <c r="A646" s="4"/>
      <c r="V646" s="4"/>
    </row>
    <row r="647" spans="1:22">
      <c r="A647" s="4"/>
      <c r="V647" s="4"/>
    </row>
    <row r="648" spans="1:22">
      <c r="A648" s="4"/>
      <c r="V648" s="4"/>
    </row>
    <row r="649" spans="1:22">
      <c r="A649" s="4"/>
      <c r="V649" s="4"/>
    </row>
    <row r="650" spans="1:22">
      <c r="A650" s="4"/>
      <c r="V650" s="4"/>
    </row>
    <row r="651" spans="1:22">
      <c r="A651" s="4"/>
      <c r="V651" s="4"/>
    </row>
    <row r="652" spans="1:22">
      <c r="A652" s="4"/>
      <c r="V652" s="4"/>
    </row>
    <row r="653" spans="1:22">
      <c r="A653" s="4"/>
      <c r="V653" s="4"/>
    </row>
    <row r="654" spans="1:22">
      <c r="A654" s="4"/>
      <c r="V654" s="4"/>
    </row>
    <row r="655" spans="1:22">
      <c r="A655" s="4"/>
      <c r="V655" s="4"/>
    </row>
    <row r="656" spans="1:22">
      <c r="A656" s="4"/>
      <c r="V656" s="4"/>
    </row>
    <row r="657" spans="1:22">
      <c r="A657" s="4"/>
      <c r="V657" s="4"/>
    </row>
    <row r="658" spans="1:22">
      <c r="A658" s="4"/>
      <c r="V658" s="4"/>
    </row>
    <row r="659" spans="1:22">
      <c r="A659" s="4"/>
      <c r="V659" s="4"/>
    </row>
    <row r="660" spans="1:22">
      <c r="A660" s="4"/>
      <c r="V660" s="4"/>
    </row>
    <row r="661" spans="1:22">
      <c r="A661" s="4"/>
      <c r="V661" s="4"/>
    </row>
    <row r="662" spans="1:22">
      <c r="A662" s="4"/>
      <c r="V662" s="4"/>
    </row>
    <row r="663" spans="1:22">
      <c r="A663" s="4"/>
      <c r="V663" s="4"/>
    </row>
    <row r="664" spans="1:22">
      <c r="A664" s="4"/>
      <c r="V664" s="4"/>
    </row>
    <row r="665" spans="1:22">
      <c r="A665" s="4"/>
      <c r="V665" s="4"/>
    </row>
    <row r="666" spans="1:22">
      <c r="A666" s="4"/>
      <c r="V666" s="4"/>
    </row>
    <row r="667" spans="1:22">
      <c r="A667" s="4"/>
      <c r="V667" s="4"/>
    </row>
    <row r="668" spans="1:22">
      <c r="A668" s="4"/>
      <c r="V668" s="4"/>
    </row>
    <row r="669" spans="1:22">
      <c r="A669" s="4"/>
      <c r="V669" s="4"/>
    </row>
    <row r="670" spans="1:22">
      <c r="A670" s="4"/>
      <c r="V670" s="4"/>
    </row>
    <row r="671" spans="1:22">
      <c r="A671" s="4"/>
      <c r="V671" s="4"/>
    </row>
    <row r="672" spans="1:22">
      <c r="A672" s="4"/>
      <c r="V672" s="4"/>
    </row>
    <row r="673" spans="1:22">
      <c r="A673" s="4"/>
      <c r="V673" s="4"/>
    </row>
    <row r="674" spans="1:22">
      <c r="A674" s="4"/>
      <c r="V674" s="4"/>
    </row>
    <row r="675" spans="1:22">
      <c r="A675" s="4"/>
      <c r="V675" s="4"/>
    </row>
    <row r="676" spans="1:22">
      <c r="A676" s="4"/>
      <c r="V676" s="4"/>
    </row>
    <row r="677" spans="1:22">
      <c r="A677" s="4"/>
      <c r="V677" s="4"/>
    </row>
    <row r="678" spans="1:22">
      <c r="A678" s="4"/>
      <c r="V678" s="4"/>
    </row>
    <row r="679" spans="1:22">
      <c r="A679" s="4"/>
      <c r="V679" s="4"/>
    </row>
    <row r="680" spans="1:22">
      <c r="A680" s="4"/>
      <c r="V680" s="4"/>
    </row>
    <row r="681" spans="1:22">
      <c r="A681" s="4"/>
      <c r="V681" s="4"/>
    </row>
    <row r="682" spans="1:22">
      <c r="A682" s="4"/>
      <c r="V682" s="4"/>
    </row>
    <row r="683" spans="1:22">
      <c r="A683" s="4"/>
      <c r="V683" s="4"/>
    </row>
    <row r="684" spans="1:22">
      <c r="A684" s="4"/>
      <c r="V684" s="4"/>
    </row>
    <row r="685" spans="1:22">
      <c r="A685" s="4"/>
      <c r="V685" s="4"/>
    </row>
    <row r="686" spans="1:22">
      <c r="A686" s="4"/>
      <c r="V686" s="4"/>
    </row>
    <row r="687" spans="1:22">
      <c r="A687" s="4"/>
      <c r="V687" s="4"/>
    </row>
    <row r="688" spans="1:22">
      <c r="A688" s="4"/>
      <c r="V688" s="4"/>
    </row>
    <row r="689" spans="1:22">
      <c r="A689" s="4"/>
      <c r="V689" s="4"/>
    </row>
    <row r="690" spans="1:22">
      <c r="A690" s="4"/>
      <c r="V690" s="4"/>
    </row>
    <row r="691" spans="1:22">
      <c r="A691" s="4"/>
      <c r="V691" s="4"/>
    </row>
    <row r="692" spans="1:22">
      <c r="A692" s="4"/>
      <c r="V692" s="4"/>
    </row>
    <row r="693" spans="1:22">
      <c r="A693" s="4"/>
      <c r="V693" s="4"/>
    </row>
    <row r="694" spans="1:22">
      <c r="A694" s="4"/>
      <c r="V694" s="4"/>
    </row>
    <row r="695" spans="1:22">
      <c r="A695" s="4"/>
      <c r="V695" s="4"/>
    </row>
    <row r="696" spans="1:22">
      <c r="A696" s="4"/>
      <c r="V696" s="4"/>
    </row>
    <row r="697" spans="1:22">
      <c r="A697" s="4"/>
      <c r="V697" s="4"/>
    </row>
    <row r="698" spans="1:22">
      <c r="A698" s="4"/>
      <c r="V698" s="4"/>
    </row>
    <row r="699" spans="1:22">
      <c r="A699" s="4"/>
      <c r="V699" s="4"/>
    </row>
    <row r="700" spans="1:22">
      <c r="A700" s="4"/>
      <c r="V700" s="4"/>
    </row>
    <row r="701" spans="1:22">
      <c r="A701" s="4"/>
      <c r="V701" s="4"/>
    </row>
    <row r="702" spans="1:22">
      <c r="A702" s="4"/>
      <c r="V702" s="4"/>
    </row>
    <row r="703" spans="1:22">
      <c r="A703" s="4"/>
      <c r="V703" s="4"/>
    </row>
    <row r="704" spans="1:22">
      <c r="A704" s="4"/>
      <c r="V704" s="4"/>
    </row>
    <row r="705" spans="1:22">
      <c r="A705" s="4"/>
      <c r="V705" s="4"/>
    </row>
    <row r="706" spans="1:22">
      <c r="A706" s="4"/>
      <c r="V706" s="4"/>
    </row>
    <row r="707" spans="1:22">
      <c r="A707" s="4"/>
      <c r="V707" s="4"/>
    </row>
    <row r="708" spans="1:22">
      <c r="A708" s="4"/>
      <c r="V708" s="4"/>
    </row>
    <row r="709" spans="1:22">
      <c r="A709" s="4"/>
      <c r="V709" s="4"/>
    </row>
    <row r="710" spans="1:22">
      <c r="A710" s="4"/>
      <c r="V710" s="4"/>
    </row>
    <row r="711" spans="1:22">
      <c r="A711" s="4"/>
      <c r="V711" s="4"/>
    </row>
    <row r="712" spans="1:22">
      <c r="A712" s="4"/>
      <c r="V712" s="4"/>
    </row>
    <row r="713" spans="1:22">
      <c r="A713" s="4"/>
      <c r="V713" s="4"/>
    </row>
    <row r="714" spans="1:22">
      <c r="A714" s="4"/>
      <c r="V714" s="4"/>
    </row>
    <row r="715" spans="1:22">
      <c r="A715" s="4"/>
      <c r="V715" s="4"/>
    </row>
    <row r="716" spans="1:22">
      <c r="A716" s="4"/>
      <c r="V716" s="4"/>
    </row>
    <row r="717" spans="1:22">
      <c r="A717" s="4"/>
      <c r="V717" s="4"/>
    </row>
    <row r="718" spans="1:22">
      <c r="A718" s="4"/>
      <c r="V718" s="4"/>
    </row>
    <row r="719" spans="1:22">
      <c r="A719" s="4"/>
      <c r="V719" s="4"/>
    </row>
    <row r="720" spans="1:22">
      <c r="A720" s="4"/>
      <c r="V720" s="4"/>
    </row>
    <row r="721" spans="1:22">
      <c r="A721" s="4"/>
      <c r="V721" s="4"/>
    </row>
    <row r="722" spans="1:22">
      <c r="A722" s="4"/>
      <c r="V722" s="4"/>
    </row>
    <row r="723" spans="1:22">
      <c r="A723" s="4"/>
      <c r="V723" s="4"/>
    </row>
    <row r="724" spans="1:22">
      <c r="A724" s="4"/>
      <c r="V724" s="4"/>
    </row>
    <row r="725" spans="1:22">
      <c r="A725" s="4"/>
      <c r="V725" s="4"/>
    </row>
    <row r="726" spans="1:22">
      <c r="A726" s="4"/>
      <c r="V726" s="4"/>
    </row>
    <row r="727" spans="1:22">
      <c r="A727" s="4"/>
      <c r="V727" s="4"/>
    </row>
    <row r="728" spans="1:22">
      <c r="A728" s="4"/>
      <c r="V728" s="4"/>
    </row>
    <row r="729" spans="1:22">
      <c r="A729" s="4"/>
      <c r="V729" s="4"/>
    </row>
    <row r="730" spans="1:22">
      <c r="A730" s="4"/>
      <c r="V730" s="4"/>
    </row>
    <row r="731" spans="1:22">
      <c r="A731" s="4"/>
      <c r="V731" s="4"/>
    </row>
    <row r="732" spans="1:22">
      <c r="A732" s="4"/>
      <c r="V732" s="4"/>
    </row>
    <row r="733" spans="1:22">
      <c r="A733" s="4"/>
      <c r="V733" s="4"/>
    </row>
    <row r="734" spans="1:22">
      <c r="A734" s="4"/>
      <c r="V734" s="4"/>
    </row>
    <row r="735" spans="1:22">
      <c r="A735" s="4"/>
      <c r="V735" s="4"/>
    </row>
    <row r="736" spans="1:22">
      <c r="A736" s="4"/>
      <c r="V736" s="4"/>
    </row>
    <row r="737" spans="1:22">
      <c r="A737" s="4"/>
      <c r="V737" s="4"/>
    </row>
    <row r="738" spans="1:22">
      <c r="A738" s="4"/>
      <c r="V738" s="4"/>
    </row>
    <row r="739" spans="1:22">
      <c r="A739" s="4"/>
      <c r="V739" s="4"/>
    </row>
    <row r="740" spans="1:22">
      <c r="A740" s="4"/>
      <c r="V740" s="4"/>
    </row>
    <row r="741" spans="1:22">
      <c r="A741" s="4"/>
      <c r="V741" s="4"/>
    </row>
    <row r="742" spans="1:22">
      <c r="A742" s="4"/>
      <c r="V742" s="4"/>
    </row>
    <row r="743" spans="1:22">
      <c r="A743" s="4"/>
      <c r="V743" s="4"/>
    </row>
    <row r="744" spans="1:22">
      <c r="A744" s="4"/>
      <c r="V744" s="4"/>
    </row>
    <row r="745" spans="1:22">
      <c r="A745" s="4"/>
      <c r="V745" s="4"/>
    </row>
    <row r="746" spans="1:22">
      <c r="A746" s="4"/>
      <c r="V746" s="4"/>
    </row>
    <row r="747" spans="1:22">
      <c r="A747" s="4"/>
      <c r="V747" s="4"/>
    </row>
    <row r="748" spans="1:22">
      <c r="A748" s="4"/>
      <c r="V748" s="4"/>
    </row>
    <row r="749" spans="1:22">
      <c r="A749" s="4"/>
      <c r="V749" s="4"/>
    </row>
    <row r="750" spans="1:22">
      <c r="A750" s="4"/>
      <c r="V750" s="4"/>
    </row>
    <row r="751" spans="1:22">
      <c r="A751" s="4"/>
      <c r="V751" s="4"/>
    </row>
    <row r="752" spans="1:22">
      <c r="A752" s="4"/>
      <c r="V752" s="4"/>
    </row>
    <row r="753" spans="1:22">
      <c r="A753" s="4"/>
      <c r="V753" s="4"/>
    </row>
    <row r="754" spans="1:22">
      <c r="A754" s="4"/>
      <c r="V754" s="4"/>
    </row>
    <row r="755" spans="1:22">
      <c r="A755" s="4"/>
      <c r="V755" s="4"/>
    </row>
    <row r="756" spans="1:22">
      <c r="A756" s="4"/>
      <c r="V756" s="4"/>
    </row>
    <row r="757" spans="1:22">
      <c r="A757" s="4"/>
      <c r="V757" s="4"/>
    </row>
    <row r="758" spans="1:22">
      <c r="A758" s="4"/>
      <c r="V758" s="4"/>
    </row>
    <row r="759" spans="1:22">
      <c r="A759" s="4"/>
      <c r="V759" s="4"/>
    </row>
    <row r="760" spans="1:22">
      <c r="A760" s="4"/>
      <c r="V760" s="4"/>
    </row>
    <row r="761" spans="1:22">
      <c r="A761" s="4"/>
      <c r="V761" s="4"/>
    </row>
    <row r="762" spans="1:22">
      <c r="A762" s="4"/>
      <c r="V762" s="4"/>
    </row>
    <row r="763" spans="1:22">
      <c r="A763" s="4"/>
      <c r="V763" s="4"/>
    </row>
    <row r="764" spans="1:22">
      <c r="A764" s="4"/>
      <c r="V764" s="4"/>
    </row>
    <row r="765" spans="1:22">
      <c r="A765" s="4"/>
      <c r="V765" s="4"/>
    </row>
    <row r="766" spans="1:22">
      <c r="A766" s="4"/>
      <c r="V766" s="4"/>
    </row>
    <row r="767" spans="1:22">
      <c r="A767" s="4"/>
      <c r="V767" s="4"/>
    </row>
    <row r="768" spans="1:22">
      <c r="A768" s="4"/>
      <c r="V768" s="4"/>
    </row>
    <row r="769" spans="1:22">
      <c r="A769" s="4"/>
      <c r="V769" s="4"/>
    </row>
    <row r="770" spans="1:22">
      <c r="A770" s="4"/>
      <c r="V770" s="4"/>
    </row>
    <row r="771" spans="1:22">
      <c r="A771" s="4"/>
      <c r="V771" s="4"/>
    </row>
    <row r="772" spans="1:22">
      <c r="A772" s="4"/>
      <c r="V772" s="4"/>
    </row>
    <row r="773" spans="1:22">
      <c r="A773" s="4"/>
      <c r="V773" s="4"/>
    </row>
    <row r="774" spans="1:22">
      <c r="A774" s="4"/>
      <c r="V774" s="4"/>
    </row>
    <row r="775" spans="1:22">
      <c r="A775" s="4"/>
      <c r="V775" s="4"/>
    </row>
    <row r="776" spans="1:22">
      <c r="A776" s="4"/>
      <c r="V776" s="4"/>
    </row>
    <row r="777" spans="1:22">
      <c r="A777" s="4"/>
      <c r="V777" s="4"/>
    </row>
    <row r="778" spans="1:22">
      <c r="A778" s="4"/>
      <c r="V778" s="4"/>
    </row>
    <row r="779" spans="1:22">
      <c r="A779" s="4"/>
      <c r="V779" s="4"/>
    </row>
    <row r="780" spans="1:22">
      <c r="A780" s="4"/>
      <c r="V780" s="4"/>
    </row>
    <row r="781" spans="1:22">
      <c r="A781" s="4"/>
      <c r="V781" s="4"/>
    </row>
    <row r="782" spans="1:22">
      <c r="A782" s="4"/>
      <c r="V782" s="4"/>
    </row>
    <row r="783" spans="1:22">
      <c r="A783" s="4"/>
      <c r="V783" s="4"/>
    </row>
    <row r="784" spans="1:22">
      <c r="A784" s="4"/>
      <c r="V784" s="4"/>
    </row>
    <row r="785" spans="1:22">
      <c r="A785" s="4"/>
      <c r="V785" s="4"/>
    </row>
    <row r="786" spans="1:22">
      <c r="A786" s="4"/>
      <c r="V786" s="4"/>
    </row>
    <row r="787" spans="1:22">
      <c r="A787" s="4"/>
      <c r="V787" s="4"/>
    </row>
    <row r="788" spans="1:22">
      <c r="A788" s="4"/>
      <c r="V788" s="4"/>
    </row>
    <row r="789" spans="1:22">
      <c r="A789" s="4"/>
      <c r="V789" s="4"/>
    </row>
    <row r="790" spans="1:22">
      <c r="A790" s="4"/>
      <c r="V790" s="4"/>
    </row>
    <row r="791" spans="1:22">
      <c r="A791" s="4"/>
      <c r="V791" s="4"/>
    </row>
    <row r="792" spans="1:22">
      <c r="A792" s="4"/>
      <c r="V792" s="4"/>
    </row>
    <row r="793" spans="1:22">
      <c r="A793" s="4"/>
      <c r="V793" s="4"/>
    </row>
    <row r="794" spans="1:22">
      <c r="A794" s="4"/>
      <c r="V794" s="4"/>
    </row>
    <row r="795" spans="1:22">
      <c r="A795" s="4"/>
      <c r="V795" s="4"/>
    </row>
    <row r="796" spans="1:22">
      <c r="A796" s="4"/>
      <c r="V796" s="4"/>
    </row>
    <row r="797" spans="1:22">
      <c r="A797" s="4"/>
      <c r="V797" s="4"/>
    </row>
    <row r="798" spans="1:22">
      <c r="A798" s="4"/>
      <c r="V798" s="4"/>
    </row>
    <row r="799" spans="1:22">
      <c r="A799" s="4"/>
      <c r="V799" s="4"/>
    </row>
    <row r="800" spans="1:22">
      <c r="A800" s="4"/>
      <c r="V800" s="4"/>
    </row>
    <row r="801" spans="1:22">
      <c r="A801" s="4"/>
      <c r="V801" s="4"/>
    </row>
    <row r="802" spans="1:22">
      <c r="A802" s="4"/>
      <c r="V802" s="4"/>
    </row>
    <row r="803" spans="1:22">
      <c r="A803" s="4"/>
      <c r="V803" s="4"/>
    </row>
    <row r="804" spans="1:22">
      <c r="A804" s="4"/>
      <c r="V804" s="4"/>
    </row>
    <row r="805" spans="1:22">
      <c r="A805" s="4"/>
      <c r="V805" s="4"/>
    </row>
    <row r="806" spans="1:22">
      <c r="A806" s="4"/>
      <c r="V806" s="4"/>
    </row>
    <row r="807" spans="1:22">
      <c r="A807" s="4"/>
      <c r="V807" s="4"/>
    </row>
    <row r="808" spans="1:22">
      <c r="A808" s="4"/>
      <c r="V808" s="4"/>
    </row>
    <row r="809" spans="1:22">
      <c r="A809" s="4"/>
      <c r="V809" s="4"/>
    </row>
    <row r="810" spans="1:22">
      <c r="A810" s="4"/>
      <c r="V810" s="4"/>
    </row>
    <row r="811" spans="1:22">
      <c r="A811" s="4"/>
      <c r="V811" s="4"/>
    </row>
    <row r="812" spans="1:22">
      <c r="A812" s="4"/>
      <c r="V812" s="4"/>
    </row>
    <row r="813" spans="1:22">
      <c r="A813" s="4"/>
      <c r="V813" s="4"/>
    </row>
    <row r="814" spans="1:22">
      <c r="A814" s="4"/>
      <c r="V814" s="4"/>
    </row>
    <row r="815" spans="1:22">
      <c r="A815" s="4"/>
      <c r="V815" s="4"/>
    </row>
    <row r="816" spans="1:22">
      <c r="A816" s="4"/>
      <c r="V816" s="4"/>
    </row>
    <row r="817" spans="1:22">
      <c r="A817" s="4"/>
      <c r="V817" s="4"/>
    </row>
    <row r="818" spans="1:22">
      <c r="A818" s="4"/>
      <c r="V818" s="4"/>
    </row>
    <row r="819" spans="1:22">
      <c r="A819" s="4"/>
      <c r="V819" s="4"/>
    </row>
    <row r="820" spans="1:22">
      <c r="A820" s="4"/>
      <c r="V820" s="4"/>
    </row>
    <row r="821" spans="1:22">
      <c r="A821" s="4"/>
      <c r="V821" s="4"/>
    </row>
    <row r="822" spans="1:22">
      <c r="A822" s="4"/>
      <c r="V822" s="4"/>
    </row>
    <row r="823" spans="1:22">
      <c r="A823" s="4"/>
      <c r="V823" s="4"/>
    </row>
    <row r="824" spans="1:22">
      <c r="A824" s="4"/>
      <c r="V824" s="4"/>
    </row>
    <row r="825" spans="1:22">
      <c r="A825" s="4"/>
      <c r="V825" s="4"/>
    </row>
    <row r="826" spans="1:22">
      <c r="A826" s="4"/>
      <c r="V826" s="4"/>
    </row>
    <row r="827" spans="1:22">
      <c r="A827" s="4"/>
      <c r="V827" s="4"/>
    </row>
    <row r="828" spans="1:22">
      <c r="A828" s="4"/>
      <c r="V828" s="4"/>
    </row>
    <row r="829" spans="1:22">
      <c r="A829" s="4"/>
      <c r="V829" s="4"/>
    </row>
    <row r="830" spans="1:22">
      <c r="A830" s="4"/>
      <c r="V830" s="4"/>
    </row>
    <row r="831" spans="1:22">
      <c r="A831" s="4"/>
      <c r="V831" s="4"/>
    </row>
    <row r="832" spans="1:22">
      <c r="A832" s="4"/>
      <c r="V832" s="4"/>
    </row>
    <row r="833" spans="1:22">
      <c r="A833" s="4"/>
      <c r="V833" s="4"/>
    </row>
    <row r="834" spans="1:22">
      <c r="A834" s="4"/>
      <c r="V834" s="4"/>
    </row>
    <row r="835" spans="1:22">
      <c r="A835" s="4"/>
      <c r="V835" s="4"/>
    </row>
    <row r="836" spans="1:22">
      <c r="A836" s="4"/>
      <c r="V836" s="4"/>
    </row>
    <row r="837" spans="1:22">
      <c r="A837" s="4"/>
      <c r="V837" s="4"/>
    </row>
    <row r="838" spans="1:22">
      <c r="A838" s="4"/>
      <c r="V838" s="4"/>
    </row>
    <row r="839" spans="1:22">
      <c r="A839" s="4"/>
      <c r="V839" s="4"/>
    </row>
    <row r="840" spans="1:22">
      <c r="A840" s="4"/>
      <c r="V840" s="4"/>
    </row>
    <row r="841" spans="1:22">
      <c r="A841" s="4"/>
      <c r="V841" s="4"/>
    </row>
    <row r="842" spans="1:22">
      <c r="A842" s="4"/>
      <c r="V842" s="4"/>
    </row>
    <row r="843" spans="1:22">
      <c r="A843" s="4"/>
      <c r="V843" s="4"/>
    </row>
    <row r="844" spans="1:22">
      <c r="A844" s="4"/>
      <c r="V844" s="4"/>
    </row>
    <row r="845" spans="1:22">
      <c r="A845" s="4"/>
      <c r="V845" s="4"/>
    </row>
    <row r="846" spans="1:22">
      <c r="A846" s="4"/>
      <c r="V846" s="4"/>
    </row>
    <row r="847" spans="1:22">
      <c r="A847" s="4"/>
      <c r="V847" s="4"/>
    </row>
    <row r="848" spans="1:22">
      <c r="A848" s="4"/>
      <c r="V848" s="4"/>
    </row>
    <row r="849" spans="1:22">
      <c r="A849" s="4"/>
      <c r="V849" s="4"/>
    </row>
    <row r="850" spans="1:22">
      <c r="A850" s="4"/>
      <c r="V850" s="4"/>
    </row>
    <row r="851" spans="1:22">
      <c r="A851" s="4"/>
      <c r="V851" s="4"/>
    </row>
    <row r="852" spans="1:22">
      <c r="A852" s="4"/>
      <c r="V852" s="4"/>
    </row>
    <row r="853" spans="1:22">
      <c r="A853" s="4"/>
      <c r="V853" s="4"/>
    </row>
    <row r="854" spans="1:22">
      <c r="A854" s="4"/>
      <c r="V854" s="4"/>
    </row>
    <row r="855" spans="1:22">
      <c r="A855" s="4"/>
      <c r="V855" s="4"/>
    </row>
    <row r="856" spans="1:22">
      <c r="A856" s="4"/>
      <c r="V856" s="4"/>
    </row>
    <row r="857" spans="1:22">
      <c r="A857" s="4"/>
      <c r="V857" s="4"/>
    </row>
    <row r="858" spans="1:22">
      <c r="A858" s="4"/>
      <c r="V858" s="4"/>
    </row>
    <row r="859" spans="1:22">
      <c r="A859" s="4"/>
      <c r="V859" s="4"/>
    </row>
    <row r="860" spans="1:22">
      <c r="A860" s="4"/>
      <c r="V860" s="4"/>
    </row>
    <row r="861" spans="1:22">
      <c r="A861" s="4"/>
      <c r="V861" s="4"/>
    </row>
    <row r="862" spans="1:22">
      <c r="A862" s="4"/>
      <c r="V862" s="4"/>
    </row>
    <row r="863" spans="1:22">
      <c r="A863" s="4"/>
      <c r="V863" s="4"/>
    </row>
    <row r="864" spans="1:22">
      <c r="A864" s="4"/>
      <c r="V864" s="4"/>
    </row>
    <row r="865" spans="1:22">
      <c r="A865" s="4"/>
      <c r="V865" s="4"/>
    </row>
    <row r="866" spans="1:22">
      <c r="A866" s="4"/>
      <c r="V866" s="4"/>
    </row>
    <row r="867" spans="1:22">
      <c r="A867" s="4"/>
      <c r="V867" s="4"/>
    </row>
    <row r="868" spans="1:22">
      <c r="A868" s="4"/>
      <c r="V868" s="4"/>
    </row>
    <row r="869" spans="1:22">
      <c r="A869" s="4"/>
      <c r="V869" s="4"/>
    </row>
    <row r="870" spans="1:22">
      <c r="A870" s="4"/>
      <c r="V870" s="4"/>
    </row>
    <row r="871" spans="1:22">
      <c r="A871" s="4"/>
      <c r="V871" s="4"/>
    </row>
    <row r="872" spans="1:22">
      <c r="A872" s="4"/>
      <c r="V872" s="4"/>
    </row>
    <row r="873" spans="1:22">
      <c r="A873" s="4"/>
      <c r="V873" s="4"/>
    </row>
    <row r="874" spans="1:22">
      <c r="A874" s="4"/>
      <c r="V874" s="4"/>
    </row>
    <row r="875" spans="1:22">
      <c r="A875" s="4"/>
      <c r="V875" s="4"/>
    </row>
    <row r="876" spans="1:22">
      <c r="A876" s="4"/>
      <c r="V876" s="4"/>
    </row>
    <row r="877" spans="1:22">
      <c r="A877" s="4"/>
      <c r="V877" s="4"/>
    </row>
    <row r="878" spans="1:22">
      <c r="A878" s="4"/>
      <c r="V878" s="4"/>
    </row>
    <row r="879" spans="1:22">
      <c r="A879" s="4"/>
      <c r="V879" s="4"/>
    </row>
    <row r="880" spans="1:22">
      <c r="A880" s="4"/>
      <c r="V880" s="4"/>
    </row>
    <row r="881" spans="1:22">
      <c r="A881" s="4"/>
      <c r="V881" s="4"/>
    </row>
    <row r="882" spans="1:22">
      <c r="A882" s="4"/>
      <c r="V882" s="4"/>
    </row>
    <row r="883" spans="1:22">
      <c r="A883" s="4"/>
      <c r="V883" s="4"/>
    </row>
    <row r="884" spans="1:22">
      <c r="A884" s="4"/>
      <c r="V884" s="4"/>
    </row>
    <row r="885" spans="1:22">
      <c r="A885" s="4"/>
      <c r="V885" s="4"/>
    </row>
    <row r="886" spans="1:22">
      <c r="A886" s="4"/>
      <c r="V886" s="4"/>
    </row>
    <row r="887" spans="1:22">
      <c r="A887" s="4"/>
      <c r="V887" s="4"/>
    </row>
    <row r="888" spans="1:22">
      <c r="A888" s="4"/>
      <c r="V888" s="4"/>
    </row>
    <row r="889" spans="1:22">
      <c r="A889" s="4"/>
      <c r="V889" s="4"/>
    </row>
    <row r="890" spans="1:22">
      <c r="A890" s="4"/>
      <c r="V890" s="4"/>
    </row>
    <row r="891" spans="1:22">
      <c r="A891" s="4"/>
      <c r="V891" s="4"/>
    </row>
    <row r="892" spans="1:22">
      <c r="A892" s="4"/>
      <c r="V892" s="4"/>
    </row>
    <row r="893" spans="1:22">
      <c r="A893" s="4"/>
      <c r="V893" s="4"/>
    </row>
    <row r="894" spans="1:22">
      <c r="A894" s="4"/>
      <c r="V894" s="4"/>
    </row>
    <row r="895" spans="1:22">
      <c r="A895" s="4"/>
      <c r="V895" s="4"/>
    </row>
    <row r="896" spans="1:22">
      <c r="A896" s="4"/>
      <c r="V896" s="4"/>
    </row>
    <row r="897" spans="1:22">
      <c r="A897" s="4"/>
      <c r="V897" s="4"/>
    </row>
    <row r="898" spans="1:22">
      <c r="A898" s="4"/>
      <c r="V898" s="4"/>
    </row>
    <row r="899" spans="1:22">
      <c r="A899" s="4"/>
      <c r="V899" s="4"/>
    </row>
    <row r="900" spans="1:22">
      <c r="A900" s="4"/>
      <c r="V900" s="4"/>
    </row>
    <row r="901" spans="1:22">
      <c r="A901" s="4"/>
      <c r="V901" s="4"/>
    </row>
    <row r="902" spans="1:22">
      <c r="A902" s="4"/>
      <c r="V902" s="4"/>
    </row>
    <row r="903" spans="1:22">
      <c r="A903" s="4"/>
      <c r="V903" s="4"/>
    </row>
    <row r="904" spans="1:22">
      <c r="A904" s="4"/>
      <c r="V904" s="4"/>
    </row>
    <row r="905" spans="1:22">
      <c r="A905" s="4"/>
      <c r="V905" s="4"/>
    </row>
    <row r="906" spans="1:22">
      <c r="A906" s="4"/>
      <c r="V906" s="4"/>
    </row>
    <row r="907" spans="1:22">
      <c r="A907" s="4"/>
      <c r="V907" s="4"/>
    </row>
    <row r="908" spans="1:22">
      <c r="A908" s="4"/>
      <c r="V908" s="4"/>
    </row>
    <row r="909" spans="1:22">
      <c r="A909" s="4"/>
      <c r="V909" s="4"/>
    </row>
    <row r="910" spans="1:22">
      <c r="A910" s="4"/>
      <c r="V910" s="4"/>
    </row>
    <row r="911" spans="1:22">
      <c r="A911" s="4"/>
      <c r="V911" s="4"/>
    </row>
    <row r="912" spans="1:22">
      <c r="A912" s="4"/>
      <c r="V912" s="4"/>
    </row>
    <row r="913" spans="1:22">
      <c r="A913" s="4"/>
      <c r="V913" s="4"/>
    </row>
    <row r="914" spans="1:22">
      <c r="A914" s="4"/>
      <c r="V914" s="4"/>
    </row>
    <row r="915" spans="1:22">
      <c r="A915" s="4"/>
      <c r="V915" s="4"/>
    </row>
    <row r="916" spans="1:22">
      <c r="A916" s="4"/>
      <c r="V916" s="4"/>
    </row>
    <row r="917" spans="1:22">
      <c r="A917" s="4"/>
      <c r="V917" s="4"/>
    </row>
    <row r="918" spans="1:22">
      <c r="A918" s="4"/>
      <c r="V918" s="4"/>
    </row>
    <row r="919" spans="1:22">
      <c r="A919" s="4"/>
      <c r="V919" s="4"/>
    </row>
    <row r="920" spans="1:22">
      <c r="A920" s="4"/>
      <c r="V920" s="4"/>
    </row>
    <row r="921" spans="1:22">
      <c r="A921" s="4"/>
      <c r="V921" s="4"/>
    </row>
    <row r="922" spans="1:22">
      <c r="A922" s="4"/>
      <c r="V922" s="4"/>
    </row>
    <row r="923" spans="1:22">
      <c r="A923" s="4"/>
      <c r="V923" s="4"/>
    </row>
    <row r="924" spans="1:22">
      <c r="A924" s="4"/>
      <c r="V924" s="4"/>
    </row>
    <row r="925" spans="1:22">
      <c r="A925" s="4"/>
      <c r="V925" s="4"/>
    </row>
    <row r="926" spans="1:22">
      <c r="A926" s="4"/>
      <c r="V926" s="4"/>
    </row>
    <row r="927" spans="1:22">
      <c r="A927" s="4"/>
      <c r="V927" s="4"/>
    </row>
    <row r="928" spans="1:22">
      <c r="A928" s="4"/>
      <c r="V928" s="4"/>
    </row>
    <row r="929" spans="1:22">
      <c r="A929" s="4"/>
      <c r="V929" s="4"/>
    </row>
    <row r="930" spans="1:22">
      <c r="A930" s="4"/>
      <c r="V930" s="4"/>
    </row>
    <row r="931" spans="1:22">
      <c r="A931" s="4"/>
      <c r="V931" s="4"/>
    </row>
    <row r="932" spans="1:22">
      <c r="A932" s="4"/>
      <c r="V932" s="4"/>
    </row>
    <row r="933" spans="1:22">
      <c r="A933" s="4"/>
      <c r="V933" s="4"/>
    </row>
    <row r="934" spans="1:22">
      <c r="A934" s="4"/>
      <c r="V934" s="4"/>
    </row>
    <row r="935" spans="1:22">
      <c r="A935" s="4"/>
      <c r="V935" s="4"/>
    </row>
    <row r="936" spans="1:22">
      <c r="A936" s="4"/>
      <c r="V936" s="4"/>
    </row>
    <row r="937" spans="1:22">
      <c r="A937" s="4"/>
      <c r="V937" s="4"/>
    </row>
    <row r="938" spans="1:22">
      <c r="A938" s="4"/>
      <c r="V938" s="4"/>
    </row>
    <row r="939" spans="1:22">
      <c r="A939" s="4"/>
      <c r="V939" s="4"/>
    </row>
    <row r="940" spans="1:22">
      <c r="A940" s="4"/>
      <c r="V940" s="4"/>
    </row>
    <row r="941" spans="1:22">
      <c r="A941" s="4"/>
      <c r="V941" s="4"/>
    </row>
    <row r="942" spans="1:22">
      <c r="A942" s="4"/>
      <c r="V942" s="4"/>
    </row>
    <row r="943" spans="1:22">
      <c r="A943" s="4"/>
      <c r="V943" s="4"/>
    </row>
    <row r="944" spans="1:22">
      <c r="A944" s="4"/>
      <c r="V944" s="4"/>
    </row>
    <row r="945" spans="1:22">
      <c r="A945" s="4"/>
      <c r="V945" s="4"/>
    </row>
    <row r="946" spans="1:22">
      <c r="A946" s="4"/>
      <c r="V946" s="4"/>
    </row>
    <row r="947" spans="1:22">
      <c r="A947" s="4"/>
      <c r="V947" s="4"/>
    </row>
    <row r="948" spans="1:22">
      <c r="A948" s="4"/>
      <c r="V948" s="4"/>
    </row>
    <row r="949" spans="1:22">
      <c r="A949" s="4"/>
      <c r="V949" s="4"/>
    </row>
    <row r="950" spans="1:22">
      <c r="A950" s="4"/>
      <c r="V950" s="4"/>
    </row>
    <row r="951" spans="1:22">
      <c r="A951" s="4"/>
      <c r="V951" s="4"/>
    </row>
    <row r="952" spans="1:22">
      <c r="A952" s="4"/>
      <c r="V952" s="4"/>
    </row>
    <row r="953" spans="1:22">
      <c r="A953" s="4"/>
      <c r="V953" s="4"/>
    </row>
    <row r="954" spans="1:22">
      <c r="A954" s="4"/>
      <c r="V954" s="4"/>
    </row>
    <row r="955" spans="1:22">
      <c r="A955" s="4"/>
      <c r="V955" s="4"/>
    </row>
    <row r="956" spans="1:22">
      <c r="A956" s="4"/>
      <c r="V956" s="4"/>
    </row>
    <row r="957" spans="1:22">
      <c r="A957" s="4"/>
      <c r="V957" s="4"/>
    </row>
    <row r="958" spans="1:22">
      <c r="A958" s="4"/>
      <c r="V958" s="4"/>
    </row>
    <row r="959" spans="1:22">
      <c r="A959" s="4"/>
      <c r="V959" s="4"/>
    </row>
    <row r="960" spans="1:22">
      <c r="A960" s="4"/>
      <c r="V960" s="4"/>
    </row>
    <row r="961" spans="1:22">
      <c r="A961" s="4"/>
      <c r="V961" s="4"/>
    </row>
    <row r="962" spans="1:22">
      <c r="A962" s="4"/>
      <c r="V962" s="4"/>
    </row>
    <row r="963" spans="1:22">
      <c r="A963" s="4"/>
      <c r="V963" s="4"/>
    </row>
    <row r="964" spans="1:22">
      <c r="A964" s="4"/>
      <c r="V964" s="4"/>
    </row>
    <row r="965" spans="1:22">
      <c r="A965" s="4"/>
      <c r="V965" s="4"/>
    </row>
    <row r="966" spans="1:22">
      <c r="A966" s="4"/>
      <c r="V966" s="4"/>
    </row>
    <row r="967" spans="1:22">
      <c r="A967" s="4"/>
      <c r="V967" s="4"/>
    </row>
    <row r="968" spans="1:22">
      <c r="A968" s="4"/>
      <c r="V968" s="4"/>
    </row>
    <row r="969" spans="1:22">
      <c r="A969" s="4"/>
      <c r="V969" s="4"/>
    </row>
    <row r="970" spans="1:22">
      <c r="A970" s="4"/>
      <c r="V970" s="4"/>
    </row>
    <row r="971" spans="1:22">
      <c r="A971" s="4"/>
      <c r="V971" s="4"/>
    </row>
    <row r="972" spans="1:22">
      <c r="A972" s="4"/>
      <c r="V972" s="4"/>
    </row>
    <row r="973" spans="1:22">
      <c r="A973" s="4"/>
      <c r="V973" s="4"/>
    </row>
    <row r="974" spans="1:22">
      <c r="A974" s="4"/>
      <c r="V974" s="4"/>
    </row>
    <row r="975" spans="1:22">
      <c r="A975" s="4"/>
      <c r="V975" s="4"/>
    </row>
    <row r="976" spans="1:22">
      <c r="A976" s="4"/>
      <c r="V976" s="4"/>
    </row>
    <row r="977" spans="1:22">
      <c r="A977" s="4"/>
      <c r="V977" s="4"/>
    </row>
    <row r="978" spans="1:22">
      <c r="A978" s="4"/>
      <c r="V978" s="4"/>
    </row>
    <row r="979" spans="1:22">
      <c r="A979" s="4"/>
      <c r="V979" s="4"/>
    </row>
    <row r="980" spans="1:22">
      <c r="A980" s="4"/>
      <c r="V980" s="4"/>
    </row>
    <row r="981" spans="1:22">
      <c r="A981" s="4"/>
      <c r="V981" s="4"/>
    </row>
    <row r="982" spans="1:22">
      <c r="A982" s="4"/>
      <c r="V982" s="4"/>
    </row>
    <row r="983" spans="1:22">
      <c r="A983" s="4"/>
      <c r="V983" s="4"/>
    </row>
    <row r="984" spans="1:22">
      <c r="A984" s="4"/>
      <c r="V984" s="4"/>
    </row>
    <row r="985" spans="1:22">
      <c r="A985" s="4"/>
      <c r="V985" s="4"/>
    </row>
    <row r="986" spans="1:22">
      <c r="A986" s="4"/>
      <c r="V986" s="4"/>
    </row>
    <row r="987" spans="1:22">
      <c r="A987" s="4"/>
      <c r="V987" s="4"/>
    </row>
    <row r="988" spans="1:22">
      <c r="A988" s="4"/>
      <c r="V988" s="4"/>
    </row>
    <row r="989" spans="1:22">
      <c r="A989" s="4"/>
      <c r="V989" s="4"/>
    </row>
    <row r="990" spans="1:22">
      <c r="A990" s="4"/>
      <c r="V990" s="4"/>
    </row>
    <row r="991" spans="1:22">
      <c r="A991" s="4"/>
      <c r="V991" s="4"/>
    </row>
    <row r="992" spans="1:22">
      <c r="A992" s="4"/>
      <c r="V992" s="4"/>
    </row>
    <row r="993" spans="1:22">
      <c r="A993" s="4"/>
      <c r="V993" s="4"/>
    </row>
    <row r="994" spans="1:22">
      <c r="A994" s="4"/>
      <c r="V994" s="4"/>
    </row>
    <row r="995" spans="1:22">
      <c r="A995" s="4"/>
      <c r="V995" s="4"/>
    </row>
    <row r="996" spans="1:22">
      <c r="A996" s="4"/>
      <c r="V996" s="4"/>
    </row>
    <row r="997" spans="1:22">
      <c r="A997" s="4"/>
      <c r="V997" s="4"/>
    </row>
    <row r="998" spans="1:22">
      <c r="A998" s="4"/>
      <c r="V998" s="4"/>
    </row>
    <row r="999" spans="1:22">
      <c r="A999" s="4"/>
      <c r="V999" s="4"/>
    </row>
    <row r="1000" spans="1:22">
      <c r="A1000" s="4"/>
      <c r="V1000" s="4"/>
    </row>
    <row r="1001" spans="1:22">
      <c r="A1001" s="4"/>
      <c r="V1001" s="4"/>
    </row>
    <row r="1002" spans="1:22">
      <c r="A1002" s="4"/>
      <c r="V1002" s="4"/>
    </row>
    <row r="1003" spans="1:22">
      <c r="A1003" s="4"/>
      <c r="V1003" s="4"/>
    </row>
    <row r="1004" spans="1:22">
      <c r="A1004" s="4"/>
      <c r="V1004" s="4"/>
    </row>
    <row r="1005" spans="1:22">
      <c r="A1005" s="4"/>
      <c r="V1005" s="4"/>
    </row>
    <row r="1006" spans="1:22">
      <c r="A1006" s="4"/>
      <c r="V1006" s="4"/>
    </row>
    <row r="1007" spans="1:22">
      <c r="A1007" s="4"/>
      <c r="V1007" s="4"/>
    </row>
    <row r="1008" spans="1:22">
      <c r="A1008" s="4"/>
      <c r="V1008" s="4"/>
    </row>
    <row r="1009" spans="1:22">
      <c r="A1009" s="4"/>
      <c r="V1009" s="4"/>
    </row>
    <row r="1010" spans="1:22">
      <c r="A1010" s="4"/>
      <c r="V1010" s="4"/>
    </row>
    <row r="1011" spans="1:22">
      <c r="A1011" s="4"/>
      <c r="V1011" s="4"/>
    </row>
    <row r="1012" spans="1:22">
      <c r="A1012" s="4"/>
      <c r="V1012" s="4"/>
    </row>
    <row r="1013" spans="1:22">
      <c r="A1013" s="4"/>
      <c r="V1013" s="4"/>
    </row>
    <row r="1014" spans="1:22">
      <c r="A1014" s="4"/>
      <c r="V1014" s="4"/>
    </row>
    <row r="1015" spans="1:22">
      <c r="A1015" s="4"/>
      <c r="V1015" s="4"/>
    </row>
    <row r="1016" spans="1:22">
      <c r="A1016" s="4"/>
      <c r="V1016" s="4"/>
    </row>
    <row r="1017" spans="1:22">
      <c r="A1017" s="4"/>
      <c r="V1017" s="4"/>
    </row>
    <row r="1018" spans="1:22">
      <c r="A1018" s="4"/>
      <c r="V1018" s="4"/>
    </row>
    <row r="1019" spans="1:22">
      <c r="A1019" s="4"/>
      <c r="V1019" s="4"/>
    </row>
    <row r="1020" spans="1:22">
      <c r="A1020" s="4"/>
      <c r="V1020" s="4"/>
    </row>
    <row r="1021" spans="1:22">
      <c r="A1021" s="4"/>
      <c r="V1021" s="4"/>
    </row>
    <row r="1022" spans="1:22">
      <c r="A1022" s="4"/>
      <c r="V1022" s="4"/>
    </row>
    <row r="1023" spans="1:22">
      <c r="A1023" s="4"/>
      <c r="V1023" s="4"/>
    </row>
    <row r="1024" spans="1:22">
      <c r="A1024" s="4"/>
      <c r="V1024" s="4"/>
    </row>
    <row r="1025" spans="1:22">
      <c r="A1025" s="4"/>
      <c r="V1025" s="4"/>
    </row>
    <row r="1026" spans="1:22">
      <c r="A1026" s="4"/>
      <c r="V1026" s="4"/>
    </row>
    <row r="1027" spans="1:22">
      <c r="A1027" s="4"/>
      <c r="V1027" s="4"/>
    </row>
    <row r="1028" spans="1:22">
      <c r="A1028" s="4"/>
      <c r="V1028" s="4"/>
    </row>
    <row r="1029" spans="1:22">
      <c r="A1029" s="4"/>
      <c r="V1029" s="4"/>
    </row>
    <row r="1030" spans="1:22">
      <c r="A1030" s="4"/>
      <c r="V1030" s="4"/>
    </row>
    <row r="1031" spans="1:22">
      <c r="A1031" s="4"/>
      <c r="V1031" s="4"/>
    </row>
    <row r="1032" spans="1:22">
      <c r="A1032" s="4"/>
      <c r="V1032" s="4"/>
    </row>
    <row r="1033" spans="1:22">
      <c r="A1033" s="4"/>
      <c r="V1033" s="4"/>
    </row>
    <row r="1034" spans="1:22">
      <c r="A1034" s="4"/>
      <c r="V1034" s="4"/>
    </row>
    <row r="1035" spans="1:22">
      <c r="A1035" s="4"/>
      <c r="V1035" s="4"/>
    </row>
    <row r="1036" spans="1:22">
      <c r="A1036" s="4"/>
      <c r="V1036" s="4"/>
    </row>
    <row r="1037" spans="1:22">
      <c r="A1037" s="4"/>
      <c r="V1037" s="4"/>
    </row>
    <row r="1038" spans="1:22">
      <c r="A1038" s="4"/>
      <c r="V1038" s="4"/>
    </row>
    <row r="1039" spans="1:22">
      <c r="A1039" s="4"/>
      <c r="V1039" s="4"/>
    </row>
    <row r="1040" spans="1:22">
      <c r="A1040" s="4"/>
      <c r="V1040" s="4"/>
    </row>
    <row r="1041" spans="1:22">
      <c r="A1041" s="4"/>
      <c r="V1041" s="4"/>
    </row>
    <row r="1042" spans="1:22">
      <c r="A1042" s="4"/>
      <c r="V1042" s="4"/>
    </row>
    <row r="1043" spans="1:22">
      <c r="A1043" s="4"/>
      <c r="V1043" s="4"/>
    </row>
    <row r="1044" spans="1:22">
      <c r="A1044" s="4"/>
      <c r="V1044" s="4"/>
    </row>
    <row r="1045" spans="1:22">
      <c r="A1045" s="4"/>
      <c r="V1045" s="4"/>
    </row>
    <row r="1046" spans="1:22">
      <c r="A1046" s="4"/>
      <c r="V1046" s="4"/>
    </row>
    <row r="1047" spans="1:22">
      <c r="A1047" s="4"/>
      <c r="V1047" s="4"/>
    </row>
    <row r="1048" spans="1:22">
      <c r="A1048" s="4"/>
      <c r="V1048" s="4"/>
    </row>
    <row r="1049" spans="1:22">
      <c r="A1049" s="4"/>
      <c r="V1049" s="4"/>
    </row>
    <row r="1050" spans="1:22">
      <c r="A1050" s="4"/>
      <c r="V1050" s="4"/>
    </row>
    <row r="1051" spans="1:22">
      <c r="A1051" s="4"/>
      <c r="V1051" s="4"/>
    </row>
    <row r="1052" spans="1:22">
      <c r="A1052" s="4"/>
      <c r="V1052" s="4"/>
    </row>
    <row r="1053" spans="1:22">
      <c r="A1053" s="4"/>
      <c r="V1053" s="4"/>
    </row>
    <row r="1054" spans="1:22">
      <c r="A1054" s="4"/>
      <c r="V1054" s="4"/>
    </row>
    <row r="1055" spans="1:22">
      <c r="A1055" s="4"/>
      <c r="V1055" s="4"/>
    </row>
    <row r="1056" spans="1:22">
      <c r="A1056" s="4"/>
      <c r="V1056" s="4"/>
    </row>
    <row r="1057" spans="1:22">
      <c r="A1057" s="4"/>
      <c r="V1057" s="4"/>
    </row>
    <row r="1058" spans="1:22">
      <c r="A1058" s="4"/>
      <c r="V1058" s="4"/>
    </row>
    <row r="1059" spans="1:22">
      <c r="A1059" s="4"/>
      <c r="V1059" s="4"/>
    </row>
    <row r="1060" spans="1:22">
      <c r="A1060" s="4"/>
      <c r="V1060" s="4"/>
    </row>
    <row r="1061" spans="1:22">
      <c r="A1061" s="4"/>
      <c r="V1061" s="4"/>
    </row>
    <row r="1062" spans="1:22">
      <c r="A1062" s="4"/>
      <c r="V1062" s="4"/>
    </row>
    <row r="1063" spans="1:22">
      <c r="A1063" s="4"/>
      <c r="V1063" s="4"/>
    </row>
    <row r="1064" spans="1:22">
      <c r="A1064" s="4"/>
      <c r="V1064" s="4"/>
    </row>
    <row r="1065" spans="1:22">
      <c r="A1065" s="4"/>
      <c r="V1065" s="4"/>
    </row>
    <row r="1066" spans="1:22">
      <c r="A1066" s="4"/>
      <c r="V1066" s="4"/>
    </row>
    <row r="1067" spans="1:22">
      <c r="A1067" s="4"/>
      <c r="V1067" s="4"/>
    </row>
    <row r="1068" spans="1:22">
      <c r="A1068" s="4"/>
      <c r="V1068" s="4"/>
    </row>
    <row r="1069" spans="1:22">
      <c r="A1069" s="4"/>
      <c r="V1069" s="4"/>
    </row>
    <row r="1070" spans="1:22">
      <c r="A1070" s="4"/>
      <c r="V1070" s="4"/>
    </row>
    <row r="1071" spans="1:22">
      <c r="A1071" s="4"/>
      <c r="V1071" s="4"/>
    </row>
    <row r="1072" spans="1:22">
      <c r="A1072" s="4"/>
      <c r="V1072" s="4"/>
    </row>
    <row r="1073" spans="1:22">
      <c r="A1073" s="4"/>
      <c r="V1073" s="4"/>
    </row>
    <row r="1074" spans="1:22">
      <c r="A1074" s="4"/>
      <c r="V1074" s="4"/>
    </row>
    <row r="1075" spans="1:22">
      <c r="A1075" s="4"/>
      <c r="V1075" s="4"/>
    </row>
    <row r="1076" spans="1:22">
      <c r="A1076" s="4"/>
      <c r="V1076" s="4"/>
    </row>
    <row r="1077" spans="1:22">
      <c r="A1077" s="4"/>
      <c r="V1077" s="4"/>
    </row>
    <row r="1078" spans="1:22">
      <c r="A1078" s="4"/>
      <c r="V1078" s="4"/>
    </row>
    <row r="1079" spans="1:22">
      <c r="A1079" s="4"/>
      <c r="V1079" s="4"/>
    </row>
    <row r="1080" spans="1:22">
      <c r="A1080" s="4"/>
      <c r="V1080" s="4"/>
    </row>
    <row r="1081" spans="1:22">
      <c r="A1081" s="4"/>
      <c r="V1081" s="4"/>
    </row>
    <row r="1082" spans="1:22">
      <c r="A1082" s="4"/>
      <c r="V1082" s="4"/>
    </row>
    <row r="1083" spans="1:22">
      <c r="A1083" s="4"/>
      <c r="V1083" s="4"/>
    </row>
    <row r="1084" spans="1:22">
      <c r="A1084" s="4"/>
      <c r="V1084" s="4"/>
    </row>
    <row r="1085" spans="1:22">
      <c r="A1085" s="4"/>
      <c r="V1085" s="4"/>
    </row>
    <row r="1086" spans="1:22">
      <c r="A1086" s="4"/>
      <c r="V1086" s="4"/>
    </row>
    <row r="1087" spans="1:22">
      <c r="A1087" s="4"/>
      <c r="V1087" s="4"/>
    </row>
    <row r="1088" spans="1:22">
      <c r="A1088" s="4"/>
      <c r="V1088" s="4"/>
    </row>
    <row r="1089" spans="1:22">
      <c r="A1089" s="4"/>
      <c r="V1089" s="4"/>
    </row>
    <row r="1090" spans="1:22">
      <c r="A1090" s="4"/>
      <c r="V1090" s="4"/>
    </row>
    <row r="1091" spans="1:22">
      <c r="A1091" s="4"/>
      <c r="V1091" s="4"/>
    </row>
    <row r="1092" spans="1:22">
      <c r="A1092" s="4"/>
      <c r="V1092" s="4"/>
    </row>
    <row r="1093" spans="1:22">
      <c r="A1093" s="4"/>
      <c r="V1093" s="4"/>
    </row>
    <row r="1094" spans="1:22">
      <c r="A1094" s="4"/>
      <c r="V1094" s="4"/>
    </row>
    <row r="1095" spans="1:22">
      <c r="A1095" s="4"/>
      <c r="V1095" s="4"/>
    </row>
    <row r="1096" spans="1:22">
      <c r="A1096" s="4"/>
      <c r="V1096" s="4"/>
    </row>
    <row r="1097" spans="1:22">
      <c r="A1097" s="4"/>
      <c r="V1097" s="4"/>
    </row>
    <row r="1098" spans="1:22">
      <c r="A1098" s="4"/>
      <c r="V1098" s="4"/>
    </row>
    <row r="1099" spans="1:22">
      <c r="A1099" s="4"/>
      <c r="V1099" s="4"/>
    </row>
    <row r="1100" spans="1:22">
      <c r="A1100" s="4"/>
      <c r="V1100" s="4"/>
    </row>
    <row r="1101" spans="1:22">
      <c r="A1101" s="4"/>
      <c r="V1101" s="4"/>
    </row>
    <row r="1102" spans="1:22">
      <c r="A1102" s="4"/>
      <c r="V1102" s="4"/>
    </row>
    <row r="1103" spans="1:22">
      <c r="A1103" s="4"/>
      <c r="V1103" s="4"/>
    </row>
    <row r="1104" spans="1:22">
      <c r="A1104" s="4"/>
      <c r="V1104" s="4"/>
    </row>
    <row r="1105" spans="1:22">
      <c r="A1105" s="4"/>
      <c r="V1105" s="4"/>
    </row>
    <row r="1106" spans="1:22">
      <c r="A1106" s="4"/>
      <c r="V1106" s="4"/>
    </row>
    <row r="1107" spans="1:22">
      <c r="A1107" s="4"/>
      <c r="V1107" s="4"/>
    </row>
    <row r="1108" spans="1:22">
      <c r="A1108" s="4"/>
      <c r="V1108" s="4"/>
    </row>
    <row r="1109" spans="1:22">
      <c r="A1109" s="4"/>
      <c r="V1109" s="4"/>
    </row>
    <row r="1110" spans="1:22">
      <c r="A1110" s="4"/>
      <c r="V1110" s="4"/>
    </row>
    <row r="1111" spans="1:22">
      <c r="A1111" s="4"/>
      <c r="V1111" s="4"/>
    </row>
    <row r="1112" spans="1:22">
      <c r="A1112" s="4"/>
      <c r="V1112" s="4"/>
    </row>
    <row r="1113" spans="1:22">
      <c r="A1113" s="4"/>
      <c r="V1113" s="4"/>
    </row>
    <row r="1114" spans="1:22">
      <c r="A1114" s="4"/>
      <c r="V1114" s="4"/>
    </row>
    <row r="1115" spans="1:22">
      <c r="A1115" s="4"/>
      <c r="V1115" s="4"/>
    </row>
    <row r="1116" spans="1:22">
      <c r="A1116" s="4"/>
      <c r="V1116" s="4"/>
    </row>
    <row r="1117" spans="1:22">
      <c r="A1117" s="4"/>
      <c r="V1117" s="4"/>
    </row>
    <row r="1118" spans="1:22">
      <c r="A1118" s="4"/>
      <c r="V1118" s="4"/>
    </row>
    <row r="1119" spans="1:22">
      <c r="A1119" s="4"/>
      <c r="V1119" s="4"/>
    </row>
    <row r="1120" spans="1:22">
      <c r="A1120" s="4"/>
      <c r="V1120" s="4"/>
    </row>
    <row r="1121" spans="1:22">
      <c r="A1121" s="4"/>
      <c r="V1121" s="4"/>
    </row>
    <row r="1122" spans="1:22">
      <c r="A1122" s="4"/>
      <c r="V1122" s="4"/>
    </row>
    <row r="1123" spans="1:22">
      <c r="A1123" s="4"/>
      <c r="V1123" s="4"/>
    </row>
    <row r="1124" spans="1:22">
      <c r="A1124" s="4"/>
      <c r="V1124" s="4"/>
    </row>
    <row r="1125" spans="1:22">
      <c r="A1125" s="4"/>
      <c r="V1125" s="4"/>
    </row>
    <row r="1126" spans="1:22">
      <c r="A1126" s="4"/>
      <c r="V1126" s="4"/>
    </row>
    <row r="1127" spans="1:22">
      <c r="A1127" s="4"/>
      <c r="V1127" s="4"/>
    </row>
    <row r="1128" spans="1:22">
      <c r="A1128" s="4"/>
      <c r="V1128" s="4"/>
    </row>
    <row r="1129" spans="1:22">
      <c r="A1129" s="4"/>
      <c r="V1129" s="4"/>
    </row>
    <row r="1130" spans="1:22">
      <c r="A1130" s="4"/>
      <c r="V1130" s="4"/>
    </row>
    <row r="1131" spans="1:22">
      <c r="A1131" s="4"/>
      <c r="V1131" s="4"/>
    </row>
    <row r="1132" spans="1:22">
      <c r="A1132" s="4"/>
      <c r="V1132" s="4"/>
    </row>
    <row r="1133" spans="1:22">
      <c r="A1133" s="4"/>
      <c r="V1133" s="4"/>
    </row>
    <row r="1134" spans="1:22">
      <c r="A1134" s="4"/>
      <c r="V1134" s="4"/>
    </row>
    <row r="1135" spans="1:22">
      <c r="A1135" s="4"/>
      <c r="V1135" s="4"/>
    </row>
    <row r="1136" spans="1:22">
      <c r="A1136" s="4"/>
      <c r="V1136" s="4"/>
    </row>
    <row r="1137" spans="1:22">
      <c r="A1137" s="4"/>
      <c r="V1137" s="4"/>
    </row>
    <row r="1138" spans="1:22">
      <c r="A1138" s="4"/>
      <c r="V1138" s="4"/>
    </row>
    <row r="1139" spans="1:22">
      <c r="A1139" s="4"/>
      <c r="V1139" s="4"/>
    </row>
    <row r="1140" spans="1:22">
      <c r="A1140" s="4"/>
      <c r="V1140" s="4"/>
    </row>
    <row r="1141" spans="1:22">
      <c r="A1141" s="4"/>
      <c r="V1141" s="4"/>
    </row>
    <row r="1142" spans="1:22">
      <c r="A1142" s="4"/>
      <c r="V1142" s="4"/>
    </row>
    <row r="1143" spans="1:22">
      <c r="A1143" s="4"/>
      <c r="V1143" s="4"/>
    </row>
    <row r="1144" spans="1:22">
      <c r="A1144" s="4"/>
      <c r="V1144" s="4"/>
    </row>
    <row r="1145" spans="1:22">
      <c r="A1145" s="4"/>
      <c r="V1145" s="4"/>
    </row>
    <row r="1146" spans="1:22">
      <c r="A1146" s="4"/>
      <c r="V1146" s="4"/>
    </row>
    <row r="1147" spans="1:22">
      <c r="A1147" s="4"/>
      <c r="V1147" s="4"/>
    </row>
    <row r="1148" spans="1:22">
      <c r="A1148" s="4"/>
      <c r="V1148" s="4"/>
    </row>
    <row r="1149" spans="1:22">
      <c r="A1149" s="4"/>
      <c r="V1149" s="4"/>
    </row>
    <row r="1150" spans="1:22">
      <c r="A1150" s="4"/>
      <c r="V1150" s="4"/>
    </row>
    <row r="1151" spans="1:22">
      <c r="A1151" s="4"/>
      <c r="V1151" s="4"/>
    </row>
    <row r="1152" spans="1:22">
      <c r="A1152" s="4"/>
      <c r="V1152" s="4"/>
    </row>
    <row r="1153" spans="1:22">
      <c r="A1153" s="4"/>
      <c r="V1153" s="4"/>
    </row>
    <row r="1154" spans="1:22">
      <c r="A1154" s="4"/>
      <c r="V1154" s="4"/>
    </row>
    <row r="1155" spans="1:22">
      <c r="A1155" s="4"/>
      <c r="V1155" s="4"/>
    </row>
    <row r="1156" spans="1:22">
      <c r="A1156" s="4"/>
      <c r="V1156" s="4"/>
    </row>
    <row r="1157" spans="1:22">
      <c r="A1157" s="4"/>
      <c r="V1157" s="4"/>
    </row>
    <row r="1158" spans="1:22">
      <c r="A1158" s="4"/>
      <c r="V1158" s="4"/>
    </row>
    <row r="1159" spans="1:22">
      <c r="A1159" s="4"/>
      <c r="V1159" s="4"/>
    </row>
    <row r="1160" spans="1:22">
      <c r="A1160" s="4"/>
      <c r="V1160" s="4"/>
    </row>
    <row r="1161" spans="1:22">
      <c r="A1161" s="4"/>
      <c r="V1161" s="4"/>
    </row>
    <row r="1162" spans="1:22">
      <c r="A1162" s="4"/>
      <c r="V1162" s="4"/>
    </row>
    <row r="1163" spans="1:22">
      <c r="A1163" s="4"/>
      <c r="V1163" s="4"/>
    </row>
    <row r="1164" spans="1:22">
      <c r="A1164" s="4"/>
      <c r="V1164" s="4"/>
    </row>
    <row r="1165" spans="1:22">
      <c r="A1165" s="4"/>
      <c r="V1165" s="4"/>
    </row>
    <row r="1166" spans="1:22">
      <c r="A1166" s="4"/>
      <c r="V1166" s="4"/>
    </row>
    <row r="1167" spans="1:22">
      <c r="A1167" s="4"/>
      <c r="V1167" s="4"/>
    </row>
    <row r="1168" spans="1:22">
      <c r="A1168" s="4"/>
      <c r="V1168" s="4"/>
    </row>
    <row r="1169" spans="1:22">
      <c r="A1169" s="4"/>
      <c r="V1169" s="4"/>
    </row>
    <row r="1170" spans="1:22">
      <c r="A1170" s="4"/>
      <c r="V1170" s="4"/>
    </row>
    <row r="1171" spans="1:22">
      <c r="A1171" s="4"/>
      <c r="V1171" s="4"/>
    </row>
    <row r="1172" spans="1:22">
      <c r="A1172" s="4"/>
      <c r="V1172" s="4"/>
    </row>
    <row r="1173" spans="1:22">
      <c r="A1173" s="4"/>
      <c r="V1173" s="4"/>
    </row>
    <row r="1174" spans="1:22">
      <c r="A1174" s="4"/>
      <c r="V1174" s="4"/>
    </row>
    <row r="1175" spans="1:22">
      <c r="A1175" s="4"/>
      <c r="V1175" s="4"/>
    </row>
    <row r="1176" spans="1:22">
      <c r="A1176" s="4"/>
      <c r="V1176" s="4"/>
    </row>
    <row r="1177" spans="1:22">
      <c r="A1177" s="4"/>
      <c r="V1177" s="4"/>
    </row>
    <row r="1178" spans="1:22">
      <c r="A1178" s="4"/>
      <c r="V1178" s="4"/>
    </row>
    <row r="1179" spans="1:22">
      <c r="A1179" s="4"/>
      <c r="V1179" s="4"/>
    </row>
    <row r="1180" spans="1:22">
      <c r="A1180" s="4"/>
      <c r="V1180" s="4"/>
    </row>
    <row r="1181" spans="1:22">
      <c r="A1181" s="4"/>
      <c r="V1181" s="4"/>
    </row>
    <row r="1182" spans="1:22">
      <c r="A1182" s="4"/>
      <c r="V1182" s="4"/>
    </row>
    <row r="1183" spans="1:22">
      <c r="A1183" s="4"/>
      <c r="V1183" s="4"/>
    </row>
    <row r="1184" spans="1:22">
      <c r="A1184" s="4"/>
      <c r="V1184" s="4"/>
    </row>
    <row r="1185" spans="1:22">
      <c r="A1185" s="4"/>
      <c r="V1185" s="4"/>
    </row>
    <row r="1186" spans="1:22">
      <c r="A1186" s="4"/>
      <c r="V1186" s="4"/>
    </row>
    <row r="1187" spans="1:22">
      <c r="A1187" s="4"/>
      <c r="V1187" s="4"/>
    </row>
    <row r="1188" spans="1:22">
      <c r="A1188" s="4"/>
      <c r="V1188" s="4"/>
    </row>
    <row r="1189" spans="1:22">
      <c r="A1189" s="4"/>
      <c r="V1189" s="4"/>
    </row>
    <row r="1190" spans="1:22">
      <c r="A1190" s="4"/>
      <c r="V1190" s="4"/>
    </row>
    <row r="1191" spans="1:22">
      <c r="A1191" s="4"/>
      <c r="V1191" s="4"/>
    </row>
    <row r="1192" spans="1:22">
      <c r="A1192" s="4"/>
      <c r="V1192" s="4"/>
    </row>
    <row r="1193" spans="1:22">
      <c r="A1193" s="4"/>
      <c r="V1193" s="4"/>
    </row>
    <row r="1194" spans="1:22">
      <c r="A1194" s="4"/>
      <c r="V1194" s="4"/>
    </row>
    <row r="1195" spans="1:22">
      <c r="A1195" s="4"/>
      <c r="V1195" s="4"/>
    </row>
    <row r="1196" spans="1:22">
      <c r="A1196" s="4"/>
      <c r="V1196" s="4"/>
    </row>
    <row r="1197" spans="1:22">
      <c r="A1197" s="4"/>
      <c r="V1197" s="4"/>
    </row>
    <row r="1198" spans="1:22">
      <c r="A1198" s="4"/>
      <c r="V1198" s="4"/>
    </row>
    <row r="1199" spans="1:22">
      <c r="A1199" s="4"/>
      <c r="V1199" s="4"/>
    </row>
    <row r="1200" spans="1:22">
      <c r="A1200" s="4"/>
      <c r="V1200" s="4"/>
    </row>
    <row r="1201" spans="1:22">
      <c r="A1201" s="4"/>
      <c r="V1201" s="4"/>
    </row>
    <row r="1202" spans="1:22">
      <c r="A1202" s="4"/>
      <c r="V1202" s="4"/>
    </row>
    <row r="1203" spans="1:22">
      <c r="A1203" s="4"/>
      <c r="V1203" s="4"/>
    </row>
    <row r="1204" spans="1:22">
      <c r="A1204" s="4"/>
      <c r="V1204" s="4"/>
    </row>
    <row r="1205" spans="1:22">
      <c r="A1205" s="4"/>
      <c r="V1205" s="4"/>
    </row>
    <row r="1206" spans="1:22">
      <c r="A1206" s="4"/>
      <c r="V1206" s="4"/>
    </row>
    <row r="1207" spans="1:22">
      <c r="A1207" s="4"/>
      <c r="V1207" s="4"/>
    </row>
    <row r="1208" spans="1:22">
      <c r="A1208" s="4"/>
      <c r="V1208" s="4"/>
    </row>
    <row r="1209" spans="1:22">
      <c r="A1209" s="4"/>
      <c r="V1209" s="4"/>
    </row>
    <row r="1210" spans="1:22">
      <c r="A1210" s="4"/>
      <c r="V1210" s="4"/>
    </row>
    <row r="1211" spans="1:22">
      <c r="A1211" s="4"/>
      <c r="V1211" s="4"/>
    </row>
    <row r="1212" spans="1:22">
      <c r="A1212" s="4"/>
      <c r="V1212" s="4"/>
    </row>
    <row r="1213" spans="1:22">
      <c r="A1213" s="4"/>
      <c r="V1213" s="4"/>
    </row>
    <row r="1214" spans="1:22">
      <c r="A1214" s="4"/>
      <c r="V1214" s="4"/>
    </row>
    <row r="1215" spans="1:22">
      <c r="A1215" s="4"/>
      <c r="V1215" s="4"/>
    </row>
    <row r="1216" spans="1:22">
      <c r="A1216" s="4"/>
      <c r="V1216" s="4"/>
    </row>
    <row r="1217" spans="1:22">
      <c r="A1217" s="4"/>
      <c r="V1217" s="4"/>
    </row>
    <row r="1218" spans="1:22">
      <c r="A1218" s="4"/>
      <c r="V1218" s="4"/>
    </row>
    <row r="1219" spans="1:22">
      <c r="A1219" s="4"/>
      <c r="V1219" s="4"/>
    </row>
    <row r="1220" spans="1:22">
      <c r="A1220" s="4"/>
      <c r="V1220" s="4"/>
    </row>
    <row r="1221" spans="1:22">
      <c r="A1221" s="4"/>
      <c r="V1221" s="4"/>
    </row>
    <row r="1222" spans="1:22">
      <c r="A1222" s="4"/>
      <c r="V1222" s="4"/>
    </row>
    <row r="1223" spans="1:22">
      <c r="A1223" s="4"/>
      <c r="V1223" s="4"/>
    </row>
    <row r="1224" spans="1:22">
      <c r="A1224" s="4"/>
      <c r="V1224" s="4"/>
    </row>
    <row r="1225" spans="1:22">
      <c r="A1225" s="4"/>
      <c r="V1225" s="4"/>
    </row>
    <row r="1226" spans="1:22">
      <c r="A1226" s="4"/>
      <c r="V1226" s="4"/>
    </row>
    <row r="1227" spans="1:22">
      <c r="A1227" s="4"/>
      <c r="V1227" s="4"/>
    </row>
    <row r="1228" spans="1:22">
      <c r="A1228" s="4"/>
      <c r="V1228" s="4"/>
    </row>
    <row r="1229" spans="1:22">
      <c r="A1229" s="4"/>
      <c r="V1229" s="4"/>
    </row>
    <row r="1230" spans="1:22">
      <c r="A1230" s="4"/>
      <c r="V1230" s="4"/>
    </row>
    <row r="1231" spans="1:22">
      <c r="A1231" s="4"/>
      <c r="V1231" s="4"/>
    </row>
    <row r="1232" spans="1:22">
      <c r="A1232" s="4"/>
      <c r="V1232" s="4"/>
    </row>
    <row r="1233" spans="1:22">
      <c r="A1233" s="4"/>
      <c r="V1233" s="4"/>
    </row>
    <row r="1234" spans="1:22">
      <c r="A1234" s="4"/>
      <c r="V1234" s="4"/>
    </row>
    <row r="1235" spans="1:22">
      <c r="A1235" s="4"/>
      <c r="V1235" s="4"/>
    </row>
    <row r="1236" spans="1:22">
      <c r="A1236" s="4"/>
      <c r="V1236" s="4"/>
    </row>
    <row r="1237" spans="1:22">
      <c r="A1237" s="4"/>
      <c r="V1237" s="4"/>
    </row>
    <row r="1238" spans="1:22">
      <c r="A1238" s="4"/>
      <c r="V1238" s="4"/>
    </row>
    <row r="1239" spans="1:22">
      <c r="A1239" s="4"/>
      <c r="V1239" s="4"/>
    </row>
    <row r="1240" spans="1:22">
      <c r="A1240" s="4"/>
      <c r="V1240" s="4"/>
    </row>
    <row r="1241" spans="1:22">
      <c r="A1241" s="4"/>
      <c r="V1241" s="4"/>
    </row>
    <row r="1242" spans="1:22">
      <c r="A1242" s="4"/>
      <c r="V1242" s="4"/>
    </row>
    <row r="1243" spans="1:22">
      <c r="A1243" s="4"/>
      <c r="V1243" s="4"/>
    </row>
    <row r="1244" spans="1:22">
      <c r="A1244" s="4"/>
      <c r="V1244" s="4"/>
    </row>
    <row r="1245" spans="1:22">
      <c r="A1245" s="4"/>
      <c r="V1245" s="4"/>
    </row>
    <row r="1246" spans="1:22">
      <c r="A1246" s="4"/>
      <c r="V1246" s="4"/>
    </row>
    <row r="1247" spans="1:22">
      <c r="A1247" s="4"/>
      <c r="V1247" s="4"/>
    </row>
    <row r="1248" spans="1:22">
      <c r="A1248" s="4"/>
      <c r="V1248" s="4"/>
    </row>
    <row r="1249" spans="1:22">
      <c r="A1249" s="4"/>
      <c r="V1249" s="4"/>
    </row>
    <row r="1250" spans="1:22">
      <c r="A1250" s="4"/>
      <c r="V1250" s="4"/>
    </row>
    <row r="1251" spans="1:22">
      <c r="A1251" s="4"/>
      <c r="V1251" s="4"/>
    </row>
    <row r="1252" spans="1:22">
      <c r="A1252" s="4"/>
      <c r="V1252" s="4"/>
    </row>
    <row r="1253" spans="1:22">
      <c r="A1253" s="4"/>
      <c r="V1253" s="4"/>
    </row>
    <row r="1254" spans="1:22">
      <c r="A1254" s="4"/>
      <c r="V1254" s="4"/>
    </row>
    <row r="1255" spans="1:22">
      <c r="A1255" s="4"/>
      <c r="V1255" s="4"/>
    </row>
    <row r="1256" spans="1:22">
      <c r="A1256" s="4"/>
      <c r="V1256" s="4"/>
    </row>
    <row r="1257" spans="1:22">
      <c r="A1257" s="4"/>
      <c r="V1257" s="4"/>
    </row>
    <row r="1258" spans="1:22">
      <c r="A1258" s="4"/>
      <c r="V1258" s="4"/>
    </row>
    <row r="1259" spans="1:22">
      <c r="A1259" s="4"/>
      <c r="V1259" s="4"/>
    </row>
    <row r="1260" spans="1:22">
      <c r="A1260" s="4"/>
      <c r="V1260" s="4"/>
    </row>
    <row r="1261" spans="1:22">
      <c r="A1261" s="4"/>
      <c r="V1261" s="4"/>
    </row>
    <row r="1262" spans="1:22">
      <c r="A1262" s="4"/>
      <c r="V1262" s="4"/>
    </row>
    <row r="1263" spans="1:22">
      <c r="A1263" s="4"/>
      <c r="V1263" s="4"/>
    </row>
    <row r="1264" spans="1:22">
      <c r="A1264" s="4"/>
      <c r="V1264" s="4"/>
    </row>
    <row r="1265" spans="1:22">
      <c r="A1265" s="4"/>
      <c r="V1265" s="4"/>
    </row>
    <row r="1266" spans="1:22">
      <c r="A1266" s="4"/>
      <c r="V1266" s="4"/>
    </row>
    <row r="1267" spans="1:22">
      <c r="A1267" s="4"/>
      <c r="V1267" s="4"/>
    </row>
    <row r="1268" spans="1:22">
      <c r="A1268" s="4"/>
      <c r="V1268" s="4"/>
    </row>
    <row r="1269" spans="1:22">
      <c r="A1269" s="4"/>
      <c r="V1269" s="4"/>
    </row>
    <row r="1270" spans="1:22">
      <c r="A1270" s="4"/>
      <c r="V1270" s="4"/>
    </row>
    <row r="1271" spans="1:22">
      <c r="A1271" s="4"/>
      <c r="V1271" s="4"/>
    </row>
    <row r="1272" spans="1:22">
      <c r="A1272" s="4"/>
      <c r="V1272" s="4"/>
    </row>
    <row r="1273" spans="1:22">
      <c r="A1273" s="4"/>
      <c r="V1273" s="4"/>
    </row>
    <row r="1274" spans="1:22">
      <c r="A1274" s="4"/>
      <c r="V1274" s="4"/>
    </row>
    <row r="1275" spans="1:22">
      <c r="A1275" s="4"/>
      <c r="V1275" s="4"/>
    </row>
    <row r="1276" spans="1:22">
      <c r="A1276" s="4"/>
      <c r="V1276" s="4"/>
    </row>
    <row r="1277" spans="1:22">
      <c r="A1277" s="4"/>
      <c r="V1277" s="4"/>
    </row>
    <row r="1278" spans="1:22">
      <c r="A1278" s="4"/>
      <c r="V1278" s="4"/>
    </row>
    <row r="1279" spans="1:22">
      <c r="A1279" s="4"/>
      <c r="V1279" s="4"/>
    </row>
    <row r="1280" spans="1:22">
      <c r="A1280" s="4"/>
      <c r="V1280" s="4"/>
    </row>
    <row r="1281" spans="1:22">
      <c r="A1281" s="4"/>
      <c r="V1281" s="4"/>
    </row>
    <row r="1282" spans="1:22">
      <c r="A1282" s="4"/>
      <c r="V1282" s="4"/>
    </row>
    <row r="1283" spans="1:22">
      <c r="A1283" s="4"/>
      <c r="V1283" s="4"/>
    </row>
    <row r="1284" spans="1:22">
      <c r="A1284" s="4"/>
      <c r="V1284" s="4"/>
    </row>
    <row r="1285" spans="1:22">
      <c r="A1285" s="4"/>
      <c r="V1285" s="4"/>
    </row>
    <row r="1286" spans="1:22">
      <c r="A1286" s="4"/>
      <c r="V1286" s="4"/>
    </row>
    <row r="1287" spans="1:22">
      <c r="A1287" s="4"/>
      <c r="V1287" s="4"/>
    </row>
    <row r="1288" spans="1:22">
      <c r="A1288" s="4"/>
      <c r="V1288" s="4"/>
    </row>
    <row r="1289" spans="1:22">
      <c r="A1289" s="4"/>
      <c r="V1289" s="4"/>
    </row>
    <row r="1290" spans="1:22">
      <c r="A1290" s="4"/>
      <c r="V1290" s="4"/>
    </row>
    <row r="1291" spans="1:22">
      <c r="A1291" s="4"/>
      <c r="V1291" s="4"/>
    </row>
    <row r="1292" spans="1:22">
      <c r="A1292" s="4"/>
      <c r="V1292" s="4"/>
    </row>
    <row r="1293" spans="1:22">
      <c r="A1293" s="4"/>
      <c r="V1293" s="4"/>
    </row>
    <row r="1294" spans="1:22">
      <c r="A1294" s="4"/>
      <c r="V1294" s="4"/>
    </row>
    <row r="1295" spans="1:22">
      <c r="A1295" s="4"/>
      <c r="V1295" s="4"/>
    </row>
    <row r="1296" spans="1:22">
      <c r="A1296" s="4"/>
      <c r="V1296" s="4"/>
    </row>
    <row r="1297" spans="1:22">
      <c r="A1297" s="4"/>
      <c r="V1297" s="4"/>
    </row>
    <row r="1298" spans="1:22">
      <c r="A1298" s="4"/>
      <c r="V1298" s="4"/>
    </row>
    <row r="1299" spans="1:22">
      <c r="A1299" s="4"/>
      <c r="V1299" s="4"/>
    </row>
    <row r="1300" spans="1:22">
      <c r="A1300" s="4"/>
      <c r="V1300" s="4"/>
    </row>
    <row r="1301" spans="1:22">
      <c r="A1301" s="4"/>
      <c r="V1301" s="4"/>
    </row>
    <row r="1302" spans="1:22">
      <c r="A1302" s="4"/>
      <c r="V1302" s="4"/>
    </row>
    <row r="1303" spans="1:22">
      <c r="A1303" s="4"/>
      <c r="V1303" s="4"/>
    </row>
    <row r="1304" spans="1:22">
      <c r="A1304" s="4"/>
      <c r="V1304" s="4"/>
    </row>
    <row r="1305" spans="1:22">
      <c r="A1305" s="4"/>
      <c r="V1305" s="4"/>
    </row>
    <row r="1306" spans="1:22">
      <c r="A1306" s="4"/>
      <c r="V1306" s="4"/>
    </row>
    <row r="1307" spans="1:22">
      <c r="A1307" s="4"/>
      <c r="V1307" s="4"/>
    </row>
    <row r="1308" spans="1:22">
      <c r="A1308" s="4"/>
      <c r="V1308" s="4"/>
    </row>
    <row r="1309" spans="1:22">
      <c r="A1309" s="4"/>
      <c r="V1309" s="4"/>
    </row>
    <row r="1310" spans="1:22">
      <c r="A1310" s="4"/>
      <c r="V1310" s="4"/>
    </row>
    <row r="1311" spans="1:22">
      <c r="A1311" s="4"/>
      <c r="V1311" s="4"/>
    </row>
    <row r="1312" spans="1:22">
      <c r="A1312" s="4"/>
      <c r="V1312" s="4"/>
    </row>
    <row r="1313" spans="1:22">
      <c r="A1313" s="4"/>
      <c r="V1313" s="4"/>
    </row>
    <row r="1314" spans="1:22">
      <c r="A1314" s="4"/>
      <c r="V1314" s="4"/>
    </row>
    <row r="1315" spans="1:22">
      <c r="A1315" s="4"/>
      <c r="V1315" s="4"/>
    </row>
    <row r="1316" spans="1:22">
      <c r="A1316" s="4"/>
      <c r="V1316" s="4"/>
    </row>
    <row r="1317" spans="1:22">
      <c r="A1317" s="4"/>
      <c r="V1317" s="4"/>
    </row>
    <row r="1318" spans="1:22">
      <c r="A1318" s="4"/>
      <c r="V1318" s="4"/>
    </row>
    <row r="1319" spans="1:22">
      <c r="A1319" s="4"/>
      <c r="V1319" s="4"/>
    </row>
    <row r="1320" spans="1:22">
      <c r="A1320" s="4"/>
      <c r="V1320" s="4"/>
    </row>
    <row r="1321" spans="1:22">
      <c r="A1321" s="4"/>
      <c r="V1321" s="4"/>
    </row>
    <row r="1322" spans="1:22">
      <c r="A1322" s="4"/>
      <c r="V1322" s="4"/>
    </row>
    <row r="1323" spans="1:22">
      <c r="A1323" s="4"/>
      <c r="V1323" s="4"/>
    </row>
    <row r="1324" spans="1:22">
      <c r="A1324" s="4"/>
      <c r="V1324" s="4"/>
    </row>
    <row r="1325" spans="1:22">
      <c r="A1325" s="4"/>
      <c r="V1325" s="4"/>
    </row>
    <row r="1326" spans="1:22">
      <c r="A1326" s="4"/>
      <c r="V1326" s="4"/>
    </row>
    <row r="1327" spans="1:22">
      <c r="A1327" s="4"/>
      <c r="V1327" s="4"/>
    </row>
    <row r="1328" spans="1:22">
      <c r="A1328" s="4"/>
      <c r="V1328" s="4"/>
    </row>
    <row r="1329" spans="1:22">
      <c r="A1329" s="4"/>
      <c r="V1329" s="4"/>
    </row>
    <row r="1330" spans="1:22">
      <c r="A1330" s="4"/>
      <c r="V1330" s="4"/>
    </row>
    <row r="1331" spans="1:22">
      <c r="A1331" s="4"/>
      <c r="V1331" s="4"/>
    </row>
    <row r="1332" spans="1:22">
      <c r="A1332" s="4"/>
      <c r="V1332" s="4"/>
    </row>
    <row r="1333" spans="1:22">
      <c r="A1333" s="4"/>
      <c r="V1333" s="4"/>
    </row>
    <row r="1334" spans="1:22">
      <c r="A1334" s="4"/>
      <c r="V1334" s="4"/>
    </row>
    <row r="1335" spans="1:22">
      <c r="A1335" s="4"/>
      <c r="V1335" s="4"/>
    </row>
    <row r="1336" spans="1:22">
      <c r="A1336" s="4"/>
      <c r="V1336" s="4"/>
    </row>
    <row r="1337" spans="1:22">
      <c r="A1337" s="4"/>
      <c r="V1337" s="4"/>
    </row>
    <row r="1338" spans="1:22">
      <c r="A1338" s="4"/>
      <c r="V1338" s="4"/>
    </row>
    <row r="1339" spans="1:22">
      <c r="A1339" s="4"/>
      <c r="V1339" s="4"/>
    </row>
    <row r="1340" spans="1:22">
      <c r="A1340" s="4"/>
      <c r="V1340" s="4"/>
    </row>
    <row r="1341" spans="1:22">
      <c r="A1341" s="4"/>
      <c r="V1341" s="4"/>
    </row>
    <row r="1342" spans="1:22">
      <c r="A1342" s="4"/>
      <c r="V1342" s="4"/>
    </row>
    <row r="1343" spans="1:22">
      <c r="A1343" s="4"/>
      <c r="V1343" s="4"/>
    </row>
    <row r="1344" spans="1:22">
      <c r="A1344" s="4"/>
      <c r="V1344" s="4"/>
    </row>
    <row r="1345" spans="1:22">
      <c r="A1345" s="4"/>
      <c r="V1345" s="4"/>
    </row>
    <row r="1346" spans="1:22">
      <c r="A1346" s="4"/>
      <c r="V1346" s="4"/>
    </row>
    <row r="1347" spans="1:22">
      <c r="A1347" s="4"/>
      <c r="V1347" s="4"/>
    </row>
    <row r="1348" spans="1:22">
      <c r="A1348" s="4"/>
      <c r="V1348" s="4"/>
    </row>
    <row r="1349" spans="1:22">
      <c r="A1349" s="4"/>
      <c r="V1349" s="4"/>
    </row>
    <row r="1350" spans="1:22">
      <c r="A1350" s="4"/>
      <c r="V1350" s="4"/>
    </row>
    <row r="1351" spans="1:22">
      <c r="A1351" s="4"/>
      <c r="V1351" s="4"/>
    </row>
    <row r="1352" spans="1:22">
      <c r="A1352" s="4"/>
      <c r="V1352" s="4"/>
    </row>
    <row r="1353" spans="1:22">
      <c r="A1353" s="4"/>
      <c r="V1353" s="4"/>
    </row>
    <row r="1354" spans="1:22">
      <c r="A1354" s="4"/>
      <c r="V1354" s="4"/>
    </row>
    <row r="1355" spans="1:22">
      <c r="A1355" s="4"/>
      <c r="V1355" s="4"/>
    </row>
    <row r="1356" spans="1:22">
      <c r="A1356" s="4"/>
      <c r="V1356" s="4"/>
    </row>
    <row r="1357" spans="1:22">
      <c r="A1357" s="4"/>
      <c r="V1357" s="4"/>
    </row>
    <row r="1358" spans="1:22">
      <c r="A1358" s="4"/>
      <c r="V1358" s="4"/>
    </row>
    <row r="1359" spans="1:22">
      <c r="A1359" s="4"/>
      <c r="V1359" s="4"/>
    </row>
    <row r="1360" spans="1:22">
      <c r="A1360" s="4"/>
      <c r="V1360" s="4"/>
    </row>
    <row r="1361" spans="1:22">
      <c r="A1361" s="4"/>
      <c r="V1361" s="4"/>
    </row>
    <row r="1362" spans="1:22">
      <c r="A1362" s="4"/>
      <c r="V1362" s="4"/>
    </row>
    <row r="1363" spans="1:22">
      <c r="A1363" s="4"/>
      <c r="V1363" s="4"/>
    </row>
    <row r="1364" spans="1:22">
      <c r="A1364" s="4"/>
      <c r="V1364" s="4"/>
    </row>
    <row r="1365" spans="1:22">
      <c r="A1365" s="4"/>
      <c r="V1365" s="4"/>
    </row>
    <row r="1366" spans="1:22">
      <c r="A1366" s="4"/>
      <c r="V1366" s="4"/>
    </row>
    <row r="1367" spans="1:22">
      <c r="A1367" s="4"/>
      <c r="V1367" s="4"/>
    </row>
    <row r="1368" spans="1:22">
      <c r="A1368" s="4"/>
      <c r="V1368" s="4"/>
    </row>
    <row r="1369" spans="1:22">
      <c r="A1369" s="4"/>
      <c r="V1369" s="4"/>
    </row>
    <row r="1370" spans="1:22">
      <c r="A1370" s="4"/>
      <c r="V1370" s="4"/>
    </row>
    <row r="1371" spans="1:22">
      <c r="A1371" s="4"/>
      <c r="V1371" s="4"/>
    </row>
    <row r="1372" spans="1:22">
      <c r="A1372" s="4"/>
      <c r="V1372" s="4"/>
    </row>
    <row r="1373" spans="1:22">
      <c r="A1373" s="4"/>
      <c r="V1373" s="4"/>
    </row>
    <row r="1374" spans="1:22">
      <c r="A1374" s="4"/>
      <c r="V1374" s="4"/>
    </row>
    <row r="1375" spans="1:22">
      <c r="A1375" s="4"/>
      <c r="V1375" s="4"/>
    </row>
    <row r="1376" spans="1:22">
      <c r="A1376" s="4"/>
      <c r="V1376" s="4"/>
    </row>
    <row r="1377" spans="1:22">
      <c r="A1377" s="4"/>
      <c r="V1377" s="4"/>
    </row>
    <row r="1378" spans="1:22">
      <c r="A1378" s="4"/>
      <c r="V1378" s="4"/>
    </row>
    <row r="1379" spans="1:22">
      <c r="A1379" s="4"/>
      <c r="V1379" s="4"/>
    </row>
    <row r="1380" spans="1:22">
      <c r="A1380" s="4"/>
      <c r="V1380" s="4"/>
    </row>
    <row r="1381" spans="1:22">
      <c r="A1381" s="4"/>
      <c r="V1381" s="4"/>
    </row>
    <row r="1382" spans="1:22">
      <c r="A1382" s="4"/>
      <c r="V1382" s="4"/>
    </row>
    <row r="1383" spans="1:22">
      <c r="A1383" s="4"/>
      <c r="V1383" s="4"/>
    </row>
    <row r="1384" spans="1:22">
      <c r="A1384" s="4"/>
      <c r="V1384" s="4"/>
    </row>
    <row r="1385" spans="1:22">
      <c r="A1385" s="4"/>
      <c r="V1385" s="4"/>
    </row>
    <row r="1386" spans="1:22">
      <c r="A1386" s="4"/>
      <c r="V1386" s="4"/>
    </row>
    <row r="1387" spans="1:22">
      <c r="A1387" s="4"/>
      <c r="V1387" s="4"/>
    </row>
    <row r="1388" spans="1:22">
      <c r="A1388" s="4"/>
      <c r="V1388" s="4"/>
    </row>
    <row r="1389" spans="1:22">
      <c r="A1389" s="4"/>
      <c r="V1389" s="4"/>
    </row>
    <row r="1390" spans="1:22">
      <c r="A1390" s="4"/>
      <c r="V1390" s="4"/>
    </row>
    <row r="1391" spans="1:22">
      <c r="A1391" s="4"/>
      <c r="V1391" s="4"/>
    </row>
    <row r="1392" spans="1:22">
      <c r="A1392" s="4"/>
      <c r="V1392" s="4"/>
    </row>
    <row r="1393" spans="1:22">
      <c r="A1393" s="4"/>
      <c r="V1393" s="4"/>
    </row>
    <row r="1394" spans="1:22">
      <c r="A1394" s="4"/>
      <c r="V1394" s="4"/>
    </row>
    <row r="1395" spans="1:22">
      <c r="A1395" s="4"/>
      <c r="V1395" s="4"/>
    </row>
    <row r="1396" spans="1:22">
      <c r="A1396" s="4"/>
      <c r="V1396" s="4"/>
    </row>
    <row r="1397" spans="1:22">
      <c r="A1397" s="4"/>
      <c r="V1397" s="4"/>
    </row>
    <row r="1398" spans="1:22">
      <c r="A1398" s="4"/>
      <c r="V1398" s="4"/>
    </row>
    <row r="1399" spans="1:22">
      <c r="A1399" s="4"/>
      <c r="V1399" s="4"/>
    </row>
    <row r="1400" spans="1:22">
      <c r="A1400" s="4"/>
      <c r="V1400" s="4"/>
    </row>
    <row r="1401" spans="1:22">
      <c r="A1401" s="4"/>
      <c r="V1401" s="4"/>
    </row>
    <row r="1402" spans="1:22">
      <c r="A1402" s="4"/>
      <c r="V1402" s="4"/>
    </row>
    <row r="1403" spans="1:22">
      <c r="A1403" s="4"/>
      <c r="V1403" s="4"/>
    </row>
    <row r="1404" spans="1:22">
      <c r="A1404" s="4"/>
      <c r="V1404" s="4"/>
    </row>
    <row r="1405" spans="1:22">
      <c r="A1405" s="4"/>
      <c r="V1405" s="4"/>
    </row>
    <row r="1406" spans="1:22">
      <c r="A1406" s="4"/>
      <c r="V1406" s="4"/>
    </row>
    <row r="1407" spans="1:22">
      <c r="A1407" s="4"/>
      <c r="V1407" s="4"/>
    </row>
    <row r="1408" spans="1:22">
      <c r="A1408" s="4"/>
      <c r="V1408" s="4"/>
    </row>
    <row r="1409" spans="1:22">
      <c r="A1409" s="4"/>
      <c r="V1409" s="4"/>
    </row>
    <row r="1410" spans="1:22">
      <c r="A1410" s="4"/>
      <c r="V1410" s="4"/>
    </row>
    <row r="1411" spans="1:22">
      <c r="A1411" s="4"/>
      <c r="V1411" s="4"/>
    </row>
    <row r="1412" spans="1:22">
      <c r="A1412" s="4"/>
      <c r="V1412" s="4"/>
    </row>
    <row r="1413" spans="1:22">
      <c r="A1413" s="4"/>
      <c r="V1413" s="4"/>
    </row>
    <row r="1414" spans="1:22">
      <c r="A1414" s="4"/>
      <c r="V1414" s="4"/>
    </row>
    <row r="1415" spans="1:22">
      <c r="A1415" s="4"/>
      <c r="V1415" s="4"/>
    </row>
    <row r="1416" spans="1:22">
      <c r="A1416" s="4"/>
      <c r="V1416" s="4"/>
    </row>
    <row r="1417" spans="1:22">
      <c r="A1417" s="4"/>
      <c r="V1417" s="4"/>
    </row>
    <row r="1418" spans="1:22">
      <c r="A1418" s="4"/>
      <c r="V1418" s="4"/>
    </row>
    <row r="1419" spans="1:22">
      <c r="A1419" s="4"/>
      <c r="V1419" s="4"/>
    </row>
    <row r="1420" spans="1:22">
      <c r="A1420" s="4"/>
      <c r="V1420" s="4"/>
    </row>
    <row r="1421" spans="1:22">
      <c r="A1421" s="4"/>
      <c r="V1421" s="4"/>
    </row>
    <row r="1422" spans="1:22">
      <c r="A1422" s="4"/>
      <c r="V1422" s="4"/>
    </row>
    <row r="1423" spans="1:22">
      <c r="A1423" s="4"/>
      <c r="V1423" s="4"/>
    </row>
    <row r="1424" spans="1:22">
      <c r="A1424" s="4"/>
      <c r="V1424" s="4"/>
    </row>
    <row r="1425" spans="1:22">
      <c r="A1425" s="4"/>
      <c r="V1425" s="4"/>
    </row>
    <row r="1426" spans="1:22">
      <c r="A1426" s="4"/>
      <c r="V1426" s="4"/>
    </row>
    <row r="1427" spans="1:22">
      <c r="A1427" s="4"/>
      <c r="V1427" s="4"/>
    </row>
    <row r="1428" spans="1:22">
      <c r="A1428" s="4"/>
      <c r="V1428" s="4"/>
    </row>
    <row r="1429" spans="1:22">
      <c r="A1429" s="4"/>
      <c r="V1429" s="4"/>
    </row>
    <row r="1430" spans="1:22">
      <c r="A1430" s="4"/>
      <c r="V1430" s="4"/>
    </row>
    <row r="1431" spans="1:22">
      <c r="A1431" s="4"/>
      <c r="V1431" s="4"/>
    </row>
    <row r="1432" spans="1:22">
      <c r="A1432" s="4"/>
      <c r="V1432" s="4"/>
    </row>
    <row r="1433" spans="1:22">
      <c r="A1433" s="4"/>
      <c r="V1433" s="4"/>
    </row>
    <row r="1434" spans="1:22">
      <c r="A1434" s="4"/>
      <c r="V1434" s="4"/>
    </row>
    <row r="1435" spans="1:22">
      <c r="A1435" s="4"/>
      <c r="V1435" s="4"/>
    </row>
    <row r="1436" spans="1:22">
      <c r="A1436" s="4"/>
      <c r="V1436" s="4"/>
    </row>
    <row r="1437" spans="1:22">
      <c r="A1437" s="4"/>
      <c r="V1437" s="4"/>
    </row>
    <row r="1438" spans="1:22">
      <c r="A1438" s="4"/>
      <c r="V1438" s="4"/>
    </row>
    <row r="1439" spans="1:22">
      <c r="A1439" s="4"/>
      <c r="V1439" s="4"/>
    </row>
    <row r="1440" spans="1:22">
      <c r="A1440" s="4"/>
      <c r="V1440" s="4"/>
    </row>
    <row r="1441" spans="1:22">
      <c r="A1441" s="4"/>
      <c r="V1441" s="4"/>
    </row>
    <row r="1442" spans="1:22">
      <c r="A1442" s="4"/>
      <c r="V1442" s="4"/>
    </row>
    <row r="1443" spans="1:22">
      <c r="A1443" s="4"/>
      <c r="V1443" s="4"/>
    </row>
    <row r="1444" spans="1:22">
      <c r="A1444" s="4"/>
      <c r="V1444" s="4"/>
    </row>
    <row r="1445" spans="1:22">
      <c r="A1445" s="4"/>
      <c r="V1445" s="4"/>
    </row>
    <row r="1446" spans="1:22">
      <c r="A1446" s="4"/>
      <c r="V1446" s="4"/>
    </row>
    <row r="1447" spans="1:22">
      <c r="A1447" s="4"/>
      <c r="V1447" s="4"/>
    </row>
    <row r="1448" spans="1:22">
      <c r="A1448" s="4"/>
      <c r="V1448" s="4"/>
    </row>
    <row r="1449" spans="1:22">
      <c r="A1449" s="4"/>
      <c r="V1449" s="4"/>
    </row>
    <row r="1450" spans="1:22">
      <c r="A1450" s="4"/>
      <c r="V1450" s="4"/>
    </row>
    <row r="1451" spans="1:22">
      <c r="A1451" s="4"/>
      <c r="V1451" s="4"/>
    </row>
    <row r="1452" spans="1:22">
      <c r="A1452" s="4"/>
      <c r="V1452" s="4"/>
    </row>
    <row r="1453" spans="1:22">
      <c r="A1453" s="4"/>
      <c r="V1453" s="4"/>
    </row>
    <row r="1454" spans="1:22">
      <c r="A1454" s="4"/>
      <c r="V1454" s="4"/>
    </row>
    <row r="1455" spans="1:22">
      <c r="A1455" s="4"/>
      <c r="V1455" s="4"/>
    </row>
    <row r="1456" spans="1:22">
      <c r="A1456" s="4"/>
      <c r="V1456" s="4"/>
    </row>
    <row r="1457" spans="1:22">
      <c r="A1457" s="4"/>
      <c r="V1457" s="4"/>
    </row>
    <row r="1458" spans="1:22">
      <c r="A1458" s="4"/>
      <c r="V1458" s="4"/>
    </row>
    <row r="1459" spans="1:22">
      <c r="A1459" s="4"/>
      <c r="V1459" s="4"/>
    </row>
    <row r="1460" spans="1:22">
      <c r="A1460" s="4"/>
      <c r="V1460" s="4"/>
    </row>
    <row r="1461" spans="1:22">
      <c r="A1461" s="4"/>
      <c r="V1461" s="4"/>
    </row>
    <row r="1462" spans="1:22">
      <c r="A1462" s="4"/>
      <c r="V1462" s="4"/>
    </row>
    <row r="1463" spans="1:22">
      <c r="A1463" s="4"/>
      <c r="V1463" s="4"/>
    </row>
    <row r="1464" spans="1:22">
      <c r="A1464" s="4"/>
      <c r="V1464" s="4"/>
    </row>
    <row r="1465" spans="1:22">
      <c r="A1465" s="4"/>
      <c r="V1465" s="4"/>
    </row>
    <row r="1466" spans="1:22">
      <c r="A1466" s="4"/>
      <c r="V1466" s="4"/>
    </row>
    <row r="1467" spans="1:22">
      <c r="A1467" s="4"/>
      <c r="V1467" s="4"/>
    </row>
    <row r="1468" spans="1:22">
      <c r="A1468" s="4"/>
      <c r="V1468" s="4"/>
    </row>
    <row r="1469" spans="1:22">
      <c r="A1469" s="4"/>
      <c r="V1469" s="4"/>
    </row>
    <row r="1470" spans="1:22">
      <c r="A1470" s="4"/>
      <c r="V1470" s="4"/>
    </row>
    <row r="1471" spans="1:22">
      <c r="A1471" s="4"/>
      <c r="V1471" s="4"/>
    </row>
    <row r="1472" spans="1:22">
      <c r="A1472" s="4"/>
      <c r="V1472" s="4"/>
    </row>
    <row r="1473" spans="1:22">
      <c r="A1473" s="4"/>
      <c r="V1473" s="4"/>
    </row>
    <row r="1474" spans="1:22">
      <c r="A1474" s="4"/>
      <c r="V1474" s="4"/>
    </row>
    <row r="1475" spans="1:22">
      <c r="A1475" s="4"/>
      <c r="V1475" s="4"/>
    </row>
    <row r="1476" spans="1:22">
      <c r="A1476" s="4"/>
      <c r="V1476" s="4"/>
    </row>
    <row r="1477" spans="1:22">
      <c r="A1477" s="4"/>
      <c r="V1477" s="4"/>
    </row>
    <row r="1478" spans="1:22">
      <c r="A1478" s="4"/>
      <c r="V1478" s="4"/>
    </row>
    <row r="1479" spans="1:22">
      <c r="A1479" s="4"/>
      <c r="V1479" s="4"/>
    </row>
    <row r="1480" spans="1:22">
      <c r="A1480" s="4"/>
      <c r="V1480" s="4"/>
    </row>
    <row r="1481" spans="1:22">
      <c r="A1481" s="4"/>
      <c r="V1481" s="4"/>
    </row>
    <row r="1482" spans="1:22">
      <c r="A1482" s="4"/>
      <c r="V1482" s="4"/>
    </row>
    <row r="1483" spans="1:22">
      <c r="A1483" s="4"/>
      <c r="V1483" s="4"/>
    </row>
    <row r="1484" spans="1:22">
      <c r="A1484" s="4"/>
      <c r="V1484" s="4"/>
    </row>
    <row r="1485" spans="1:22">
      <c r="A1485" s="4"/>
      <c r="V1485" s="4"/>
    </row>
    <row r="1486" spans="1:22">
      <c r="A1486" s="4"/>
      <c r="V1486" s="4"/>
    </row>
    <row r="1487" spans="1:22">
      <c r="A1487" s="4"/>
      <c r="V1487" s="4"/>
    </row>
    <row r="1488" spans="1:22">
      <c r="A1488" s="4"/>
      <c r="V1488" s="4"/>
    </row>
    <row r="1489" spans="1:22">
      <c r="A1489" s="4"/>
      <c r="V1489" s="4"/>
    </row>
    <row r="1490" spans="1:22">
      <c r="A1490" s="4"/>
      <c r="V1490" s="4"/>
    </row>
    <row r="1491" spans="1:22">
      <c r="A1491" s="4"/>
      <c r="V1491" s="4"/>
    </row>
    <row r="1492" spans="1:22">
      <c r="A1492" s="4"/>
      <c r="V1492" s="4"/>
    </row>
    <row r="1493" spans="1:22">
      <c r="A1493" s="4"/>
      <c r="V1493" s="4"/>
    </row>
    <row r="1494" spans="1:22">
      <c r="A1494" s="4"/>
      <c r="V1494" s="4"/>
    </row>
    <row r="1495" spans="1:22">
      <c r="A1495" s="4"/>
      <c r="V1495" s="4"/>
    </row>
    <row r="1496" spans="1:22">
      <c r="A1496" s="4"/>
      <c r="V1496" s="4"/>
    </row>
    <row r="1497" spans="1:22">
      <c r="A1497" s="4"/>
      <c r="V1497" s="4"/>
    </row>
    <row r="1498" spans="1:22">
      <c r="A1498" s="4"/>
      <c r="V1498" s="4"/>
    </row>
    <row r="1499" spans="1:22">
      <c r="A1499" s="4"/>
      <c r="V1499" s="4"/>
    </row>
    <row r="1500" spans="1:22">
      <c r="A1500" s="4"/>
      <c r="V1500" s="4"/>
    </row>
    <row r="1501" spans="1:22">
      <c r="A1501" s="4"/>
      <c r="V1501" s="4"/>
    </row>
    <row r="1502" spans="1:22">
      <c r="A1502" s="4"/>
      <c r="V1502" s="4"/>
    </row>
    <row r="1503" spans="1:22">
      <c r="A1503" s="4"/>
      <c r="V1503" s="4"/>
    </row>
    <row r="1504" spans="1:22">
      <c r="A1504" s="4"/>
      <c r="V1504" s="4"/>
    </row>
    <row r="1505" spans="1:22">
      <c r="A1505" s="4"/>
      <c r="V1505" s="4"/>
    </row>
    <row r="1506" spans="1:22">
      <c r="A1506" s="4"/>
      <c r="V1506" s="4"/>
    </row>
    <row r="1507" spans="1:22">
      <c r="A1507" s="4"/>
      <c r="V1507" s="4"/>
    </row>
    <row r="1508" spans="1:22">
      <c r="A1508" s="4"/>
      <c r="V1508" s="4"/>
    </row>
    <row r="1509" spans="1:22">
      <c r="A1509" s="4"/>
      <c r="V1509" s="4"/>
    </row>
    <row r="1510" spans="1:22">
      <c r="A1510" s="4"/>
      <c r="V1510" s="4"/>
    </row>
    <row r="1511" spans="1:22">
      <c r="A1511" s="4"/>
      <c r="V1511" s="4"/>
    </row>
    <row r="1512" spans="1:22">
      <c r="A1512" s="4"/>
      <c r="V1512" s="4"/>
    </row>
    <row r="1513" spans="1:22">
      <c r="A1513" s="4"/>
      <c r="V1513" s="4"/>
    </row>
    <row r="1514" spans="1:22">
      <c r="A1514" s="4"/>
      <c r="V1514" s="4"/>
    </row>
    <row r="1515" spans="1:22">
      <c r="A1515" s="4"/>
      <c r="V1515" s="4"/>
    </row>
    <row r="1516" spans="1:22">
      <c r="A1516" s="4"/>
      <c r="V1516" s="4"/>
    </row>
    <row r="1517" spans="1:22">
      <c r="A1517" s="4"/>
      <c r="V1517" s="4"/>
    </row>
    <row r="1518" spans="1:22">
      <c r="A1518" s="4"/>
      <c r="V1518" s="4"/>
    </row>
    <row r="1519" spans="1:22">
      <c r="A1519" s="4"/>
      <c r="V1519" s="4"/>
    </row>
    <row r="1520" spans="1:22">
      <c r="A1520" s="4"/>
      <c r="V1520" s="4"/>
    </row>
    <row r="1521" spans="1:22">
      <c r="A1521" s="4"/>
      <c r="V1521" s="4"/>
    </row>
    <row r="1522" spans="1:22">
      <c r="A1522" s="4"/>
      <c r="V1522" s="4"/>
    </row>
    <row r="1523" spans="1:22">
      <c r="A1523" s="4"/>
      <c r="V1523" s="4"/>
    </row>
    <row r="1524" spans="1:22">
      <c r="A1524" s="4"/>
      <c r="V1524" s="4"/>
    </row>
    <row r="1525" spans="1:22">
      <c r="A1525" s="4"/>
      <c r="V1525" s="4"/>
    </row>
    <row r="1526" spans="1:22">
      <c r="A1526" s="4"/>
      <c r="V1526" s="4"/>
    </row>
    <row r="1527" spans="1:22">
      <c r="A1527" s="4"/>
      <c r="V1527" s="4"/>
    </row>
    <row r="1528" spans="1:22">
      <c r="A1528" s="4"/>
      <c r="V1528" s="4"/>
    </row>
    <row r="1529" spans="1:22">
      <c r="A1529" s="4"/>
      <c r="V1529" s="4"/>
    </row>
    <row r="1530" spans="1:22">
      <c r="A1530" s="4"/>
      <c r="V1530" s="4"/>
    </row>
    <row r="1531" spans="1:22">
      <c r="A1531" s="4"/>
      <c r="V1531" s="4"/>
    </row>
    <row r="1532" spans="1:22">
      <c r="A1532" s="4"/>
      <c r="V1532" s="4"/>
    </row>
    <row r="1533" spans="1:22">
      <c r="A1533" s="4"/>
      <c r="V1533" s="4"/>
    </row>
    <row r="1534" spans="1:22">
      <c r="A1534" s="4"/>
      <c r="V1534" s="4"/>
    </row>
    <row r="1535" spans="1:22">
      <c r="A1535" s="4"/>
      <c r="V1535" s="4"/>
    </row>
    <row r="1536" spans="1:22">
      <c r="A1536" s="4"/>
      <c r="V1536" s="4"/>
    </row>
    <row r="1537" spans="1:22">
      <c r="A1537" s="4"/>
      <c r="V1537" s="4"/>
    </row>
    <row r="1538" spans="1:22">
      <c r="A1538" s="4"/>
      <c r="V1538" s="4"/>
    </row>
    <row r="1539" spans="1:22">
      <c r="A1539" s="4"/>
      <c r="V1539" s="4"/>
    </row>
    <row r="1540" spans="1:22">
      <c r="A1540" s="4"/>
      <c r="V1540" s="4"/>
    </row>
    <row r="1541" spans="1:22">
      <c r="A1541" s="4"/>
      <c r="V1541" s="4"/>
    </row>
    <row r="1542" spans="1:22">
      <c r="A1542" s="4"/>
      <c r="V1542" s="4"/>
    </row>
    <row r="1543" spans="1:22">
      <c r="A1543" s="4"/>
      <c r="V1543" s="4"/>
    </row>
    <row r="1544" spans="1:22">
      <c r="A1544" s="4"/>
      <c r="V1544" s="4"/>
    </row>
    <row r="1545" spans="1:22">
      <c r="A1545" s="4"/>
      <c r="V1545" s="4"/>
    </row>
    <row r="1546" spans="1:22">
      <c r="A1546" s="4"/>
      <c r="V1546" s="4"/>
    </row>
    <row r="1547" spans="1:22">
      <c r="A1547" s="4"/>
      <c r="V1547" s="4"/>
    </row>
    <row r="1548" spans="1:22">
      <c r="A1548" s="4"/>
      <c r="V1548" s="4"/>
    </row>
    <row r="1549" spans="1:22">
      <c r="A1549" s="4"/>
      <c r="V1549" s="4"/>
    </row>
    <row r="1550" spans="1:22">
      <c r="A1550" s="4"/>
      <c r="V1550" s="4"/>
    </row>
    <row r="1551" spans="1:22">
      <c r="A1551" s="4"/>
      <c r="V1551" s="4"/>
    </row>
    <row r="1552" spans="1:22">
      <c r="A1552" s="4"/>
      <c r="V1552" s="4"/>
    </row>
    <row r="1553" spans="1:22">
      <c r="A1553" s="4"/>
      <c r="V1553" s="4"/>
    </row>
    <row r="1554" spans="1:22">
      <c r="A1554" s="4"/>
      <c r="V1554" s="4"/>
    </row>
    <row r="1555" spans="1:22">
      <c r="A1555" s="4"/>
      <c r="V1555" s="4"/>
    </row>
    <row r="1556" spans="1:22">
      <c r="A1556" s="4"/>
      <c r="V1556" s="4"/>
    </row>
    <row r="1557" spans="1:22">
      <c r="A1557" s="4"/>
      <c r="V1557" s="4"/>
    </row>
    <row r="1558" spans="1:22">
      <c r="A1558" s="4"/>
      <c r="V1558" s="4"/>
    </row>
    <row r="1559" spans="1:22">
      <c r="A1559" s="4"/>
      <c r="V1559" s="4"/>
    </row>
    <row r="1560" spans="1:22">
      <c r="A1560" s="4"/>
      <c r="V1560" s="4"/>
    </row>
    <row r="1561" spans="1:22">
      <c r="A1561" s="4"/>
      <c r="V1561" s="4"/>
    </row>
    <row r="1562" spans="1:22">
      <c r="A1562" s="4"/>
      <c r="V1562" s="4"/>
    </row>
    <row r="1563" spans="1:22">
      <c r="A1563" s="4"/>
      <c r="V1563" s="4"/>
    </row>
    <row r="1564" spans="1:22">
      <c r="A1564" s="4"/>
      <c r="V1564" s="4"/>
    </row>
    <row r="1565" spans="1:22">
      <c r="A1565" s="4"/>
      <c r="V1565" s="4"/>
    </row>
    <row r="1566" spans="1:22">
      <c r="A1566" s="4"/>
      <c r="V1566" s="4"/>
    </row>
    <row r="1567" spans="1:22">
      <c r="A1567" s="4"/>
      <c r="V1567" s="4"/>
    </row>
    <row r="1568" spans="1:22">
      <c r="A1568" s="4"/>
      <c r="V1568" s="4"/>
    </row>
    <row r="1569" spans="1:22">
      <c r="A1569" s="4"/>
      <c r="V1569" s="4"/>
    </row>
    <row r="1570" spans="1:22">
      <c r="A1570" s="4"/>
      <c r="V1570" s="4"/>
    </row>
    <row r="1571" spans="1:22">
      <c r="A1571" s="4"/>
      <c r="V1571" s="4"/>
    </row>
    <row r="1572" spans="1:22">
      <c r="A1572" s="4"/>
      <c r="V1572" s="4"/>
    </row>
    <row r="1573" spans="1:22">
      <c r="A1573" s="4"/>
      <c r="V1573" s="4"/>
    </row>
    <row r="1574" spans="1:22">
      <c r="A1574" s="4"/>
      <c r="V1574" s="4"/>
    </row>
    <row r="1575" spans="1:22">
      <c r="A1575" s="4"/>
      <c r="V1575" s="4"/>
    </row>
    <row r="1576" spans="1:22">
      <c r="A1576" s="4"/>
      <c r="V1576" s="4"/>
    </row>
    <row r="1577" spans="1:22">
      <c r="A1577" s="4"/>
      <c r="V1577" s="4"/>
    </row>
    <row r="1578" spans="1:22">
      <c r="A1578" s="4"/>
      <c r="V1578" s="4"/>
    </row>
    <row r="1579" spans="1:22">
      <c r="A1579" s="4"/>
      <c r="V1579" s="4"/>
    </row>
    <row r="1580" spans="1:22">
      <c r="A1580" s="4"/>
      <c r="V1580" s="4"/>
    </row>
    <row r="1581" spans="1:22">
      <c r="A1581" s="4"/>
      <c r="V1581" s="4"/>
    </row>
    <row r="1582" spans="1:22">
      <c r="A1582" s="4"/>
      <c r="V1582" s="4"/>
    </row>
    <row r="1583" spans="1:22">
      <c r="A1583" s="4"/>
      <c r="V1583" s="4"/>
    </row>
    <row r="1584" spans="1:22">
      <c r="A1584" s="4"/>
      <c r="V1584" s="4"/>
    </row>
    <row r="1585" spans="1:22">
      <c r="A1585" s="4"/>
      <c r="V1585" s="4"/>
    </row>
    <row r="1586" spans="1:22">
      <c r="A1586" s="4"/>
      <c r="V1586" s="4"/>
    </row>
    <row r="1587" spans="1:22">
      <c r="A1587" s="4"/>
      <c r="V1587" s="4"/>
    </row>
    <row r="1588" spans="1:22">
      <c r="A1588" s="4"/>
      <c r="V1588" s="4"/>
    </row>
    <row r="1589" spans="1:22">
      <c r="A1589" s="4"/>
      <c r="V1589" s="4"/>
    </row>
    <row r="1590" spans="1:22">
      <c r="A1590" s="4"/>
      <c r="V1590" s="4"/>
    </row>
    <row r="1591" spans="1:22">
      <c r="A1591" s="4"/>
      <c r="V1591" s="4"/>
    </row>
    <row r="1592" spans="1:22">
      <c r="A1592" s="4"/>
      <c r="V1592" s="4"/>
    </row>
    <row r="1593" spans="1:22">
      <c r="A1593" s="4"/>
      <c r="V1593" s="4"/>
    </row>
    <row r="1594" spans="1:22">
      <c r="A1594" s="4"/>
      <c r="V1594" s="4"/>
    </row>
    <row r="1595" spans="1:22">
      <c r="A1595" s="4"/>
      <c r="V1595" s="4"/>
    </row>
    <row r="1596" spans="1:22">
      <c r="A1596" s="4"/>
      <c r="V1596" s="4"/>
    </row>
    <row r="1597" spans="1:22">
      <c r="A1597" s="4"/>
      <c r="V1597" s="4"/>
    </row>
    <row r="1598" spans="1:22">
      <c r="A1598" s="4"/>
      <c r="V1598" s="4"/>
    </row>
    <row r="1599" spans="1:22">
      <c r="A1599" s="4"/>
      <c r="V1599" s="4"/>
    </row>
    <row r="1600" spans="1:22">
      <c r="A1600" s="4"/>
      <c r="V1600" s="4"/>
    </row>
    <row r="1601" spans="1:22">
      <c r="A1601" s="4"/>
      <c r="V1601" s="4"/>
    </row>
    <row r="1602" spans="1:22">
      <c r="A1602" s="4"/>
      <c r="V1602" s="4"/>
    </row>
    <row r="1603" spans="1:22">
      <c r="A1603" s="4"/>
      <c r="V1603" s="4"/>
    </row>
    <row r="1604" spans="1:22">
      <c r="A1604" s="4"/>
      <c r="V1604" s="4"/>
    </row>
    <row r="1605" spans="1:22">
      <c r="A1605" s="4"/>
      <c r="V1605" s="4"/>
    </row>
    <row r="1606" spans="1:22">
      <c r="A1606" s="4"/>
      <c r="V1606" s="4"/>
    </row>
    <row r="1607" spans="1:22">
      <c r="A1607" s="4"/>
      <c r="V1607" s="4"/>
    </row>
    <row r="1608" spans="1:22">
      <c r="A1608" s="4"/>
      <c r="V1608" s="4"/>
    </row>
    <row r="1609" spans="1:22">
      <c r="A1609" s="4"/>
      <c r="V1609" s="4"/>
    </row>
    <row r="1610" spans="1:22">
      <c r="A1610" s="4"/>
      <c r="V1610" s="4"/>
    </row>
    <row r="1611" spans="1:22">
      <c r="A1611" s="4"/>
      <c r="V1611" s="4"/>
    </row>
    <row r="1612" spans="1:22">
      <c r="A1612" s="4"/>
      <c r="V1612" s="4"/>
    </row>
    <row r="1613" spans="1:22">
      <c r="A1613" s="4"/>
      <c r="V1613" s="4"/>
    </row>
    <row r="1614" spans="1:22">
      <c r="A1614" s="4"/>
      <c r="V1614" s="4"/>
    </row>
    <row r="1615" spans="1:22">
      <c r="A1615" s="4"/>
      <c r="V1615" s="4"/>
    </row>
    <row r="1616" spans="1:22">
      <c r="A1616" s="4"/>
      <c r="V1616" s="4"/>
    </row>
    <row r="1617" spans="1:22">
      <c r="A1617" s="4"/>
      <c r="V1617" s="4"/>
    </row>
    <row r="1618" spans="1:22">
      <c r="A1618" s="4"/>
      <c r="V1618" s="4"/>
    </row>
    <row r="1619" spans="1:22">
      <c r="A1619" s="4"/>
      <c r="V1619" s="4"/>
    </row>
    <row r="1620" spans="1:22">
      <c r="A1620" s="4"/>
      <c r="V1620" s="4"/>
    </row>
    <row r="1621" spans="1:22">
      <c r="A1621" s="4"/>
      <c r="V1621" s="4"/>
    </row>
    <row r="1622" spans="1:22">
      <c r="A1622" s="4"/>
      <c r="V1622" s="4"/>
    </row>
    <row r="1623" spans="1:22">
      <c r="A1623" s="4"/>
      <c r="V1623" s="4"/>
    </row>
    <row r="1624" spans="1:22">
      <c r="A1624" s="4"/>
      <c r="V1624" s="4"/>
    </row>
    <row r="1625" spans="1:22">
      <c r="A1625" s="4"/>
      <c r="V1625" s="4"/>
    </row>
    <row r="1626" spans="1:22">
      <c r="A1626" s="4"/>
      <c r="V1626" s="4"/>
    </row>
    <row r="1627" spans="1:22">
      <c r="A1627" s="4"/>
      <c r="V1627" s="4"/>
    </row>
    <row r="1628" spans="1:22">
      <c r="A1628" s="4"/>
      <c r="V1628" s="4"/>
    </row>
    <row r="1629" spans="1:22">
      <c r="A1629" s="4"/>
      <c r="V1629" s="4"/>
    </row>
    <row r="1630" spans="1:22">
      <c r="A1630" s="4"/>
      <c r="V1630" s="4"/>
    </row>
    <row r="1631" spans="1:22">
      <c r="A1631" s="4"/>
      <c r="V1631" s="4"/>
    </row>
    <row r="1632" spans="1:22">
      <c r="A1632" s="4"/>
      <c r="V1632" s="4"/>
    </row>
    <row r="1633" spans="1:22">
      <c r="A1633" s="4"/>
      <c r="V1633" s="4"/>
    </row>
    <row r="1634" spans="1:22">
      <c r="A1634" s="4"/>
      <c r="V1634" s="4"/>
    </row>
    <row r="1635" spans="1:22">
      <c r="A1635" s="4"/>
      <c r="V1635" s="4"/>
    </row>
    <row r="1636" spans="1:22">
      <c r="A1636" s="4"/>
      <c r="V1636" s="4"/>
    </row>
    <row r="1637" spans="1:22">
      <c r="A1637" s="4"/>
      <c r="V1637" s="4"/>
    </row>
    <row r="1638" spans="1:22">
      <c r="A1638" s="4"/>
      <c r="V1638" s="4"/>
    </row>
    <row r="1639" spans="1:22">
      <c r="A1639" s="4"/>
      <c r="V1639" s="4"/>
    </row>
    <row r="1640" spans="1:22">
      <c r="A1640" s="4"/>
      <c r="V1640" s="4"/>
    </row>
    <row r="1641" spans="1:22">
      <c r="A1641" s="4"/>
      <c r="V1641" s="4"/>
    </row>
    <row r="1642" spans="1:22">
      <c r="A1642" s="4"/>
      <c r="V1642" s="4"/>
    </row>
    <row r="1643" spans="1:22">
      <c r="A1643" s="4"/>
      <c r="V1643" s="4"/>
    </row>
    <row r="1644" spans="1:22">
      <c r="A1644" s="4"/>
      <c r="V1644" s="4"/>
    </row>
    <row r="1645" spans="1:22">
      <c r="A1645" s="4"/>
      <c r="V1645" s="4"/>
    </row>
    <row r="1646" spans="1:22">
      <c r="A1646" s="4"/>
      <c r="V1646" s="4"/>
    </row>
    <row r="1647" spans="1:22">
      <c r="A1647" s="4"/>
      <c r="V1647" s="4"/>
    </row>
    <row r="1648" spans="1:22">
      <c r="A1648" s="4"/>
      <c r="V1648" s="4"/>
    </row>
    <row r="1649" spans="1:22">
      <c r="A1649" s="4"/>
      <c r="V1649" s="4"/>
    </row>
    <row r="1650" spans="1:22">
      <c r="A1650" s="4"/>
      <c r="V1650" s="4"/>
    </row>
    <row r="1651" spans="1:22">
      <c r="A1651" s="4"/>
      <c r="V1651" s="4"/>
    </row>
    <row r="1652" spans="1:22">
      <c r="A1652" s="4"/>
      <c r="V1652" s="4"/>
    </row>
    <row r="1653" spans="1:22">
      <c r="A1653" s="4"/>
      <c r="V1653" s="4"/>
    </row>
    <row r="1654" spans="1:22">
      <c r="A1654" s="4"/>
      <c r="V1654" s="4"/>
    </row>
    <row r="1655" spans="1:22">
      <c r="A1655" s="4"/>
      <c r="V1655" s="4"/>
    </row>
    <row r="1656" spans="1:22">
      <c r="A1656" s="4"/>
      <c r="V1656" s="4"/>
    </row>
    <row r="1657" spans="1:22">
      <c r="A1657" s="4"/>
      <c r="V1657" s="4"/>
    </row>
    <row r="1658" spans="1:22">
      <c r="A1658" s="4"/>
      <c r="V1658" s="4"/>
    </row>
    <row r="1659" spans="1:22">
      <c r="A1659" s="4"/>
      <c r="V1659" s="4"/>
    </row>
    <row r="1660" spans="1:22">
      <c r="A1660" s="4"/>
      <c r="V1660" s="4"/>
    </row>
    <row r="1661" spans="1:22">
      <c r="A1661" s="4"/>
      <c r="V1661" s="4"/>
    </row>
    <row r="1662" spans="1:22">
      <c r="A1662" s="4"/>
      <c r="V1662" s="4"/>
    </row>
    <row r="1663" spans="1:22">
      <c r="A1663" s="4"/>
      <c r="V1663" s="4"/>
    </row>
    <row r="1664" spans="1:22">
      <c r="A1664" s="4"/>
      <c r="V1664" s="4"/>
    </row>
    <row r="1665" spans="1:22">
      <c r="A1665" s="4"/>
      <c r="V1665" s="4"/>
    </row>
    <row r="1666" spans="1:22">
      <c r="A1666" s="4"/>
      <c r="V1666" s="4"/>
    </row>
    <row r="1667" spans="1:22">
      <c r="A1667" s="4"/>
      <c r="V1667" s="4"/>
    </row>
    <row r="1668" spans="1:22">
      <c r="A1668" s="4"/>
      <c r="V1668" s="4"/>
    </row>
    <row r="1669" spans="1:22">
      <c r="A1669" s="4"/>
      <c r="V1669" s="4"/>
    </row>
    <row r="1670" spans="1:22">
      <c r="A1670" s="4"/>
      <c r="V1670" s="4"/>
    </row>
    <row r="1671" spans="1:22">
      <c r="A1671" s="4"/>
      <c r="V1671" s="4"/>
    </row>
    <row r="1672" spans="1:22">
      <c r="A1672" s="4"/>
      <c r="V1672" s="4"/>
    </row>
    <row r="1673" spans="1:22">
      <c r="A1673" s="4"/>
      <c r="V1673" s="4"/>
    </row>
    <row r="1674" spans="1:22">
      <c r="A1674" s="4"/>
      <c r="V1674" s="4"/>
    </row>
    <row r="1675" spans="1:22">
      <c r="A1675" s="4"/>
      <c r="V1675" s="4"/>
    </row>
    <row r="1676" spans="1:22">
      <c r="A1676" s="4"/>
      <c r="V1676" s="4"/>
    </row>
    <row r="1677" spans="1:22">
      <c r="A1677" s="4"/>
      <c r="V1677" s="4"/>
    </row>
    <row r="1678" spans="1:22">
      <c r="A1678" s="4"/>
      <c r="V1678" s="4"/>
    </row>
    <row r="1679" spans="1:22">
      <c r="A1679" s="4"/>
      <c r="V1679" s="4"/>
    </row>
    <row r="1680" spans="1:22">
      <c r="A1680" s="4"/>
      <c r="V1680" s="4"/>
    </row>
    <row r="1681" spans="1:22">
      <c r="A1681" s="4"/>
      <c r="V1681" s="4"/>
    </row>
    <row r="1682" spans="1:22">
      <c r="A1682" s="4"/>
      <c r="V1682" s="4"/>
    </row>
    <row r="1683" spans="1:22">
      <c r="A1683" s="4"/>
      <c r="V1683" s="4"/>
    </row>
    <row r="1684" spans="1:22">
      <c r="A1684" s="4"/>
      <c r="V1684" s="4"/>
    </row>
    <row r="1685" spans="1:22">
      <c r="A1685" s="4"/>
      <c r="V1685" s="4"/>
    </row>
    <row r="1686" spans="1:22">
      <c r="A1686" s="4"/>
      <c r="V1686" s="4"/>
    </row>
    <row r="1687" spans="1:22">
      <c r="A1687" s="4"/>
      <c r="V1687" s="4"/>
    </row>
    <row r="1688" spans="1:22">
      <c r="A1688" s="4"/>
      <c r="V1688" s="4"/>
    </row>
    <row r="1689" spans="1:22">
      <c r="A1689" s="4"/>
      <c r="V1689" s="4"/>
    </row>
    <row r="1690" spans="1:22">
      <c r="A1690" s="4"/>
      <c r="V1690" s="4"/>
    </row>
    <row r="1691" spans="1:22">
      <c r="A1691" s="4"/>
      <c r="V1691" s="4"/>
    </row>
    <row r="1692" spans="1:22">
      <c r="A1692" s="4"/>
      <c r="V1692" s="4"/>
    </row>
    <row r="1693" spans="1:22">
      <c r="A1693" s="4"/>
      <c r="V1693" s="4"/>
    </row>
    <row r="1694" spans="1:22">
      <c r="A1694" s="4"/>
      <c r="V1694" s="4"/>
    </row>
    <row r="1695" spans="1:22">
      <c r="A1695" s="4"/>
      <c r="V1695" s="4"/>
    </row>
    <row r="1696" spans="1:22">
      <c r="A1696" s="4"/>
      <c r="V1696" s="4"/>
    </row>
    <row r="1697" spans="1:22">
      <c r="A1697" s="4"/>
      <c r="V1697" s="4"/>
    </row>
    <row r="1698" spans="1:22">
      <c r="A1698" s="4"/>
      <c r="V1698" s="4"/>
    </row>
    <row r="1699" spans="1:22">
      <c r="A1699" s="4"/>
      <c r="V1699" s="4"/>
    </row>
    <row r="1700" spans="1:22">
      <c r="A1700" s="4"/>
      <c r="V1700" s="4"/>
    </row>
    <row r="1701" spans="1:22">
      <c r="A1701" s="4"/>
      <c r="V1701" s="4"/>
    </row>
    <row r="1702" spans="1:22">
      <c r="A1702" s="4"/>
      <c r="V1702" s="4"/>
    </row>
    <row r="1703" spans="1:22">
      <c r="A1703" s="4"/>
      <c r="V1703" s="4"/>
    </row>
    <row r="1704" spans="1:22">
      <c r="A1704" s="4"/>
      <c r="V1704" s="4"/>
    </row>
    <row r="1705" spans="1:22">
      <c r="A1705" s="4"/>
      <c r="V1705" s="4"/>
    </row>
    <row r="1706" spans="1:22">
      <c r="A1706" s="4"/>
      <c r="V1706" s="4"/>
    </row>
    <row r="1707" spans="1:22">
      <c r="A1707" s="4"/>
      <c r="V1707" s="4"/>
    </row>
    <row r="1708" spans="1:22">
      <c r="A1708" s="4"/>
      <c r="V1708" s="4"/>
    </row>
    <row r="1709" spans="1:22">
      <c r="A1709" s="4"/>
      <c r="V1709" s="4"/>
    </row>
    <row r="1710" spans="1:22">
      <c r="A1710" s="4"/>
      <c r="V1710" s="4"/>
    </row>
    <row r="1711" spans="1:22">
      <c r="A1711" s="4"/>
      <c r="V1711" s="4"/>
    </row>
    <row r="1712" spans="1:22">
      <c r="A1712" s="4"/>
      <c r="V1712" s="4"/>
    </row>
    <row r="1713" spans="1:22">
      <c r="A1713" s="4"/>
      <c r="V1713" s="4"/>
    </row>
    <row r="1714" spans="1:22">
      <c r="A1714" s="4"/>
      <c r="V1714" s="4"/>
    </row>
    <row r="1715" spans="1:22">
      <c r="A1715" s="4"/>
      <c r="V1715" s="4"/>
    </row>
    <row r="1716" spans="1:22">
      <c r="A1716" s="4"/>
      <c r="V1716" s="4"/>
    </row>
    <row r="1717" spans="1:22">
      <c r="A1717" s="4"/>
      <c r="V1717" s="4"/>
    </row>
    <row r="1718" spans="1:22">
      <c r="A1718" s="4"/>
      <c r="V1718" s="4"/>
    </row>
    <row r="1719" spans="1:22">
      <c r="A1719" s="4"/>
      <c r="V1719" s="4"/>
    </row>
    <row r="1720" spans="1:22">
      <c r="A1720" s="4"/>
      <c r="V1720" s="4"/>
    </row>
    <row r="1721" spans="1:22">
      <c r="A1721" s="4"/>
      <c r="V1721" s="4"/>
    </row>
    <row r="1722" spans="1:22">
      <c r="A1722" s="4"/>
      <c r="V1722" s="4"/>
    </row>
    <row r="1723" spans="1:22">
      <c r="A1723" s="4"/>
      <c r="V1723" s="4"/>
    </row>
    <row r="1724" spans="1:22">
      <c r="A1724" s="4"/>
      <c r="V1724" s="4"/>
    </row>
    <row r="1725" spans="1:22">
      <c r="A1725" s="4"/>
      <c r="V1725" s="4"/>
    </row>
    <row r="1726" spans="1:22">
      <c r="A1726" s="4"/>
      <c r="V1726" s="4"/>
    </row>
    <row r="1727" spans="1:22">
      <c r="A1727" s="4"/>
      <c r="V1727" s="4"/>
    </row>
    <row r="1728" spans="1:22">
      <c r="A1728" s="4"/>
      <c r="V1728" s="4"/>
    </row>
    <row r="1729" spans="1:22">
      <c r="A1729" s="4"/>
      <c r="V1729" s="4"/>
    </row>
    <row r="1730" spans="1:22">
      <c r="A1730" s="4"/>
      <c r="V1730" s="4"/>
    </row>
    <row r="1731" spans="1:22">
      <c r="A1731" s="4"/>
      <c r="V1731" s="4"/>
    </row>
    <row r="1732" spans="1:22">
      <c r="A1732" s="4"/>
      <c r="V1732" s="4"/>
    </row>
    <row r="1733" spans="1:22">
      <c r="A1733" s="4"/>
      <c r="V1733" s="4"/>
    </row>
    <row r="1734" spans="1:22">
      <c r="A1734" s="4"/>
      <c r="V1734" s="4"/>
    </row>
    <row r="1735" spans="1:22">
      <c r="A1735" s="4"/>
      <c r="V1735" s="4"/>
    </row>
    <row r="1736" spans="1:22">
      <c r="A1736" s="4"/>
      <c r="V1736" s="4"/>
    </row>
    <row r="1737" spans="1:22">
      <c r="A1737" s="4"/>
      <c r="V1737" s="4"/>
    </row>
    <row r="1738" spans="1:22">
      <c r="A1738" s="4"/>
      <c r="V1738" s="4"/>
    </row>
    <row r="1739" spans="1:22">
      <c r="A1739" s="4"/>
      <c r="V1739" s="4"/>
    </row>
    <row r="1740" spans="1:22">
      <c r="A1740" s="4"/>
      <c r="V1740" s="4"/>
    </row>
    <row r="1741" spans="1:22">
      <c r="A1741" s="4"/>
      <c r="V1741" s="4"/>
    </row>
    <row r="1742" spans="1:22">
      <c r="A1742" s="4"/>
      <c r="V1742" s="4"/>
    </row>
    <row r="1743" spans="1:22">
      <c r="A1743" s="4"/>
      <c r="V1743" s="4"/>
    </row>
    <row r="1744" spans="1:22">
      <c r="A1744" s="4"/>
      <c r="V1744" s="4"/>
    </row>
    <row r="1745" spans="1:22">
      <c r="A1745" s="4"/>
      <c r="V1745" s="4"/>
    </row>
    <row r="1746" spans="1:22">
      <c r="A1746" s="4"/>
      <c r="V1746" s="4"/>
    </row>
    <row r="1747" spans="1:22">
      <c r="A1747" s="4"/>
      <c r="V1747" s="4"/>
    </row>
    <row r="1748" spans="1:22">
      <c r="A1748" s="4"/>
      <c r="V1748" s="4"/>
    </row>
    <row r="1749" spans="1:22">
      <c r="A1749" s="4"/>
      <c r="V1749" s="4"/>
    </row>
    <row r="1750" spans="1:22">
      <c r="A1750" s="4"/>
      <c r="V1750" s="4"/>
    </row>
    <row r="1751" spans="1:22">
      <c r="A1751" s="4"/>
      <c r="V1751" s="4"/>
    </row>
    <row r="1752" spans="1:22">
      <c r="A1752" s="4"/>
      <c r="V1752" s="4"/>
    </row>
    <row r="1753" spans="1:22">
      <c r="A1753" s="4"/>
      <c r="V1753" s="4"/>
    </row>
    <row r="1754" spans="1:22">
      <c r="A1754" s="4"/>
      <c r="V1754" s="4"/>
    </row>
    <row r="1755" spans="1:22">
      <c r="A1755" s="4"/>
      <c r="V1755" s="4"/>
    </row>
    <row r="1756" spans="1:22">
      <c r="A1756" s="4"/>
      <c r="V1756" s="4"/>
    </row>
    <row r="1757" spans="1:22">
      <c r="A1757" s="4"/>
      <c r="V1757" s="4"/>
    </row>
    <row r="1758" spans="1:22">
      <c r="A1758" s="4"/>
      <c r="V1758" s="4"/>
    </row>
    <row r="1759" spans="1:22">
      <c r="A1759" s="4"/>
      <c r="V1759" s="4"/>
    </row>
    <row r="1760" spans="1:22">
      <c r="A1760" s="4"/>
      <c r="V1760" s="4"/>
    </row>
    <row r="1761" spans="1:22">
      <c r="A1761" s="4"/>
      <c r="V1761" s="4"/>
    </row>
    <row r="1762" spans="1:22">
      <c r="A1762" s="4"/>
      <c r="V1762" s="4"/>
    </row>
    <row r="1763" spans="1:22">
      <c r="A1763" s="4"/>
      <c r="V1763" s="4"/>
    </row>
    <row r="1764" spans="1:22">
      <c r="A1764" s="4"/>
      <c r="V1764" s="4"/>
    </row>
    <row r="1765" spans="1:22">
      <c r="A1765" s="4"/>
      <c r="V1765" s="4"/>
    </row>
    <row r="1766" spans="1:22">
      <c r="A1766" s="4"/>
      <c r="V1766" s="4"/>
    </row>
    <row r="1767" spans="1:22">
      <c r="A1767" s="4"/>
      <c r="V1767" s="4"/>
    </row>
    <row r="1768" spans="1:22">
      <c r="A1768" s="4"/>
      <c r="V1768" s="4"/>
    </row>
    <row r="1769" spans="1:22">
      <c r="A1769" s="4"/>
      <c r="V1769" s="4"/>
    </row>
    <row r="1770" spans="1:22">
      <c r="A1770" s="4"/>
      <c r="V1770" s="4"/>
    </row>
    <row r="1771" spans="1:22">
      <c r="A1771" s="4"/>
      <c r="V1771" s="4"/>
    </row>
    <row r="1772" spans="1:22">
      <c r="A1772" s="4"/>
      <c r="V1772" s="4"/>
    </row>
    <row r="1773" spans="1:22">
      <c r="A1773" s="4"/>
      <c r="V1773" s="4"/>
    </row>
    <row r="1774" spans="1:22">
      <c r="A1774" s="4"/>
      <c r="V1774" s="4"/>
    </row>
    <row r="1775" spans="1:22">
      <c r="A1775" s="4"/>
      <c r="V1775" s="4"/>
    </row>
    <row r="1776" spans="1:22">
      <c r="A1776" s="4"/>
      <c r="V1776" s="4"/>
    </row>
    <row r="1777" spans="1:22">
      <c r="A1777" s="4"/>
      <c r="V1777" s="4"/>
    </row>
    <row r="1778" spans="1:22">
      <c r="A1778" s="4"/>
      <c r="V1778" s="4"/>
    </row>
    <row r="1779" spans="1:22">
      <c r="A1779" s="4"/>
      <c r="V1779" s="4"/>
    </row>
    <row r="1780" spans="1:22">
      <c r="A1780" s="4"/>
      <c r="V1780" s="4"/>
    </row>
    <row r="1781" spans="1:22">
      <c r="A1781" s="4"/>
      <c r="V1781" s="4"/>
    </row>
    <row r="1782" spans="1:22">
      <c r="A1782" s="4"/>
      <c r="V1782" s="4"/>
    </row>
    <row r="1783" spans="1:22">
      <c r="A1783" s="4"/>
      <c r="V1783" s="4"/>
    </row>
    <row r="1784" spans="1:22">
      <c r="A1784" s="4"/>
      <c r="V1784" s="4"/>
    </row>
    <row r="1785" spans="1:22">
      <c r="A1785" s="4"/>
      <c r="V1785" s="4"/>
    </row>
    <row r="1786" spans="1:22">
      <c r="A1786" s="4"/>
      <c r="V1786" s="4"/>
    </row>
    <row r="1787" spans="1:22">
      <c r="A1787" s="4"/>
      <c r="V1787" s="4"/>
    </row>
    <row r="1788" spans="1:22">
      <c r="A1788" s="4"/>
      <c r="V1788" s="4"/>
    </row>
    <row r="1789" spans="1:22">
      <c r="A1789" s="4"/>
      <c r="V1789" s="4"/>
    </row>
    <row r="1790" spans="1:22">
      <c r="A1790" s="4"/>
      <c r="V1790" s="4"/>
    </row>
    <row r="1791" spans="1:22">
      <c r="A1791" s="4"/>
      <c r="V1791" s="4"/>
    </row>
    <row r="1792" spans="1:22">
      <c r="A1792" s="4"/>
      <c r="V1792" s="4"/>
    </row>
    <row r="1793" spans="1:22">
      <c r="A1793" s="4"/>
      <c r="V1793" s="4"/>
    </row>
    <row r="1794" spans="1:22">
      <c r="A1794" s="4"/>
      <c r="V1794" s="4"/>
    </row>
    <row r="1795" spans="1:22">
      <c r="A1795" s="4"/>
      <c r="V1795" s="4"/>
    </row>
    <row r="1796" spans="1:22">
      <c r="A1796" s="4"/>
      <c r="V1796" s="4"/>
    </row>
    <row r="1797" spans="1:22">
      <c r="A1797" s="4"/>
      <c r="V1797" s="4"/>
    </row>
    <row r="1798" spans="1:22">
      <c r="A1798" s="4"/>
      <c r="V1798" s="4"/>
    </row>
    <row r="1799" spans="1:22">
      <c r="A1799" s="4"/>
      <c r="V1799" s="4"/>
    </row>
    <row r="1800" spans="1:22">
      <c r="A1800" s="4"/>
      <c r="V1800" s="4"/>
    </row>
    <row r="1801" spans="1:22">
      <c r="A1801" s="4"/>
      <c r="V1801" s="4"/>
    </row>
    <row r="1802" spans="1:22">
      <c r="A1802" s="4"/>
      <c r="V1802" s="4"/>
    </row>
    <row r="1803" spans="1:22">
      <c r="A1803" s="4"/>
      <c r="V1803" s="4"/>
    </row>
    <row r="1804" spans="1:22">
      <c r="A1804" s="4"/>
      <c r="V1804" s="4"/>
    </row>
    <row r="1805" spans="1:22">
      <c r="A1805" s="4"/>
      <c r="V1805" s="4"/>
    </row>
    <row r="1806" spans="1:22">
      <c r="A1806" s="4"/>
      <c r="V1806" s="4"/>
    </row>
    <row r="1807" spans="1:22">
      <c r="A1807" s="4"/>
      <c r="V1807" s="4"/>
    </row>
    <row r="1808" spans="1:22">
      <c r="A1808" s="4"/>
      <c r="V1808" s="4"/>
    </row>
    <row r="1809" spans="1:22">
      <c r="A1809" s="4"/>
      <c r="V1809" s="4"/>
    </row>
    <row r="1810" spans="1:22">
      <c r="A1810" s="4"/>
      <c r="V1810" s="4"/>
    </row>
    <row r="1811" spans="1:22">
      <c r="A1811" s="4"/>
      <c r="V1811" s="4"/>
    </row>
    <row r="1812" spans="1:22">
      <c r="A1812" s="4"/>
      <c r="V1812" s="4"/>
    </row>
    <row r="1813" spans="1:22">
      <c r="A1813" s="4"/>
      <c r="V1813" s="4"/>
    </row>
    <row r="1814" spans="1:22">
      <c r="A1814" s="4"/>
      <c r="V1814" s="4"/>
    </row>
    <row r="1815" spans="1:22">
      <c r="A1815" s="4"/>
      <c r="V1815" s="4"/>
    </row>
    <row r="1816" spans="1:22">
      <c r="A1816" s="4"/>
      <c r="V1816" s="4"/>
    </row>
    <row r="1817" spans="1:22">
      <c r="A1817" s="4"/>
      <c r="V1817" s="4"/>
    </row>
    <row r="1818" spans="1:22">
      <c r="A1818" s="4"/>
      <c r="V1818" s="4"/>
    </row>
    <row r="1819" spans="1:22">
      <c r="A1819" s="4"/>
      <c r="V1819" s="4"/>
    </row>
    <row r="1820" spans="1:22">
      <c r="A1820" s="4"/>
      <c r="V1820" s="4"/>
    </row>
    <row r="1821" spans="1:22">
      <c r="A1821" s="4"/>
      <c r="V1821" s="4"/>
    </row>
    <row r="1822" spans="1:22">
      <c r="A1822" s="4"/>
      <c r="V1822" s="4"/>
    </row>
    <row r="1823" spans="1:22">
      <c r="A1823" s="4"/>
      <c r="V1823" s="4"/>
    </row>
    <row r="1824" spans="1:22">
      <c r="A1824" s="4"/>
      <c r="V1824" s="4"/>
    </row>
    <row r="1825" spans="1:22">
      <c r="A1825" s="4"/>
      <c r="V1825" s="4"/>
    </row>
    <row r="1826" spans="1:22">
      <c r="A1826" s="4"/>
      <c r="V1826" s="4"/>
    </row>
    <row r="1827" spans="1:22">
      <c r="A1827" s="4"/>
      <c r="V1827" s="4"/>
    </row>
    <row r="1828" spans="1:22">
      <c r="A1828" s="4"/>
      <c r="V1828" s="4"/>
    </row>
    <row r="1829" spans="1:22">
      <c r="A1829" s="4"/>
      <c r="V1829" s="4"/>
    </row>
    <row r="1830" spans="1:22">
      <c r="A1830" s="4"/>
      <c r="V1830" s="4"/>
    </row>
    <row r="1831" spans="1:22">
      <c r="A1831" s="4"/>
      <c r="V1831" s="4"/>
    </row>
    <row r="1832" spans="1:22">
      <c r="A1832" s="4"/>
      <c r="V1832" s="4"/>
    </row>
    <row r="1833" spans="1:22">
      <c r="A1833" s="4"/>
      <c r="V1833" s="4"/>
    </row>
    <row r="1834" spans="1:22">
      <c r="A1834" s="4"/>
      <c r="V1834" s="4"/>
    </row>
    <row r="1835" spans="1:22">
      <c r="A1835" s="4"/>
      <c r="V1835" s="4"/>
    </row>
    <row r="1836" spans="1:22">
      <c r="A1836" s="4"/>
      <c r="V1836" s="4"/>
    </row>
    <row r="1837" spans="1:22">
      <c r="A1837" s="4"/>
      <c r="V1837" s="4"/>
    </row>
    <row r="1838" spans="1:22">
      <c r="A1838" s="4"/>
      <c r="V1838" s="4"/>
    </row>
    <row r="1839" spans="1:22">
      <c r="A1839" s="4"/>
      <c r="V1839" s="4"/>
    </row>
    <row r="1840" spans="1:22">
      <c r="A1840" s="4"/>
      <c r="V1840" s="4"/>
    </row>
    <row r="1841" spans="1:22">
      <c r="A1841" s="4"/>
      <c r="V1841" s="4"/>
    </row>
    <row r="1842" spans="1:22">
      <c r="A1842" s="4"/>
      <c r="V1842" s="4"/>
    </row>
    <row r="1843" spans="1:22">
      <c r="A1843" s="4"/>
      <c r="V1843" s="4"/>
    </row>
    <row r="1844" spans="1:22">
      <c r="A1844" s="4"/>
      <c r="V1844" s="4"/>
    </row>
    <row r="1845" spans="1:22">
      <c r="A1845" s="4"/>
      <c r="V1845" s="4"/>
    </row>
    <row r="1846" spans="1:22">
      <c r="A1846" s="4"/>
      <c r="V1846" s="4"/>
    </row>
    <row r="1847" spans="1:22">
      <c r="A1847" s="4"/>
      <c r="V1847" s="4"/>
    </row>
    <row r="1848" spans="1:22">
      <c r="A1848" s="4"/>
      <c r="V1848" s="4"/>
    </row>
    <row r="1849" spans="1:22">
      <c r="A1849" s="4"/>
      <c r="V1849" s="4"/>
    </row>
    <row r="1850" spans="1:22">
      <c r="A1850" s="4"/>
      <c r="V1850" s="4"/>
    </row>
    <row r="1851" spans="1:22">
      <c r="A1851" s="4"/>
      <c r="V1851" s="4"/>
    </row>
    <row r="1852" spans="1:22">
      <c r="A1852" s="4"/>
      <c r="V1852" s="4"/>
    </row>
    <row r="1853" spans="1:22">
      <c r="A1853" s="4"/>
      <c r="V1853" s="4"/>
    </row>
    <row r="1854" spans="1:22">
      <c r="A1854" s="4"/>
      <c r="V1854" s="4"/>
    </row>
    <row r="1855" spans="1:22">
      <c r="A1855" s="4"/>
      <c r="V1855" s="4"/>
    </row>
    <row r="1856" spans="1:22">
      <c r="A1856" s="4"/>
      <c r="V1856" s="4"/>
    </row>
    <row r="1857" spans="1:22">
      <c r="A1857" s="4"/>
      <c r="V1857" s="4"/>
    </row>
    <row r="1858" spans="1:22">
      <c r="A1858" s="4"/>
      <c r="V1858" s="4"/>
    </row>
    <row r="1859" spans="1:22">
      <c r="A1859" s="4"/>
      <c r="V1859" s="4"/>
    </row>
    <row r="1860" spans="1:22">
      <c r="A1860" s="4"/>
      <c r="V1860" s="4"/>
    </row>
    <row r="1861" spans="1:22">
      <c r="A1861" s="4"/>
      <c r="V1861" s="4"/>
    </row>
    <row r="1862" spans="1:22">
      <c r="A1862" s="4"/>
      <c r="V1862" s="4"/>
    </row>
    <row r="1863" spans="1:22">
      <c r="A1863" s="4"/>
      <c r="V1863" s="4"/>
    </row>
    <row r="1864" spans="1:22">
      <c r="A1864" s="4"/>
      <c r="V1864" s="4"/>
    </row>
    <row r="1865" spans="1:22">
      <c r="A1865" s="4"/>
      <c r="V1865" s="4"/>
    </row>
    <row r="1866" spans="1:22">
      <c r="A1866" s="4"/>
      <c r="V1866" s="4"/>
    </row>
    <row r="1867" spans="1:22">
      <c r="A1867" s="4"/>
      <c r="V1867" s="4"/>
    </row>
    <row r="1868" spans="1:22">
      <c r="A1868" s="4"/>
      <c r="V1868" s="4"/>
    </row>
    <row r="1869" spans="1:22">
      <c r="A1869" s="4"/>
      <c r="V1869" s="4"/>
    </row>
    <row r="1870" spans="1:22">
      <c r="A1870" s="4"/>
      <c r="V1870" s="4"/>
    </row>
    <row r="1871" spans="1:22">
      <c r="A1871" s="4"/>
      <c r="V1871" s="4"/>
    </row>
    <row r="1872" spans="1:22">
      <c r="A1872" s="4"/>
      <c r="V1872" s="4"/>
    </row>
    <row r="1873" spans="1:22">
      <c r="A1873" s="4"/>
      <c r="V1873" s="4"/>
    </row>
    <row r="1874" spans="1:22">
      <c r="A1874" s="4"/>
      <c r="V1874" s="4"/>
    </row>
    <row r="1875" spans="1:22">
      <c r="A1875" s="4"/>
      <c r="V1875" s="4"/>
    </row>
    <row r="1876" spans="1:22">
      <c r="A1876" s="4"/>
      <c r="V1876" s="4"/>
    </row>
    <row r="1877" spans="1:22">
      <c r="A1877" s="4"/>
      <c r="V1877" s="4"/>
    </row>
    <row r="1878" spans="1:22">
      <c r="A1878" s="4"/>
      <c r="V1878" s="4"/>
    </row>
    <row r="1879" spans="1:22">
      <c r="A1879" s="4"/>
      <c r="V1879" s="4"/>
    </row>
    <row r="1880" spans="1:22">
      <c r="A1880" s="4"/>
      <c r="V1880" s="4"/>
    </row>
    <row r="1881" spans="1:22">
      <c r="A1881" s="4"/>
      <c r="V1881" s="4"/>
    </row>
    <row r="1882" spans="1:22">
      <c r="A1882" s="4"/>
      <c r="V1882" s="4"/>
    </row>
    <row r="1883" spans="1:22">
      <c r="A1883" s="4"/>
      <c r="V1883" s="4"/>
    </row>
    <row r="1884" spans="1:22">
      <c r="A1884" s="4"/>
      <c r="V1884" s="4"/>
    </row>
    <row r="1885" spans="1:22">
      <c r="A1885" s="4"/>
      <c r="V1885" s="4"/>
    </row>
    <row r="1886" spans="1:22">
      <c r="A1886" s="4"/>
      <c r="V1886" s="4"/>
    </row>
    <row r="1887" spans="1:22">
      <c r="A1887" s="4"/>
      <c r="V1887" s="4"/>
    </row>
    <row r="1888" spans="1:22">
      <c r="A1888" s="4"/>
      <c r="V1888" s="4"/>
    </row>
    <row r="1889" spans="1:22">
      <c r="A1889" s="4"/>
      <c r="V1889" s="4"/>
    </row>
    <row r="1890" spans="1:22">
      <c r="A1890" s="4"/>
      <c r="V1890" s="4"/>
    </row>
    <row r="1891" spans="1:22">
      <c r="A1891" s="4"/>
      <c r="V1891" s="4"/>
    </row>
    <row r="1892" spans="1:22">
      <c r="A1892" s="4"/>
      <c r="V1892" s="4"/>
    </row>
    <row r="1893" spans="1:22">
      <c r="A1893" s="4"/>
      <c r="V1893" s="4"/>
    </row>
    <row r="1894" spans="1:22">
      <c r="A1894" s="4"/>
      <c r="V1894" s="4"/>
    </row>
    <row r="1895" spans="1:22">
      <c r="A1895" s="4"/>
      <c r="V1895" s="4"/>
    </row>
    <row r="1896" spans="1:22">
      <c r="A1896" s="4"/>
      <c r="V1896" s="4"/>
    </row>
    <row r="1897" spans="1:22">
      <c r="A1897" s="4"/>
      <c r="V1897" s="4"/>
    </row>
    <row r="1898" spans="1:22">
      <c r="A1898" s="4"/>
      <c r="V1898" s="4"/>
    </row>
    <row r="1899" spans="1:22">
      <c r="A1899" s="4"/>
      <c r="V1899" s="4"/>
    </row>
    <row r="1900" spans="1:22">
      <c r="A1900" s="4"/>
      <c r="V1900" s="4"/>
    </row>
    <row r="1901" spans="1:22">
      <c r="A1901" s="4"/>
      <c r="V1901" s="4"/>
    </row>
    <row r="1902" spans="1:22">
      <c r="A1902" s="4"/>
      <c r="V1902" s="4"/>
    </row>
    <row r="1903" spans="1:22">
      <c r="A1903" s="4"/>
      <c r="V1903" s="4"/>
    </row>
    <row r="1904" spans="1:22">
      <c r="A1904" s="4"/>
      <c r="V1904" s="4"/>
    </row>
    <row r="1905" spans="1:22">
      <c r="A1905" s="4"/>
      <c r="V1905" s="4"/>
    </row>
    <row r="1906" spans="1:22">
      <c r="A1906" s="4"/>
      <c r="V1906" s="4"/>
    </row>
    <row r="1907" spans="1:22">
      <c r="A1907" s="4"/>
      <c r="V1907" s="4"/>
    </row>
    <row r="1908" spans="1:22">
      <c r="A1908" s="4"/>
      <c r="V1908" s="4"/>
    </row>
    <row r="1909" spans="1:22">
      <c r="A1909" s="4"/>
      <c r="V1909" s="4"/>
    </row>
    <row r="1910" spans="1:22">
      <c r="A1910" s="4"/>
      <c r="V1910" s="4"/>
    </row>
    <row r="1911" spans="1:22">
      <c r="A1911" s="4"/>
      <c r="V1911" s="4"/>
    </row>
    <row r="1912" spans="1:22">
      <c r="A1912" s="4"/>
      <c r="V1912" s="4"/>
    </row>
    <row r="1913" spans="1:22">
      <c r="A1913" s="4"/>
      <c r="V1913" s="4"/>
    </row>
    <row r="1914" spans="1:22">
      <c r="A1914" s="4"/>
      <c r="V1914" s="4"/>
    </row>
    <row r="1915" spans="1:22">
      <c r="A1915" s="4"/>
      <c r="V1915" s="4"/>
    </row>
    <row r="1916" spans="1:22">
      <c r="A1916" s="4"/>
      <c r="V1916" s="4"/>
    </row>
    <row r="1917" spans="1:22">
      <c r="A1917" s="4"/>
      <c r="V1917" s="4"/>
    </row>
    <row r="1918" spans="1:22">
      <c r="A1918" s="4"/>
      <c r="V1918" s="4"/>
    </row>
    <row r="1919" spans="1:22">
      <c r="A1919" s="4"/>
      <c r="V1919" s="4"/>
    </row>
    <row r="1920" spans="1:22">
      <c r="A1920" s="4"/>
      <c r="V1920" s="4"/>
    </row>
    <row r="1921" spans="1:22">
      <c r="A1921" s="4"/>
      <c r="V1921" s="4"/>
    </row>
    <row r="1922" spans="1:22">
      <c r="A1922" s="4"/>
      <c r="V1922" s="4"/>
    </row>
    <row r="1923" spans="1:22">
      <c r="A1923" s="4"/>
      <c r="V1923" s="4"/>
    </row>
    <row r="1924" spans="1:22">
      <c r="A1924" s="4"/>
      <c r="V1924" s="4"/>
    </row>
    <row r="1925" spans="1:22">
      <c r="A1925" s="4"/>
      <c r="V1925" s="4"/>
    </row>
    <row r="1926" spans="1:22">
      <c r="A1926" s="4"/>
      <c r="V1926" s="4"/>
    </row>
    <row r="1927" spans="1:22">
      <c r="A1927" s="4"/>
      <c r="V1927" s="4"/>
    </row>
    <row r="1928" spans="1:22">
      <c r="A1928" s="4"/>
      <c r="V1928" s="4"/>
    </row>
    <row r="1929" spans="1:22">
      <c r="A1929" s="4"/>
      <c r="V1929" s="4"/>
    </row>
    <row r="1930" spans="1:22">
      <c r="A1930" s="4"/>
      <c r="V1930" s="4"/>
    </row>
    <row r="1931" spans="1:22">
      <c r="A1931" s="4"/>
      <c r="V1931" s="4"/>
    </row>
    <row r="1932" spans="1:22">
      <c r="A1932" s="4"/>
      <c r="V1932" s="4"/>
    </row>
    <row r="1933" spans="1:22">
      <c r="A1933" s="4"/>
      <c r="V1933" s="4"/>
    </row>
    <row r="1934" spans="1:22">
      <c r="A1934" s="4"/>
      <c r="V1934" s="4"/>
    </row>
    <row r="1935" spans="1:22">
      <c r="A1935" s="4"/>
      <c r="V1935" s="4"/>
    </row>
    <row r="1936" spans="1:22">
      <c r="A1936" s="4"/>
      <c r="V1936" s="4"/>
    </row>
    <row r="1937" spans="1:22">
      <c r="A1937" s="4"/>
      <c r="V1937" s="4"/>
    </row>
    <row r="1938" spans="1:22">
      <c r="A1938" s="4"/>
      <c r="V1938" s="4"/>
    </row>
    <row r="1939" spans="1:22">
      <c r="A1939" s="4"/>
      <c r="V1939" s="4"/>
    </row>
    <row r="1940" spans="1:22">
      <c r="A1940" s="4"/>
      <c r="V1940" s="4"/>
    </row>
    <row r="1941" spans="1:22">
      <c r="A1941" s="4"/>
      <c r="V1941" s="4"/>
    </row>
    <row r="1942" spans="1:22">
      <c r="A1942" s="4"/>
      <c r="V1942" s="4"/>
    </row>
    <row r="1943" spans="1:22">
      <c r="A1943" s="4"/>
      <c r="V1943" s="4"/>
    </row>
    <row r="1944" spans="1:22">
      <c r="A1944" s="4"/>
      <c r="V1944" s="4"/>
    </row>
    <row r="1945" spans="1:22">
      <c r="A1945" s="4"/>
      <c r="V1945" s="4"/>
    </row>
    <row r="1946" spans="1:22">
      <c r="A1946" s="4"/>
      <c r="V1946" s="4"/>
    </row>
    <row r="1947" spans="1:22">
      <c r="A1947" s="4"/>
      <c r="V1947" s="4"/>
    </row>
    <row r="1948" spans="1:22">
      <c r="A1948" s="4"/>
      <c r="V1948" s="4"/>
    </row>
    <row r="1949" spans="1:22">
      <c r="A1949" s="4"/>
      <c r="V1949" s="4"/>
    </row>
    <row r="1950" spans="1:22">
      <c r="A1950" s="4"/>
      <c r="V1950" s="4"/>
    </row>
    <row r="1951" spans="1:22">
      <c r="A1951" s="4"/>
      <c r="V1951" s="4"/>
    </row>
    <row r="1952" spans="1:22">
      <c r="A1952" s="4"/>
      <c r="V1952" s="4"/>
    </row>
    <row r="1953" spans="1:22">
      <c r="A1953" s="4"/>
      <c r="V1953" s="4"/>
    </row>
    <row r="1954" spans="1:22">
      <c r="A1954" s="4"/>
      <c r="V1954" s="4"/>
    </row>
    <row r="1955" spans="1:22">
      <c r="A1955" s="4"/>
      <c r="V1955" s="4"/>
    </row>
    <row r="1956" spans="1:22">
      <c r="A1956" s="4"/>
      <c r="V1956" s="4"/>
    </row>
    <row r="1957" spans="1:22">
      <c r="A1957" s="4"/>
      <c r="V1957" s="4"/>
    </row>
    <row r="1958" spans="1:22">
      <c r="A1958" s="4"/>
      <c r="V1958" s="4"/>
    </row>
    <row r="1959" spans="1:22">
      <c r="A1959" s="4"/>
      <c r="V1959" s="4"/>
    </row>
    <row r="1960" spans="1:22">
      <c r="A1960" s="4"/>
      <c r="V1960" s="4"/>
    </row>
    <row r="1961" spans="1:22">
      <c r="A1961" s="4"/>
      <c r="V1961" s="4"/>
    </row>
    <row r="1962" spans="1:22">
      <c r="A1962" s="4"/>
      <c r="V1962" s="4"/>
    </row>
    <row r="1963" spans="1:22">
      <c r="A1963" s="4"/>
      <c r="V1963" s="4"/>
    </row>
    <row r="1964" spans="1:22">
      <c r="A1964" s="4"/>
      <c r="V1964" s="4"/>
    </row>
    <row r="1965" spans="1:22">
      <c r="A1965" s="4"/>
      <c r="V1965" s="4"/>
    </row>
    <row r="1966" spans="1:22">
      <c r="A1966" s="4"/>
      <c r="V1966" s="4"/>
    </row>
    <row r="1967" spans="1:22">
      <c r="A1967" s="4"/>
      <c r="V1967" s="4"/>
    </row>
    <row r="1968" spans="1:22">
      <c r="A1968" s="4"/>
      <c r="V1968" s="4"/>
    </row>
    <row r="1969" spans="1:22">
      <c r="A1969" s="4"/>
      <c r="V1969" s="4"/>
    </row>
    <row r="1970" spans="1:22">
      <c r="A1970" s="4"/>
      <c r="V1970" s="4"/>
    </row>
    <row r="1971" spans="1:22">
      <c r="A1971" s="4"/>
      <c r="V1971" s="4"/>
    </row>
    <row r="1972" spans="1:22">
      <c r="A1972" s="4"/>
      <c r="V1972" s="4"/>
    </row>
    <row r="1973" spans="1:22">
      <c r="A1973" s="4"/>
      <c r="V1973" s="4"/>
    </row>
    <row r="1974" spans="1:22">
      <c r="A1974" s="4"/>
      <c r="V1974" s="4"/>
    </row>
    <row r="1975" spans="1:22">
      <c r="A1975" s="4"/>
      <c r="V1975" s="4"/>
    </row>
    <row r="1976" spans="1:22">
      <c r="A1976" s="4"/>
      <c r="V1976" s="4"/>
    </row>
    <row r="1977" spans="1:22">
      <c r="A1977" s="4"/>
      <c r="V1977" s="4"/>
    </row>
    <row r="1978" spans="1:22">
      <c r="A1978" s="4"/>
      <c r="V1978" s="4"/>
    </row>
    <row r="1979" spans="1:22">
      <c r="A1979" s="4"/>
      <c r="V1979" s="4"/>
    </row>
    <row r="1980" spans="1:22">
      <c r="A1980" s="4"/>
      <c r="V1980" s="4"/>
    </row>
    <row r="1981" spans="1:22">
      <c r="A1981" s="4"/>
      <c r="V1981" s="4"/>
    </row>
    <row r="1982" spans="1:22">
      <c r="A1982" s="4"/>
      <c r="V1982" s="4"/>
    </row>
    <row r="1983" spans="1:22">
      <c r="A1983" s="4"/>
      <c r="V1983" s="4"/>
    </row>
    <row r="1984" spans="1:22">
      <c r="A1984" s="4"/>
      <c r="V1984" s="4"/>
    </row>
    <row r="1985" spans="1:22">
      <c r="A1985" s="4"/>
      <c r="V1985" s="4"/>
    </row>
    <row r="1986" spans="1:22">
      <c r="A1986" s="4"/>
      <c r="V1986" s="4"/>
    </row>
    <row r="1987" spans="1:22">
      <c r="A1987" s="4"/>
      <c r="V1987" s="4"/>
    </row>
    <row r="1988" spans="1:22">
      <c r="A1988" s="4"/>
      <c r="V1988" s="4"/>
    </row>
    <row r="1989" spans="1:22">
      <c r="A1989" s="4"/>
      <c r="V1989" s="4"/>
    </row>
    <row r="1990" spans="1:22">
      <c r="A1990" s="4"/>
      <c r="V1990" s="4"/>
    </row>
    <row r="1991" spans="1:22">
      <c r="A1991" s="4"/>
      <c r="V1991" s="4"/>
    </row>
    <row r="1992" spans="1:22">
      <c r="A1992" s="4"/>
      <c r="V1992" s="4"/>
    </row>
    <row r="1993" spans="1:22">
      <c r="A1993" s="4"/>
      <c r="V1993" s="4"/>
    </row>
    <row r="1994" spans="1:22">
      <c r="A1994" s="4"/>
      <c r="V1994" s="4"/>
    </row>
    <row r="1995" spans="1:22">
      <c r="A1995" s="4"/>
      <c r="V1995" s="4"/>
    </row>
    <row r="1996" spans="1:22">
      <c r="A1996" s="4"/>
      <c r="V1996" s="4"/>
    </row>
    <row r="1997" spans="1:22">
      <c r="A1997" s="4"/>
      <c r="V1997" s="4"/>
    </row>
    <row r="1998" spans="1:22">
      <c r="A1998" s="4"/>
      <c r="V1998" s="4"/>
    </row>
    <row r="1999" spans="1:22">
      <c r="A1999" s="4"/>
      <c r="V1999" s="4"/>
    </row>
    <row r="2000" spans="1:22">
      <c r="A2000" s="4"/>
      <c r="V2000" s="4"/>
    </row>
    <row r="2001" spans="1:22">
      <c r="A2001" s="4"/>
      <c r="V2001" s="4"/>
    </row>
    <row r="2002" spans="1:22">
      <c r="A2002" s="4"/>
      <c r="V2002" s="4"/>
    </row>
    <row r="2003" spans="1:22">
      <c r="A2003" s="4"/>
      <c r="V2003" s="4"/>
    </row>
    <row r="2004" spans="1:22">
      <c r="A2004" s="4"/>
      <c r="V2004" s="4"/>
    </row>
    <row r="2005" spans="1:22">
      <c r="A2005" s="4"/>
      <c r="V2005" s="4"/>
    </row>
    <row r="2006" spans="1:22">
      <c r="A2006" s="4"/>
      <c r="V2006" s="4"/>
    </row>
    <row r="2007" spans="1:22">
      <c r="A2007" s="4"/>
      <c r="V2007" s="4"/>
    </row>
    <row r="2008" spans="1:22">
      <c r="A2008" s="4"/>
      <c r="V2008" s="4"/>
    </row>
    <row r="2009" spans="1:22">
      <c r="A2009" s="4"/>
      <c r="V2009" s="4"/>
    </row>
    <row r="2010" spans="1:22">
      <c r="A2010" s="4"/>
      <c r="V2010" s="4"/>
    </row>
    <row r="2011" spans="1:22">
      <c r="A2011" s="4"/>
      <c r="V2011" s="4"/>
    </row>
    <row r="2012" spans="1:22">
      <c r="A2012" s="4"/>
      <c r="V2012" s="4"/>
    </row>
    <row r="2013" spans="1:22">
      <c r="A2013" s="4"/>
      <c r="V2013" s="4"/>
    </row>
    <row r="2014" spans="1:22">
      <c r="A2014" s="4"/>
      <c r="V2014" s="4"/>
    </row>
    <row r="2015" spans="1:22">
      <c r="A2015" s="4"/>
      <c r="V2015" s="4"/>
    </row>
    <row r="2016" spans="1:22">
      <c r="A2016" s="4"/>
      <c r="V2016" s="4"/>
    </row>
    <row r="2017" spans="1:22">
      <c r="A2017" s="4"/>
      <c r="V2017" s="4"/>
    </row>
    <row r="2018" spans="1:22">
      <c r="A2018" s="4"/>
      <c r="V2018" s="4"/>
    </row>
    <row r="2019" spans="1:22">
      <c r="A2019" s="4"/>
      <c r="V2019" s="4"/>
    </row>
    <row r="2020" spans="1:22">
      <c r="A2020" s="4"/>
      <c r="V2020" s="4"/>
    </row>
    <row r="2021" spans="1:22">
      <c r="A2021" s="4"/>
      <c r="V2021" s="4"/>
    </row>
    <row r="2022" spans="1:22">
      <c r="A2022" s="4"/>
      <c r="V2022" s="4"/>
    </row>
    <row r="2023" spans="1:22">
      <c r="A2023" s="4"/>
      <c r="V2023" s="4"/>
    </row>
    <row r="2024" spans="1:22">
      <c r="A2024" s="4"/>
      <c r="V2024" s="4"/>
    </row>
    <row r="2025" spans="1:22">
      <c r="A2025" s="4"/>
      <c r="V2025" s="4"/>
    </row>
    <row r="2026" spans="1:22">
      <c r="A2026" s="4"/>
      <c r="V2026" s="4"/>
    </row>
    <row r="2027" spans="1:22">
      <c r="A2027" s="4"/>
      <c r="V2027" s="4"/>
    </row>
    <row r="2028" spans="1:22">
      <c r="A2028" s="4"/>
      <c r="V2028" s="4"/>
    </row>
    <row r="2029" spans="1:22">
      <c r="A2029" s="4"/>
      <c r="V2029" s="4"/>
    </row>
    <row r="2030" spans="1:22">
      <c r="A2030" s="4"/>
      <c r="V2030" s="4"/>
    </row>
    <row r="2031" spans="1:22">
      <c r="A2031" s="4"/>
      <c r="V2031" s="4"/>
    </row>
    <row r="2032" spans="1:22">
      <c r="A2032" s="4"/>
      <c r="V2032" s="4"/>
    </row>
    <row r="2033" spans="1:22">
      <c r="A2033" s="4"/>
      <c r="V2033" s="4"/>
    </row>
    <row r="2034" spans="1:22">
      <c r="A2034" s="4"/>
      <c r="V2034" s="4"/>
    </row>
    <row r="2035" spans="1:22">
      <c r="A2035" s="4"/>
      <c r="V2035" s="4"/>
    </row>
    <row r="2036" spans="1:22">
      <c r="A2036" s="4"/>
      <c r="V2036" s="4"/>
    </row>
    <row r="2037" spans="1:22">
      <c r="A2037" s="4"/>
      <c r="V2037" s="4"/>
    </row>
    <row r="2038" spans="1:22">
      <c r="A2038" s="4"/>
      <c r="V2038" s="4"/>
    </row>
    <row r="2039" spans="1:22">
      <c r="A2039" s="4"/>
      <c r="V2039" s="4"/>
    </row>
    <row r="2040" spans="1:22">
      <c r="A2040" s="4"/>
      <c r="V2040" s="4"/>
    </row>
    <row r="2041" spans="1:22">
      <c r="A2041" s="4"/>
      <c r="V2041" s="4"/>
    </row>
    <row r="2042" spans="1:22">
      <c r="A2042" s="4"/>
      <c r="V2042" s="4"/>
    </row>
    <row r="2043" spans="1:22">
      <c r="A2043" s="4"/>
      <c r="V2043" s="4"/>
    </row>
    <row r="2044" spans="1:22">
      <c r="A2044" s="4"/>
      <c r="V2044" s="4"/>
    </row>
    <row r="2045" spans="1:22">
      <c r="A2045" s="4"/>
      <c r="V2045" s="4"/>
    </row>
    <row r="2046" spans="1:22">
      <c r="A2046" s="4"/>
      <c r="V2046" s="4"/>
    </row>
    <row r="2047" spans="1:22">
      <c r="A2047" s="4"/>
      <c r="V2047" s="4"/>
    </row>
    <row r="2048" spans="1:22">
      <c r="A2048" s="4"/>
      <c r="V2048" s="4"/>
    </row>
    <row r="2049" spans="1:22">
      <c r="A2049" s="4"/>
      <c r="V2049" s="4"/>
    </row>
    <row r="2050" spans="1:22">
      <c r="A2050" s="4"/>
      <c r="V2050" s="4"/>
    </row>
    <row r="2051" spans="1:22">
      <c r="A2051" s="4"/>
      <c r="V2051" s="4"/>
    </row>
    <row r="2052" spans="1:22">
      <c r="A2052" s="4"/>
      <c r="V2052" s="4"/>
    </row>
    <row r="2053" spans="1:22">
      <c r="A2053" s="4"/>
      <c r="V2053" s="4"/>
    </row>
    <row r="2054" spans="1:22">
      <c r="A2054" s="4"/>
      <c r="V2054" s="4"/>
    </row>
    <row r="2055" spans="1:22">
      <c r="A2055" s="4"/>
      <c r="V2055" s="4"/>
    </row>
    <row r="2056" spans="1:22">
      <c r="A2056" s="4"/>
      <c r="V2056" s="4"/>
    </row>
    <row r="2057" spans="1:22">
      <c r="A2057" s="4"/>
      <c r="V2057" s="4"/>
    </row>
    <row r="2058" spans="1:22">
      <c r="A2058" s="4"/>
      <c r="V2058" s="4"/>
    </row>
    <row r="2059" spans="1:22">
      <c r="A2059" s="4"/>
      <c r="V2059" s="4"/>
    </row>
    <row r="2060" spans="1:22">
      <c r="A2060" s="4"/>
      <c r="V2060" s="4"/>
    </row>
    <row r="2061" spans="1:22">
      <c r="A2061" s="4"/>
      <c r="V2061" s="4"/>
    </row>
    <row r="2062" spans="1:22">
      <c r="A2062" s="4"/>
      <c r="V2062" s="4"/>
    </row>
    <row r="2063" spans="1:22">
      <c r="A2063" s="4"/>
      <c r="V2063" s="4"/>
    </row>
    <row r="2064" spans="1:22">
      <c r="A2064" s="4"/>
      <c r="V2064" s="4"/>
    </row>
    <row r="2065" spans="1:22">
      <c r="A2065" s="4"/>
      <c r="V2065" s="4"/>
    </row>
    <row r="2066" spans="1:22">
      <c r="A2066" s="4"/>
      <c r="V2066" s="4"/>
    </row>
    <row r="2067" spans="1:22">
      <c r="A2067" s="4"/>
      <c r="V2067" s="4"/>
    </row>
    <row r="2068" spans="1:22">
      <c r="A2068" s="4"/>
      <c r="V2068" s="4"/>
    </row>
    <row r="2069" spans="1:22">
      <c r="A2069" s="4"/>
      <c r="V2069" s="4"/>
    </row>
    <row r="2070" spans="1:22">
      <c r="A2070" s="4"/>
      <c r="V2070" s="4"/>
    </row>
    <row r="2071" spans="1:22">
      <c r="A2071" s="4"/>
      <c r="V2071" s="4"/>
    </row>
    <row r="2072" spans="1:22">
      <c r="A2072" s="4"/>
      <c r="V2072" s="4"/>
    </row>
    <row r="2073" spans="1:22">
      <c r="A2073" s="4"/>
      <c r="V2073" s="4"/>
    </row>
    <row r="2074" spans="1:22">
      <c r="A2074" s="4"/>
      <c r="V2074" s="4"/>
    </row>
    <row r="2075" spans="1:22">
      <c r="A2075" s="4"/>
      <c r="V2075" s="4"/>
    </row>
    <row r="2076" spans="1:22">
      <c r="A2076" s="4"/>
      <c r="V2076" s="4"/>
    </row>
    <row r="2077" spans="1:22">
      <c r="A2077" s="4"/>
      <c r="V2077" s="4"/>
    </row>
    <row r="2078" spans="1:22">
      <c r="A2078" s="4"/>
      <c r="V2078" s="4"/>
    </row>
    <row r="2079" spans="1:22">
      <c r="A2079" s="4"/>
      <c r="V2079" s="4"/>
    </row>
    <row r="2080" spans="1:22">
      <c r="A2080" s="4"/>
      <c r="V2080" s="4"/>
    </row>
    <row r="2081" spans="1:22">
      <c r="A2081" s="4"/>
      <c r="V2081" s="4"/>
    </row>
    <row r="2082" spans="1:22">
      <c r="A2082" s="4"/>
      <c r="V2082" s="4"/>
    </row>
    <row r="2083" spans="1:22">
      <c r="A2083" s="4"/>
      <c r="V2083" s="4"/>
    </row>
    <row r="2084" spans="1:22">
      <c r="A2084" s="4"/>
      <c r="V2084" s="4"/>
    </row>
    <row r="2085" spans="1:22">
      <c r="A2085" s="4"/>
      <c r="V2085" s="4"/>
    </row>
    <row r="2086" spans="1:22">
      <c r="A2086" s="4"/>
      <c r="V2086" s="4"/>
    </row>
    <row r="2087" spans="1:22">
      <c r="A2087" s="4"/>
      <c r="V2087" s="4"/>
    </row>
    <row r="2088" spans="1:22">
      <c r="A2088" s="4"/>
      <c r="V2088" s="4"/>
    </row>
    <row r="2089" spans="1:22">
      <c r="A2089" s="4"/>
      <c r="V2089" s="4"/>
    </row>
    <row r="2090" spans="1:22">
      <c r="A2090" s="4"/>
      <c r="V2090" s="4"/>
    </row>
    <row r="2091" spans="1:22">
      <c r="A2091" s="4"/>
      <c r="V2091" s="4"/>
    </row>
    <row r="2092" spans="1:22">
      <c r="A2092" s="4"/>
      <c r="V2092" s="4"/>
    </row>
    <row r="2093" spans="1:22">
      <c r="A2093" s="4"/>
      <c r="V2093" s="4"/>
    </row>
    <row r="2094" spans="1:22">
      <c r="A2094" s="4"/>
      <c r="V2094" s="4"/>
    </row>
    <row r="2095" spans="1:22">
      <c r="A2095" s="4"/>
      <c r="V2095" s="4"/>
    </row>
    <row r="2096" spans="1:22">
      <c r="A2096" s="4"/>
      <c r="V2096" s="4"/>
    </row>
    <row r="2097" spans="1:22">
      <c r="A2097" s="4"/>
      <c r="V2097" s="4"/>
    </row>
    <row r="2098" spans="1:22">
      <c r="A2098" s="4"/>
      <c r="V2098" s="4"/>
    </row>
    <row r="2099" spans="1:22">
      <c r="A2099" s="4"/>
      <c r="V2099" s="4"/>
    </row>
    <row r="2100" spans="1:22">
      <c r="A2100" s="4"/>
      <c r="V2100" s="4"/>
    </row>
    <row r="2101" spans="1:22">
      <c r="A2101" s="4"/>
      <c r="V2101" s="4"/>
    </row>
    <row r="2102" spans="1:22">
      <c r="A2102" s="4"/>
      <c r="V2102" s="4"/>
    </row>
    <row r="2103" spans="1:22">
      <c r="A2103" s="4"/>
      <c r="V2103" s="4"/>
    </row>
    <row r="2104" spans="1:22">
      <c r="A2104" s="4"/>
      <c r="V2104" s="4"/>
    </row>
    <row r="2105" spans="1:22">
      <c r="A2105" s="4"/>
      <c r="V2105" s="4"/>
    </row>
    <row r="2106" spans="1:22">
      <c r="A2106" s="4"/>
      <c r="V2106" s="4"/>
    </row>
    <row r="2107" spans="1:22">
      <c r="A2107" s="4"/>
      <c r="V2107" s="4"/>
    </row>
    <row r="2108" spans="1:22">
      <c r="A2108" s="4"/>
      <c r="V2108" s="4"/>
    </row>
    <row r="2109" spans="1:22">
      <c r="A2109" s="4"/>
      <c r="V2109" s="4"/>
    </row>
    <row r="2110" spans="1:22">
      <c r="A2110" s="4"/>
      <c r="V2110" s="4"/>
    </row>
    <row r="2111" spans="1:22">
      <c r="A2111" s="4"/>
      <c r="V2111" s="4"/>
    </row>
    <row r="2112" spans="1:22">
      <c r="A2112" s="4"/>
      <c r="V2112" s="4"/>
    </row>
    <row r="2113" spans="1:22">
      <c r="A2113" s="4"/>
      <c r="V2113" s="4"/>
    </row>
    <row r="2114" spans="1:22">
      <c r="A2114" s="4"/>
      <c r="V2114" s="4"/>
    </row>
    <row r="2115" spans="1:22">
      <c r="A2115" s="4"/>
      <c r="V2115" s="4"/>
    </row>
    <row r="2116" spans="1:22">
      <c r="A2116" s="4"/>
      <c r="V2116" s="4"/>
    </row>
    <row r="2117" spans="1:22">
      <c r="A2117" s="4"/>
      <c r="V2117" s="4"/>
    </row>
    <row r="2118" spans="1:22">
      <c r="A2118" s="4"/>
      <c r="V2118" s="4"/>
    </row>
    <row r="2119" spans="1:22">
      <c r="A2119" s="4"/>
      <c r="V2119" s="4"/>
    </row>
    <row r="2120" spans="1:22">
      <c r="A2120" s="4"/>
      <c r="V2120" s="4"/>
    </row>
    <row r="2121" spans="1:22">
      <c r="A2121" s="4"/>
      <c r="V2121" s="4"/>
    </row>
    <row r="2122" spans="1:22">
      <c r="A2122" s="4"/>
      <c r="V2122" s="4"/>
    </row>
    <row r="2123" spans="1:22">
      <c r="A2123" s="4"/>
      <c r="V2123" s="4"/>
    </row>
    <row r="2124" spans="1:22">
      <c r="A2124" s="4"/>
      <c r="V2124" s="4"/>
    </row>
    <row r="2125" spans="1:22">
      <c r="A2125" s="4"/>
      <c r="V2125" s="4"/>
    </row>
    <row r="2126" spans="1:22">
      <c r="A2126" s="4"/>
      <c r="V2126" s="4"/>
    </row>
    <row r="2127" spans="1:22">
      <c r="A2127" s="4"/>
      <c r="V2127" s="4"/>
    </row>
    <row r="2128" spans="1:22">
      <c r="A2128" s="4"/>
      <c r="V2128" s="4"/>
    </row>
    <row r="2129" spans="1:22">
      <c r="A2129" s="4"/>
      <c r="V2129" s="4"/>
    </row>
    <row r="2130" spans="1:22">
      <c r="A2130" s="4"/>
      <c r="V2130" s="4"/>
    </row>
    <row r="2131" spans="1:22">
      <c r="A2131" s="4"/>
      <c r="V2131" s="4"/>
    </row>
    <row r="2132" spans="1:22">
      <c r="A2132" s="4"/>
      <c r="V2132" s="4"/>
    </row>
    <row r="2133" spans="1:22">
      <c r="A2133" s="4"/>
      <c r="V2133" s="4"/>
    </row>
    <row r="2134" spans="1:22">
      <c r="A2134" s="4"/>
      <c r="V2134" s="4"/>
    </row>
    <row r="2135" spans="1:22">
      <c r="A2135" s="4"/>
      <c r="V2135" s="4"/>
    </row>
    <row r="2136" spans="1:22">
      <c r="A2136" s="4"/>
      <c r="V2136" s="4"/>
    </row>
    <row r="2137" spans="1:22">
      <c r="A2137" s="4"/>
      <c r="V2137" s="4"/>
    </row>
    <row r="2138" spans="1:22">
      <c r="A2138" s="4"/>
      <c r="V2138" s="4"/>
    </row>
    <row r="2139" spans="1:22">
      <c r="A2139" s="4"/>
      <c r="V2139" s="4"/>
    </row>
    <row r="2140" spans="1:22">
      <c r="A2140" s="4"/>
      <c r="V2140" s="4"/>
    </row>
    <row r="2141" spans="1:22">
      <c r="A2141" s="4"/>
      <c r="V2141" s="4"/>
    </row>
    <row r="2142" spans="1:22">
      <c r="A2142" s="4"/>
      <c r="V2142" s="4"/>
    </row>
    <row r="2143" spans="1:22">
      <c r="A2143" s="4"/>
      <c r="V2143" s="4"/>
    </row>
    <row r="2144" spans="1:22">
      <c r="A2144" s="4"/>
      <c r="V2144" s="4"/>
    </row>
    <row r="2145" spans="1:22">
      <c r="A2145" s="4"/>
      <c r="V2145" s="4"/>
    </row>
    <row r="2146" spans="1:22">
      <c r="A2146" s="4"/>
      <c r="V2146" s="4"/>
    </row>
    <row r="2147" spans="1:22">
      <c r="A2147" s="4"/>
      <c r="V2147" s="4"/>
    </row>
    <row r="2148" spans="1:22">
      <c r="A2148" s="4"/>
      <c r="V2148" s="4"/>
    </row>
    <row r="2149" spans="1:22">
      <c r="A2149" s="4"/>
      <c r="V2149" s="4"/>
    </row>
    <row r="2150" spans="1:22">
      <c r="A2150" s="4"/>
      <c r="V2150" s="4"/>
    </row>
    <row r="2151" spans="1:22">
      <c r="A2151" s="4"/>
      <c r="V2151" s="4"/>
    </row>
    <row r="2152" spans="1:22">
      <c r="A2152" s="4"/>
      <c r="V2152" s="4"/>
    </row>
    <row r="2153" spans="1:22">
      <c r="A2153" s="4"/>
      <c r="V2153" s="4"/>
    </row>
    <row r="2154" spans="1:22">
      <c r="A2154" s="4"/>
      <c r="V2154" s="4"/>
    </row>
    <row r="2155" spans="1:22">
      <c r="A2155" s="4"/>
      <c r="V2155" s="4"/>
    </row>
    <row r="2156" spans="1:22">
      <c r="A2156" s="4"/>
      <c r="V2156" s="4"/>
    </row>
    <row r="2157" spans="1:22">
      <c r="A2157" s="4"/>
      <c r="V2157" s="4"/>
    </row>
    <row r="2158" spans="1:22">
      <c r="A2158" s="4"/>
      <c r="V2158" s="4"/>
    </row>
    <row r="2159" spans="1:22">
      <c r="A2159" s="4"/>
      <c r="V2159" s="4"/>
    </row>
    <row r="2160" spans="1:22">
      <c r="A2160" s="4"/>
      <c r="V2160" s="4"/>
    </row>
    <row r="2161" spans="1:22">
      <c r="A2161" s="4"/>
      <c r="V2161" s="4"/>
    </row>
    <row r="2162" spans="1:22">
      <c r="A2162" s="4"/>
      <c r="V2162" s="4"/>
    </row>
    <row r="2163" spans="1:22">
      <c r="A2163" s="4"/>
      <c r="V2163" s="4"/>
    </row>
    <row r="2164" spans="1:22">
      <c r="A2164" s="4"/>
      <c r="V2164" s="4"/>
    </row>
    <row r="2165" spans="1:22">
      <c r="A2165" s="4"/>
      <c r="V2165" s="4"/>
    </row>
    <row r="2166" spans="1:22">
      <c r="A2166" s="4"/>
      <c r="V2166" s="4"/>
    </row>
    <row r="2167" spans="1:22">
      <c r="A2167" s="4"/>
      <c r="V2167" s="4"/>
    </row>
    <row r="2168" spans="1:22">
      <c r="A2168" s="4"/>
      <c r="V2168" s="4"/>
    </row>
    <row r="2169" spans="1:22">
      <c r="A2169" s="4"/>
      <c r="V2169" s="4"/>
    </row>
    <row r="2170" spans="1:22">
      <c r="A2170" s="4"/>
      <c r="V2170" s="4"/>
    </row>
    <row r="2171" spans="1:22">
      <c r="A2171" s="4"/>
      <c r="V2171" s="4"/>
    </row>
    <row r="2172" spans="1:22">
      <c r="A2172" s="4"/>
      <c r="V2172" s="4"/>
    </row>
    <row r="2173" spans="1:22">
      <c r="A2173" s="4"/>
      <c r="V2173" s="4"/>
    </row>
    <row r="2174" spans="1:22">
      <c r="A2174" s="4"/>
      <c r="V2174" s="4"/>
    </row>
    <row r="2175" spans="1:22">
      <c r="A2175" s="4"/>
      <c r="V2175" s="4"/>
    </row>
    <row r="2176" spans="1:22">
      <c r="A2176" s="4"/>
      <c r="V2176" s="4"/>
    </row>
    <row r="2177" spans="1:22">
      <c r="A2177" s="4"/>
      <c r="V2177" s="4"/>
    </row>
    <row r="2178" spans="1:22">
      <c r="A2178" s="4"/>
      <c r="V2178" s="4"/>
    </row>
    <row r="2179" spans="1:22">
      <c r="A2179" s="4"/>
      <c r="V2179" s="4"/>
    </row>
    <row r="2180" spans="1:22">
      <c r="A2180" s="4"/>
      <c r="V2180" s="4"/>
    </row>
    <row r="2181" spans="1:22">
      <c r="A2181" s="4"/>
      <c r="V2181" s="4"/>
    </row>
    <row r="2182" spans="1:22">
      <c r="A2182" s="4"/>
      <c r="V2182" s="4"/>
    </row>
    <row r="2183" spans="1:22">
      <c r="A2183" s="4"/>
      <c r="V2183" s="4"/>
    </row>
    <row r="2184" spans="1:22">
      <c r="A2184" s="4"/>
      <c r="V2184" s="4"/>
    </row>
    <row r="2185" spans="1:22">
      <c r="A2185" s="4"/>
      <c r="V2185" s="4"/>
    </row>
    <row r="2186" spans="1:22">
      <c r="A2186" s="4"/>
      <c r="V2186" s="4"/>
    </row>
    <row r="2187" spans="1:22">
      <c r="A2187" s="4"/>
      <c r="V2187" s="4"/>
    </row>
    <row r="2188" spans="1:22">
      <c r="A2188" s="4"/>
      <c r="V2188" s="4"/>
    </row>
    <row r="2189" spans="1:22">
      <c r="A2189" s="4"/>
      <c r="V2189" s="4"/>
    </row>
    <row r="2190" spans="1:22">
      <c r="A2190" s="4"/>
      <c r="V2190" s="4"/>
    </row>
    <row r="2191" spans="1:22">
      <c r="A2191" s="4"/>
      <c r="V2191" s="4"/>
    </row>
    <row r="2192" spans="1:22">
      <c r="A2192" s="4"/>
      <c r="V2192" s="4"/>
    </row>
    <row r="2193" spans="1:22">
      <c r="A2193" s="4"/>
      <c r="V2193" s="4"/>
    </row>
    <row r="2194" spans="1:22">
      <c r="A2194" s="4"/>
      <c r="V2194" s="4"/>
    </row>
    <row r="2195" spans="1:22">
      <c r="A2195" s="4"/>
      <c r="V2195" s="4"/>
    </row>
    <row r="2196" spans="1:22">
      <c r="A2196" s="4"/>
      <c r="V2196" s="4"/>
    </row>
    <row r="2197" spans="1:22">
      <c r="A2197" s="4"/>
      <c r="V2197" s="4"/>
    </row>
    <row r="2198" spans="1:22">
      <c r="A2198" s="4"/>
      <c r="V2198" s="4"/>
    </row>
    <row r="2199" spans="1:22">
      <c r="A2199" s="4"/>
      <c r="V2199" s="4"/>
    </row>
    <row r="2200" spans="1:22">
      <c r="A2200" s="4"/>
      <c r="V2200" s="4"/>
    </row>
    <row r="2201" spans="1:22">
      <c r="A2201" s="4"/>
      <c r="V2201" s="4"/>
    </row>
    <row r="2202" spans="1:22">
      <c r="A2202" s="4"/>
      <c r="V2202" s="4"/>
    </row>
    <row r="2203" spans="1:22">
      <c r="A2203" s="4"/>
      <c r="V2203" s="4"/>
    </row>
    <row r="2204" spans="1:22">
      <c r="A2204" s="4"/>
      <c r="V2204" s="4"/>
    </row>
    <row r="2205" spans="1:22">
      <c r="A2205" s="4"/>
      <c r="V2205" s="4"/>
    </row>
    <row r="2206" spans="1:22">
      <c r="A2206" s="4"/>
      <c r="V2206" s="4"/>
    </row>
    <row r="2207" spans="1:22">
      <c r="A2207" s="4"/>
      <c r="V2207" s="4"/>
    </row>
    <row r="2208" spans="1:22">
      <c r="A2208" s="4"/>
      <c r="V2208" s="4"/>
    </row>
    <row r="2209" spans="1:22">
      <c r="A2209" s="4"/>
      <c r="V2209" s="4"/>
    </row>
    <row r="2210" spans="1:22">
      <c r="A2210" s="4"/>
      <c r="V2210" s="4"/>
    </row>
    <row r="2211" spans="1:22">
      <c r="A2211" s="4"/>
      <c r="V2211" s="4"/>
    </row>
  </sheetData>
  <mergeCells count="11">
    <mergeCell ref="C12:E12"/>
    <mergeCell ref="B53:I57"/>
    <mergeCell ref="E2:H3"/>
    <mergeCell ref="F9:G9"/>
    <mergeCell ref="K17:L17"/>
    <mergeCell ref="C26:H26"/>
    <mergeCell ref="B67:E67"/>
    <mergeCell ref="C23:H25"/>
    <mergeCell ref="C27:H27"/>
    <mergeCell ref="C32:G32"/>
    <mergeCell ref="G42:H42"/>
  </mergeCells>
  <conditionalFormatting sqref="B38 I38:L38 B49 I49:L49">
    <cfRule type="cellIs" dxfId="2" priority="7" operator="between">
      <formula>0</formula>
      <formula>0</formula>
    </cfRule>
  </conditionalFormatting>
  <conditionalFormatting sqref="B43:B46 I43:L46">
    <cfRule type="cellIs" dxfId="1" priority="8" operator="between">
      <formula>0</formula>
      <formula>0</formula>
    </cfRule>
  </conditionalFormatting>
  <conditionalFormatting sqref="B50:L50 B51:J51 K51:L60">
    <cfRule type="cellIs" dxfId="0" priority="1" operator="between">
      <formula>0</formula>
      <formula>0</formula>
    </cfRule>
  </conditionalFormatting>
  <pageMargins left="0.25" right="0.25" top="0.75" bottom="0.75" header="0.3" footer="0.3"/>
  <pageSetup scale="3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>
      <selection activeCell="K11" sqref="K11"/>
    </sheetView>
  </sheetViews>
  <sheetFormatPr defaultRowHeight="14.4"/>
  <cols>
    <col min="2" max="2" width="8.88671875" style="158"/>
    <col min="3" max="3" width="9.33203125" bestFit="1" customWidth="1"/>
    <col min="4" max="4" width="14" bestFit="1" customWidth="1"/>
    <col min="5" max="5" width="14" customWidth="1"/>
    <col min="6" max="6" width="14" bestFit="1" customWidth="1"/>
  </cols>
  <sheetData>
    <row r="2" spans="2:8">
      <c r="E2" t="s">
        <v>80</v>
      </c>
    </row>
    <row r="3" spans="2:8">
      <c r="B3" s="158" t="s">
        <v>24</v>
      </c>
      <c r="C3" t="s">
        <v>78</v>
      </c>
      <c r="D3" t="s">
        <v>77</v>
      </c>
      <c r="E3">
        <v>1.25</v>
      </c>
      <c r="F3" t="s">
        <v>79</v>
      </c>
    </row>
    <row r="4" spans="2:8">
      <c r="B4" s="158">
        <v>1</v>
      </c>
      <c r="C4" s="157">
        <v>2940</v>
      </c>
      <c r="D4" s="157">
        <f>C4*18500</f>
        <v>54390000</v>
      </c>
      <c r="E4" s="157">
        <f>D4*E3</f>
        <v>67987500</v>
      </c>
      <c r="F4" s="157">
        <f>E4*1.5</f>
        <v>101981250</v>
      </c>
      <c r="G4" s="157"/>
      <c r="H4" s="157"/>
    </row>
    <row r="5" spans="2:8">
      <c r="B5" s="158">
        <v>2</v>
      </c>
      <c r="F5">
        <v>73000000</v>
      </c>
    </row>
    <row r="6" spans="2:8">
      <c r="F6" s="159">
        <f>F5-E4</f>
        <v>5012500</v>
      </c>
    </row>
    <row r="22" spans="2:5">
      <c r="B22" s="158">
        <v>2250</v>
      </c>
      <c r="C22">
        <f>B22*18500</f>
        <v>41625000</v>
      </c>
      <c r="D22">
        <f>C22*1.25</f>
        <v>52031250</v>
      </c>
      <c r="E22">
        <f>D22*1.5</f>
        <v>78046875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OBC-1A</vt:lpstr>
      <vt:lpstr>Sheet1</vt:lpstr>
      <vt:lpstr>'OBC-1A'!Print_Area</vt:lpstr>
      <vt:lpstr>'OBC-1A'!Print_Titles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Hervian Saputra</dc:creator>
  <cp:lastModifiedBy>LENOVO</cp:lastModifiedBy>
  <cp:lastPrinted>2026-08-10T08:20:04Z</cp:lastPrinted>
  <dcterms:created xsi:type="dcterms:W3CDTF">2026-07-06T06:35:59Z</dcterms:created>
  <dcterms:modified xsi:type="dcterms:W3CDTF">2026-08-14T06:52:37Z</dcterms:modified>
</cp:coreProperties>
</file>